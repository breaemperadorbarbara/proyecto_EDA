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rba\Documents\Github\proyecto_EDA\"/>
    </mc:Choice>
  </mc:AlternateContent>
  <xr:revisionPtr revIDLastSave="0" documentId="13_ncr:1_{18B102A3-2FE0-471D-B907-D82C260CEBCE}" xr6:coauthVersionLast="47" xr6:coauthVersionMax="47" xr10:uidLastSave="{00000000-0000-0000-0000-000000000000}"/>
  <bookViews>
    <workbookView xWindow="-120" yWindow="-120" windowWidth="29040" windowHeight="15720" activeTab="1" xr2:uid="{FE2BE619-C416-46CD-A79A-C14384461612}"/>
  </bookViews>
  <sheets>
    <sheet name="ventas_libreria" sheetId="2" r:id="rId1"/>
    <sheet name="DB" sheetId="1" r:id="rId2"/>
    <sheet name="TD" sheetId="3" r:id="rId3"/>
  </sheets>
  <definedNames>
    <definedName name="DatosExternos_1" localSheetId="0" hidden="1">ventas_libreria!$A$1:$Q$2201</definedName>
    <definedName name="SegmentaciónDeDatos_Años__fecha_venta">#N/A</definedName>
    <definedName name="SegmentaciónDeDatos_canal_venta">#N/A</definedName>
    <definedName name="SegmentaciónDeDatos_categoria">#N/A</definedName>
    <definedName name="SegmentaciónDeDatos_edad_cliente">#N/A</definedName>
    <definedName name="SegmentaciónDeDatos_formato">#N/A</definedName>
    <definedName name="SegmentaciónDeDatos_genero_cliente">#N/A</definedName>
    <definedName name="SegmentaciónDeDatos_Meses__fecha_venta">#N/A</definedName>
    <definedName name="SegmentaciónDeDatos_metodo_pag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D5" i="3"/>
  <c r="B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00B93-228C-4D79-BDE8-F165C5FEA137}" keepAlive="1" name="Consulta - ventas_libreria" description="Conexión a la consulta 'ventas_libreria' en el libro." type="5" refreshedVersion="8" background="1" saveData="1">
    <dbPr connection="Provider=Microsoft.Mashup.OleDb.1;Data Source=$Workbook$;Location=ventas_libreria;Extended Properties=&quot;&quot;" command="SELECT * FROM [ventas_libreria]"/>
  </connection>
</connections>
</file>

<file path=xl/sharedStrings.xml><?xml version="1.0" encoding="utf-8"?>
<sst xmlns="http://schemas.openxmlformats.org/spreadsheetml/2006/main" count="22162" uniqueCount="2508">
  <si>
    <t>id_venta</t>
  </si>
  <si>
    <t>isbn</t>
  </si>
  <si>
    <t>titulo</t>
  </si>
  <si>
    <t>autor</t>
  </si>
  <si>
    <t>categoria</t>
  </si>
  <si>
    <t>precio_eur</t>
  </si>
  <si>
    <t>cantidad</t>
  </si>
  <si>
    <t>edad_cliente</t>
  </si>
  <si>
    <t>genero_cliente</t>
  </si>
  <si>
    <t>fecha_venta</t>
  </si>
  <si>
    <t>formato</t>
  </si>
  <si>
    <t>canal_venta</t>
  </si>
  <si>
    <t>tienda</t>
  </si>
  <si>
    <t>metodo_pago</t>
  </si>
  <si>
    <t>valoracion_cliente</t>
  </si>
  <si>
    <t>V000001</t>
  </si>
  <si>
    <t>978-7-19071-878-8</t>
  </si>
  <si>
    <t>El poder del ahora</t>
  </si>
  <si>
    <t>Eckhart Tolle</t>
  </si>
  <si>
    <t>Autoayuda</t>
  </si>
  <si>
    <t>Masculino</t>
  </si>
  <si>
    <t>Tapa dura</t>
  </si>
  <si>
    <t>Física</t>
  </si>
  <si>
    <t>Librería Central Madrid</t>
  </si>
  <si>
    <t>Tarjeta</t>
  </si>
  <si>
    <t>V000002</t>
  </si>
  <si>
    <t>978-2-63269-597-7</t>
  </si>
  <si>
    <t>La chica de nieve</t>
  </si>
  <si>
    <t>Javier Castillo</t>
  </si>
  <si>
    <t>Thriller</t>
  </si>
  <si>
    <t>No binario</t>
  </si>
  <si>
    <t>Bolsillo</t>
  </si>
  <si>
    <t>Online</t>
  </si>
  <si>
    <t>Tienda Online</t>
  </si>
  <si>
    <t>PayPal</t>
  </si>
  <si>
    <t>V000003</t>
  </si>
  <si>
    <t>978-3-62565-160-2</t>
  </si>
  <si>
    <t>El día que se perdió la cordura</t>
  </si>
  <si>
    <t>Femenino</t>
  </si>
  <si>
    <t>V000004</t>
  </si>
  <si>
    <t>978-2-26828-775-7</t>
  </si>
  <si>
    <t>Los cuatro acuerdos</t>
  </si>
  <si>
    <t>Miguel Ruiz</t>
  </si>
  <si>
    <t>Kindle</t>
  </si>
  <si>
    <t>V000005</t>
  </si>
  <si>
    <t>978-4-97684-597-3</t>
  </si>
  <si>
    <t>American Gods</t>
  </si>
  <si>
    <t>Neil Gaiman</t>
  </si>
  <si>
    <t>Fantasía</t>
  </si>
  <si>
    <t>Librería Gran Vía</t>
  </si>
  <si>
    <t>Bizum</t>
  </si>
  <si>
    <t>V000006</t>
  </si>
  <si>
    <t>978-0-13905-195-3</t>
  </si>
  <si>
    <t>Rebelión en la granja</t>
  </si>
  <si>
    <t>George Orwell</t>
  </si>
  <si>
    <t>Ficción</t>
  </si>
  <si>
    <t>Efectivo</t>
  </si>
  <si>
    <t>V000007</t>
  </si>
  <si>
    <t>978-0-62772-845-5</t>
  </si>
  <si>
    <t>Drácula</t>
  </si>
  <si>
    <t>Bram Stoker</t>
  </si>
  <si>
    <t>Terror</t>
  </si>
  <si>
    <t>Prefiere no decir</t>
  </si>
  <si>
    <t>V000008</t>
  </si>
  <si>
    <t>978-4-93748-619-9</t>
  </si>
  <si>
    <t>Perdida</t>
  </si>
  <si>
    <t>Gillian Flynn</t>
  </si>
  <si>
    <t>Librería Barcelona Gòtic</t>
  </si>
  <si>
    <t>V000009</t>
  </si>
  <si>
    <t>978-9-65461-316-8</t>
  </si>
  <si>
    <t>Padre rico, padre pobre</t>
  </si>
  <si>
    <t>Robert Kiyosaki</t>
  </si>
  <si>
    <t>Finanzas</t>
  </si>
  <si>
    <t>V000010</t>
  </si>
  <si>
    <t>978-0-40007-169-0</t>
  </si>
  <si>
    <t>El Principito ilustrado</t>
  </si>
  <si>
    <t>Antoine de Saint-Exupéry</t>
  </si>
  <si>
    <t>Infantil</t>
  </si>
  <si>
    <t>V000011</t>
  </si>
  <si>
    <t>V000012</t>
  </si>
  <si>
    <t>978-9-71348-641-4</t>
  </si>
  <si>
    <t>Veinte poemas de amor</t>
  </si>
  <si>
    <t>Pablo Neruda</t>
  </si>
  <si>
    <t>Poesía</t>
  </si>
  <si>
    <t>Transferencia</t>
  </si>
  <si>
    <t>V000013</t>
  </si>
  <si>
    <t>978-0-87110-667-3</t>
  </si>
  <si>
    <t>Charlie y la fábrica de chocolate</t>
  </si>
  <si>
    <t>Roald Dahl</t>
  </si>
  <si>
    <t>V000014</t>
  </si>
  <si>
    <t>V000015</t>
  </si>
  <si>
    <t>978-3-50857-508-5</t>
  </si>
  <si>
    <t>Piense y hágase rico</t>
  </si>
  <si>
    <t>Napoleon Hill</t>
  </si>
  <si>
    <t>V000016</t>
  </si>
  <si>
    <t>978-8-79514-100-9</t>
  </si>
  <si>
    <t>La chica en la telaraña</t>
  </si>
  <si>
    <t>David Lagercrantz</t>
  </si>
  <si>
    <t>Librería Sevilla Triana</t>
  </si>
  <si>
    <t>V000017</t>
  </si>
  <si>
    <t>978-1-42591-296-3</t>
  </si>
  <si>
    <t>Frankenstein</t>
  </si>
  <si>
    <t>Mary Shelley</t>
  </si>
  <si>
    <t>V000018</t>
  </si>
  <si>
    <t>978-6-46434-564-5</t>
  </si>
  <si>
    <t>En llamas</t>
  </si>
  <si>
    <t>Suzanne Collins</t>
  </si>
  <si>
    <t>Fantasía Juvenil</t>
  </si>
  <si>
    <t>V000019</t>
  </si>
  <si>
    <t>978-6-10282-499-4</t>
  </si>
  <si>
    <t>Patria</t>
  </si>
  <si>
    <t>Fernando Aramburu</t>
  </si>
  <si>
    <t>V000020</t>
  </si>
  <si>
    <t>978-1-68082-927-8</t>
  </si>
  <si>
    <t>Náuseas</t>
  </si>
  <si>
    <t>Jean-Paul Sartre</t>
  </si>
  <si>
    <t>Clásico</t>
  </si>
  <si>
    <t>V000021</t>
  </si>
  <si>
    <t>978-8-27342-840-9</t>
  </si>
  <si>
    <t>Stardust</t>
  </si>
  <si>
    <t>V000022</t>
  </si>
  <si>
    <t>978-9-44671-926-0</t>
  </si>
  <si>
    <t>El Hobbit</t>
  </si>
  <si>
    <t>J.R.R. Tolkien</t>
  </si>
  <si>
    <t>V000023</t>
  </si>
  <si>
    <t>978-3-30032-482-2</t>
  </si>
  <si>
    <t>Los hombres que no amaban a las mujeres</t>
  </si>
  <si>
    <t>Stieg Larsson</t>
  </si>
  <si>
    <t>V000024</t>
  </si>
  <si>
    <t>978-5-85674-296-1</t>
  </si>
  <si>
    <t>Harry Potter y la cámara secreta</t>
  </si>
  <si>
    <t>J.K. Rowling</t>
  </si>
  <si>
    <t>Librería Valencia Centro</t>
  </si>
  <si>
    <t>V000025</t>
  </si>
  <si>
    <t>978-1-40512-987-1</t>
  </si>
  <si>
    <t>Los juegos del hambre</t>
  </si>
  <si>
    <t>V000026</t>
  </si>
  <si>
    <t>978-8-68800-243-6</t>
  </si>
  <si>
    <t>El extranjero</t>
  </si>
  <si>
    <t>Albert Camus</t>
  </si>
  <si>
    <t>V000027</t>
  </si>
  <si>
    <t>978-6-86484-508-5</t>
  </si>
  <si>
    <t>Ficciones</t>
  </si>
  <si>
    <t>Jorge Luis Borges</t>
  </si>
  <si>
    <t>V000028</t>
  </si>
  <si>
    <t>V000029</t>
  </si>
  <si>
    <t>978-3-85880-708-0</t>
  </si>
  <si>
    <t>Persépolis</t>
  </si>
  <si>
    <t>Marjane Satrapi</t>
  </si>
  <si>
    <t>Cómic</t>
  </si>
  <si>
    <t>V000030</t>
  </si>
  <si>
    <t>978-2-18981-709-1</t>
  </si>
  <si>
    <t>Una breve historia del tiempo</t>
  </si>
  <si>
    <t>Stephen Hawking</t>
  </si>
  <si>
    <t>Ciencia</t>
  </si>
  <si>
    <t>V000031</t>
  </si>
  <si>
    <t>978-3-97782-833-5</t>
  </si>
  <si>
    <t>V de Vendetta</t>
  </si>
  <si>
    <t>Alan Moore</t>
  </si>
  <si>
    <t>V000032</t>
  </si>
  <si>
    <t>978-8-44973-887-5</t>
  </si>
  <si>
    <t>Ángeles y demonios</t>
  </si>
  <si>
    <t>Dan Brown</t>
  </si>
  <si>
    <t>V000033</t>
  </si>
  <si>
    <t>V000034</t>
  </si>
  <si>
    <t>978-7-17100-789-1</t>
  </si>
  <si>
    <t>Carrie</t>
  </si>
  <si>
    <t>Stephen King</t>
  </si>
  <si>
    <t>V000035</t>
  </si>
  <si>
    <t>978-6-38893-559-9</t>
  </si>
  <si>
    <t>Dune</t>
  </si>
  <si>
    <t>Frank Herbert</t>
  </si>
  <si>
    <t>Ciencia Ficción</t>
  </si>
  <si>
    <t>V000036</t>
  </si>
  <si>
    <t>V000037</t>
  </si>
  <si>
    <t>V000038</t>
  </si>
  <si>
    <t>978-6-45093-167-3</t>
  </si>
  <si>
    <t>Paula</t>
  </si>
  <si>
    <t>Isabel Allende</t>
  </si>
  <si>
    <t>Biografía</t>
  </si>
  <si>
    <t>V000039</t>
  </si>
  <si>
    <t>978-7-30289-294-4</t>
  </si>
  <si>
    <t>Nada</t>
  </si>
  <si>
    <t>Carmen Laforet</t>
  </si>
  <si>
    <t>V000040</t>
  </si>
  <si>
    <t>V000041</t>
  </si>
  <si>
    <t>978-9-72493-614-8</t>
  </si>
  <si>
    <t>El chef en casa</t>
  </si>
  <si>
    <t>Jamie Oliver</t>
  </si>
  <si>
    <t>Cocina</t>
  </si>
  <si>
    <t>V000042</t>
  </si>
  <si>
    <t>V000043</t>
  </si>
  <si>
    <t>V000044</t>
  </si>
  <si>
    <t>978-3-54118-204-1</t>
  </si>
  <si>
    <t>Juego de Tronos</t>
  </si>
  <si>
    <t>George R.R. Martin</t>
  </si>
  <si>
    <t>V000045</t>
  </si>
  <si>
    <t>978-3-39256-242-1</t>
  </si>
  <si>
    <t>El amor en los tiempos del cólera</t>
  </si>
  <si>
    <t>Gabriel García Márquez</t>
  </si>
  <si>
    <t>V000046</t>
  </si>
  <si>
    <t>978-5-19287-626-3</t>
  </si>
  <si>
    <t>Coraline</t>
  </si>
  <si>
    <t>V000047</t>
  </si>
  <si>
    <t>978-4-99593-763-1</t>
  </si>
  <si>
    <t>Crimen y castigo</t>
  </si>
  <si>
    <t>Fiódor Dostoyevski</t>
  </si>
  <si>
    <t>V000048</t>
  </si>
  <si>
    <t>978-2-58520-463-3</t>
  </si>
  <si>
    <t>Sinsajo</t>
  </si>
  <si>
    <t>V000049</t>
  </si>
  <si>
    <t>978-0-96673-333-4</t>
  </si>
  <si>
    <t>Harry Potter y el prisionero de Azkaban</t>
  </si>
  <si>
    <t>V000050</t>
  </si>
  <si>
    <t>V000051</t>
  </si>
  <si>
    <t>978-9-51245-317-7</t>
  </si>
  <si>
    <t>La sombra del viento</t>
  </si>
  <si>
    <t>Carlos Ruiz Zafón</t>
  </si>
  <si>
    <t>V000052</t>
  </si>
  <si>
    <t>V000053</t>
  </si>
  <si>
    <t>978-1-16175-981-1</t>
  </si>
  <si>
    <t>Pedro Páramo</t>
  </si>
  <si>
    <t>Juan Rulfo</t>
  </si>
  <si>
    <t>V000054</t>
  </si>
  <si>
    <t>978-4-93886-804-8</t>
  </si>
  <si>
    <t>Guerra y paz</t>
  </si>
  <si>
    <t>León Tolstói</t>
  </si>
  <si>
    <t>V000055</t>
  </si>
  <si>
    <t>978-9-93227-275-8</t>
  </si>
  <si>
    <t>Los hermanos Karamázov</t>
  </si>
  <si>
    <t>V000056</t>
  </si>
  <si>
    <t>V000057</t>
  </si>
  <si>
    <t>V000058</t>
  </si>
  <si>
    <t>V000059</t>
  </si>
  <si>
    <t>V000060</t>
  </si>
  <si>
    <t>V000061</t>
  </si>
  <si>
    <t>978-7-10425-839-4</t>
  </si>
  <si>
    <t>El paciente silencioso</t>
  </si>
  <si>
    <t>Alex Michaelides</t>
  </si>
  <si>
    <t>V000062</t>
  </si>
  <si>
    <t>978-8-21395-704-6</t>
  </si>
  <si>
    <t>1984</t>
  </si>
  <si>
    <t>V000063</t>
  </si>
  <si>
    <t>978-4-10851-877-2</t>
  </si>
  <si>
    <t>El nombre del viento</t>
  </si>
  <si>
    <t>Patrick Rothfuss</t>
  </si>
  <si>
    <t>V000064</t>
  </si>
  <si>
    <t>978-3-76237-716-0</t>
  </si>
  <si>
    <t>Fahrenheit 451</t>
  </si>
  <si>
    <t>Ray Bradbury</t>
  </si>
  <si>
    <t>V000065</t>
  </si>
  <si>
    <t>V000066</t>
  </si>
  <si>
    <t>V000067</t>
  </si>
  <si>
    <t>V000068</t>
  </si>
  <si>
    <t>978-2-46509-573-3</t>
  </si>
  <si>
    <t>La peste</t>
  </si>
  <si>
    <t>V000069</t>
  </si>
  <si>
    <t>V000070</t>
  </si>
  <si>
    <t>V000071</t>
  </si>
  <si>
    <t>V000072</t>
  </si>
  <si>
    <t>978-5-74042-119-1</t>
  </si>
  <si>
    <t>Sapiens</t>
  </si>
  <si>
    <t>Yuval Noah Harari</t>
  </si>
  <si>
    <t>Ensayo</t>
  </si>
  <si>
    <t>V000073</t>
  </si>
  <si>
    <t>978-8-11504-796-1</t>
  </si>
  <si>
    <t>El código Da Vinci</t>
  </si>
  <si>
    <t>V000074</t>
  </si>
  <si>
    <t>978-9-18326-494-6</t>
  </si>
  <si>
    <t>Romancero gitano</t>
  </si>
  <si>
    <t>Federico García Lorca</t>
  </si>
  <si>
    <t>V000075</t>
  </si>
  <si>
    <t>V000076</t>
  </si>
  <si>
    <t>978-5-50306-345-0</t>
  </si>
  <si>
    <t>Homo Deus</t>
  </si>
  <si>
    <t>V000077</t>
  </si>
  <si>
    <t>978-0-51104-158-0</t>
  </si>
  <si>
    <t>Manual de cocina fácil</t>
  </si>
  <si>
    <t>Karlos Arguiñano</t>
  </si>
  <si>
    <t>V000078</t>
  </si>
  <si>
    <t>V000079</t>
  </si>
  <si>
    <t>V000080</t>
  </si>
  <si>
    <t>V000081</t>
  </si>
  <si>
    <t>V000082</t>
  </si>
  <si>
    <t>V000083</t>
  </si>
  <si>
    <t>V000084</t>
  </si>
  <si>
    <t>978-1-16630-767-8</t>
  </si>
  <si>
    <t>Los pilares de la Tierra</t>
  </si>
  <si>
    <t>Ken Follett</t>
  </si>
  <si>
    <t>Histórica</t>
  </si>
  <si>
    <t>V000085</t>
  </si>
  <si>
    <t>978-7-77839-562-1</t>
  </si>
  <si>
    <t>El principito</t>
  </si>
  <si>
    <t>V000086</t>
  </si>
  <si>
    <t>V000087</t>
  </si>
  <si>
    <t>V000088</t>
  </si>
  <si>
    <t>978-3-62923-222-9</t>
  </si>
  <si>
    <t>El gen egoísta</t>
  </si>
  <si>
    <t>Richard Dawkins</t>
  </si>
  <si>
    <t>V000089</t>
  </si>
  <si>
    <t>V000090</t>
  </si>
  <si>
    <t>978-6-54597-384-2</t>
  </si>
  <si>
    <t>El temor de un hombre sabio</t>
  </si>
  <si>
    <t>V000091</t>
  </si>
  <si>
    <t>V000092</t>
  </si>
  <si>
    <t>V000093</t>
  </si>
  <si>
    <t>V000094</t>
  </si>
  <si>
    <t>978-9-38864-107-1</t>
  </si>
  <si>
    <t>James y el melocotón gigante</t>
  </si>
  <si>
    <t>V000095</t>
  </si>
  <si>
    <t>V000096</t>
  </si>
  <si>
    <t>V000097</t>
  </si>
  <si>
    <t>V000098</t>
  </si>
  <si>
    <t>V000099</t>
  </si>
  <si>
    <t>978-6-94259-569-2</t>
  </si>
  <si>
    <t>El juego del ángel</t>
  </si>
  <si>
    <t>V000100</t>
  </si>
  <si>
    <t>V000101</t>
  </si>
  <si>
    <t>978-6-34957-196-1</t>
  </si>
  <si>
    <t>El resplandor</t>
  </si>
  <si>
    <t>V000102</t>
  </si>
  <si>
    <t>V000103</t>
  </si>
  <si>
    <t>V000104</t>
  </si>
  <si>
    <t>V000105</t>
  </si>
  <si>
    <t>V000106</t>
  </si>
  <si>
    <t>V000107</t>
  </si>
  <si>
    <t>V000108</t>
  </si>
  <si>
    <t>978-0-22224-871-3</t>
  </si>
  <si>
    <t>Un mundo sin fin</t>
  </si>
  <si>
    <t>V000109</t>
  </si>
  <si>
    <t>V000110</t>
  </si>
  <si>
    <t>V000111</t>
  </si>
  <si>
    <t>978-8-44438-864-9</t>
  </si>
  <si>
    <t>Rayuela</t>
  </si>
  <si>
    <t>Julio Cortázar</t>
  </si>
  <si>
    <t>V000112</t>
  </si>
  <si>
    <t>V000113</t>
  </si>
  <si>
    <t>V000114</t>
  </si>
  <si>
    <t>978-9-71953-348-7</t>
  </si>
  <si>
    <t>It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</si>
  <si>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</si>
  <si>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</si>
  <si>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</si>
  <si>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</si>
  <si>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</si>
  <si>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</si>
  <si>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</si>
  <si>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</si>
  <si>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978-3-99733-432-0</t>
  </si>
  <si>
    <t>Don Quijote de la Mancha</t>
  </si>
  <si>
    <t>Miguel de Cervantes</t>
  </si>
  <si>
    <t>V000123</t>
  </si>
  <si>
    <t>V000124</t>
  </si>
  <si>
    <t>978-3-31417-573-6</t>
  </si>
  <si>
    <t>Ana Karenina</t>
  </si>
  <si>
    <t>V000125</t>
  </si>
  <si>
    <t>V000126</t>
  </si>
  <si>
    <t>V000127</t>
  </si>
  <si>
    <t>V000128</t>
  </si>
  <si>
    <t>V000129</t>
  </si>
  <si>
    <t>V000130</t>
  </si>
  <si>
    <t>V000131</t>
  </si>
  <si>
    <t>978-8-36062-833-8</t>
  </si>
  <si>
    <t>Crónicas marcianas</t>
  </si>
  <si>
    <t>V000132</t>
  </si>
  <si>
    <t>978-8-31643-371-8</t>
  </si>
  <si>
    <t>Hábitos atómicos</t>
  </si>
  <si>
    <t>James Clear</t>
  </si>
  <si>
    <t>V000133</t>
  </si>
  <si>
    <t>V000134</t>
  </si>
  <si>
    <t>V000135</t>
  </si>
  <si>
    <t>V000136</t>
  </si>
  <si>
    <t>V000137</t>
  </si>
  <si>
    <t>V000138</t>
  </si>
  <si>
    <t>V000139</t>
  </si>
  <si>
    <t>978-8-33416-619-1</t>
  </si>
  <si>
    <t>La chica del tren</t>
  </si>
  <si>
    <t>Paula Hawkins</t>
  </si>
  <si>
    <t>V000140</t>
  </si>
  <si>
    <t>V000141</t>
  </si>
  <si>
    <t>V000142</t>
  </si>
  <si>
    <t>V000143</t>
  </si>
  <si>
    <t>V000144</t>
  </si>
  <si>
    <t>V000145</t>
  </si>
  <si>
    <t>978-9-20745-529-9</t>
  </si>
  <si>
    <t>Watchmen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</si>
  <si>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</si>
  <si>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</si>
  <si>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</si>
  <si>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</si>
  <si>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</si>
  <si>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</si>
  <si>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</si>
  <si>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</si>
  <si>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</si>
  <si>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</si>
  <si>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</si>
  <si>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</si>
  <si>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978-6-56438-533-6</t>
  </si>
  <si>
    <t>Misery</t>
  </si>
  <si>
    <t>V000158</t>
  </si>
  <si>
    <t>V000159</t>
  </si>
  <si>
    <t>V000160</t>
  </si>
  <si>
    <t>978-7-80284-227-6</t>
  </si>
  <si>
    <t>El Señor de los Anillos</t>
  </si>
  <si>
    <t>V000161</t>
  </si>
  <si>
    <t>978-3-39451-165-5</t>
  </si>
  <si>
    <t>Matilda</t>
  </si>
  <si>
    <t>V000162</t>
  </si>
  <si>
    <t>V000163</t>
  </si>
  <si>
    <t>V000164</t>
  </si>
  <si>
    <t>V000165</t>
  </si>
  <si>
    <t>V000166</t>
  </si>
  <si>
    <t>978-2-92240-263-6</t>
  </si>
  <si>
    <t>La casa de Bernarda Alba</t>
  </si>
  <si>
    <t>Teatro</t>
  </si>
  <si>
    <t>V000167</t>
  </si>
  <si>
    <t>V000168</t>
  </si>
  <si>
    <t>978-9-78522-423-4</t>
  </si>
  <si>
    <t>Maus</t>
  </si>
  <si>
    <t>Art Spiegelman</t>
  </si>
  <si>
    <t>V000169</t>
  </si>
  <si>
    <t>V000170</t>
  </si>
  <si>
    <t>V000171</t>
  </si>
  <si>
    <t>978-7-47388-533-8</t>
  </si>
  <si>
    <t>Los besos</t>
  </si>
  <si>
    <t>Manuel Vilas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</si>
  <si>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</si>
  <si>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</si>
  <si>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</si>
  <si>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</si>
  <si>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</si>
  <si>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</si>
  <si>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</si>
  <si>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</si>
  <si>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</si>
  <si>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</si>
  <si>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978-3-14207-924-5</t>
  </si>
  <si>
    <t>La casa de los espíritus</t>
  </si>
  <si>
    <t>V000182</t>
  </si>
  <si>
    <t>V000183</t>
  </si>
  <si>
    <t>V000184</t>
  </si>
  <si>
    <t>V000185</t>
  </si>
  <si>
    <t>V000186</t>
  </si>
  <si>
    <t>V000187</t>
  </si>
  <si>
    <t>V000188</t>
  </si>
  <si>
    <t>978-3-84364-180-1</t>
  </si>
  <si>
    <t>21 lecciones para el siglo XXI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</si>
  <si>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</si>
  <si>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</si>
  <si>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</si>
  <si>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</si>
  <si>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</si>
  <si>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</si>
  <si>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</si>
  <si>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</si>
  <si>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</si>
  <si>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</si>
  <si>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</si>
  <si>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</si>
  <si>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V000201</t>
  </si>
  <si>
    <t>978-3-28131-621-7</t>
  </si>
  <si>
    <t>El Aleph</t>
  </si>
  <si>
    <t>V000202</t>
  </si>
  <si>
    <t>V000203</t>
  </si>
  <si>
    <t>V000204</t>
  </si>
  <si>
    <t>978-2-17455-620-1</t>
  </si>
  <si>
    <t>Cosmos</t>
  </si>
  <si>
    <t>Carl Sagan</t>
  </si>
  <si>
    <t>V000205</t>
  </si>
  <si>
    <t>V000206</t>
  </si>
  <si>
    <t>V000207</t>
  </si>
  <si>
    <t>V000208</t>
  </si>
  <si>
    <t>V000209</t>
  </si>
  <si>
    <t>V000210</t>
  </si>
  <si>
    <t>V000211</t>
  </si>
  <si>
    <t>V000212</t>
  </si>
  <si>
    <t>V000213</t>
  </si>
  <si>
    <t>V000214</t>
  </si>
  <si>
    <t>V000215</t>
  </si>
  <si>
    <t>V000216</t>
  </si>
  <si>
    <t>V000217</t>
  </si>
  <si>
    <t>V000218</t>
  </si>
  <si>
    <t>V000219</t>
  </si>
  <si>
    <t>V000220</t>
  </si>
  <si>
    <t>V000221</t>
  </si>
  <si>
    <t>V000222</t>
  </si>
  <si>
    <t>V000223</t>
  </si>
  <si>
    <t>V000224</t>
  </si>
  <si>
    <t>V000225</t>
  </si>
  <si>
    <t>V000226</t>
  </si>
  <si>
    <t>V000227</t>
  </si>
  <si>
    <t>V000228</t>
  </si>
  <si>
    <t>V000229</t>
  </si>
  <si>
    <t>V000230</t>
  </si>
  <si>
    <t>V000231</t>
  </si>
  <si>
    <t>V000232</t>
  </si>
  <si>
    <t>V000233</t>
  </si>
  <si>
    <t>V000234</t>
  </si>
  <si>
    <t>V000235</t>
  </si>
  <si>
    <t>V000236</t>
  </si>
  <si>
    <t>V000237</t>
  </si>
  <si>
    <t>V000238</t>
  </si>
  <si>
    <t>V000239</t>
  </si>
  <si>
    <t>V000240</t>
  </si>
  <si>
    <t>V000241</t>
  </si>
  <si>
    <t>V000242</t>
  </si>
  <si>
    <t>V000243</t>
  </si>
  <si>
    <t>978-1-13278-859-4</t>
  </si>
  <si>
    <t>Cien años de soledad</t>
  </si>
  <si>
    <t>V000244</t>
  </si>
  <si>
    <t>V000245</t>
  </si>
  <si>
    <t>V000246</t>
  </si>
  <si>
    <t>V000247</t>
  </si>
  <si>
    <t>V000248</t>
  </si>
  <si>
    <t>V000249</t>
  </si>
  <si>
    <t>V000250</t>
  </si>
  <si>
    <t>V000251</t>
  </si>
  <si>
    <t>V000252</t>
  </si>
  <si>
    <t>V000253</t>
  </si>
  <si>
    <t>V000254</t>
  </si>
  <si>
    <t>V000255</t>
  </si>
  <si>
    <t>V000256</t>
  </si>
  <si>
    <t>V000257</t>
  </si>
  <si>
    <t>V000258</t>
  </si>
  <si>
    <t>V000259</t>
  </si>
  <si>
    <t>V000260</t>
  </si>
  <si>
    <t>V000261</t>
  </si>
  <si>
    <t>V000262</t>
  </si>
  <si>
    <t>V000263</t>
  </si>
  <si>
    <t>978-6-22676-467-5</t>
  </si>
  <si>
    <t>Choque de Reyes</t>
  </si>
  <si>
    <t>V000264</t>
  </si>
  <si>
    <t>V000265</t>
  </si>
  <si>
    <t>V000266</t>
  </si>
  <si>
    <t>V000267</t>
  </si>
  <si>
    <t>V000268</t>
  </si>
  <si>
    <t>V000269</t>
  </si>
  <si>
    <t>V000270</t>
  </si>
  <si>
    <t>V000271</t>
  </si>
  <si>
    <t>V000272</t>
  </si>
  <si>
    <t>978-1-82357-400-9</t>
  </si>
  <si>
    <t>Harry Potter y la piedra filosofal</t>
  </si>
  <si>
    <t>V000273</t>
  </si>
  <si>
    <t>V000274</t>
  </si>
  <si>
    <t>V000275</t>
  </si>
  <si>
    <t>V000276</t>
  </si>
  <si>
    <t>V000277</t>
  </si>
  <si>
    <t>V000278</t>
  </si>
  <si>
    <t>978-1-48469-545-2</t>
  </si>
  <si>
    <t>Origen</t>
  </si>
  <si>
    <t>V000279</t>
  </si>
  <si>
    <t>V000280</t>
  </si>
  <si>
    <t>V000281</t>
  </si>
  <si>
    <t>V000282</t>
  </si>
  <si>
    <t>V000283</t>
  </si>
  <si>
    <t>V000284</t>
  </si>
  <si>
    <t>V000285</t>
  </si>
  <si>
    <t>V000286</t>
  </si>
  <si>
    <t>V000287</t>
  </si>
  <si>
    <t>V000288</t>
  </si>
  <si>
    <t>V000289</t>
  </si>
  <si>
    <t>V000290</t>
  </si>
  <si>
    <t>V000291</t>
  </si>
  <si>
    <t>V000292</t>
  </si>
  <si>
    <t>V000293</t>
  </si>
  <si>
    <t>V000294</t>
  </si>
  <si>
    <t>V000295</t>
  </si>
  <si>
    <t>V000296</t>
  </si>
  <si>
    <t>V000297</t>
  </si>
  <si>
    <t>V000298</t>
  </si>
  <si>
    <t>V000299</t>
  </si>
  <si>
    <t>V000300</t>
  </si>
  <si>
    <t>V000301</t>
  </si>
  <si>
    <t>V000302</t>
  </si>
  <si>
    <t>V000303</t>
  </si>
  <si>
    <t>V000304</t>
  </si>
  <si>
    <t>V000305</t>
  </si>
  <si>
    <t>V000306</t>
  </si>
  <si>
    <t>V000307</t>
  </si>
  <si>
    <t>V000308</t>
  </si>
  <si>
    <t>V000309</t>
  </si>
  <si>
    <t>V000310</t>
  </si>
  <si>
    <t>V000311</t>
  </si>
  <si>
    <t>V000312</t>
  </si>
  <si>
    <t>V000313</t>
  </si>
  <si>
    <t>V000314</t>
  </si>
  <si>
    <t>V000315</t>
  </si>
  <si>
    <t>V000316</t>
  </si>
  <si>
    <t>V000317</t>
  </si>
  <si>
    <t>V000318</t>
  </si>
  <si>
    <t>V000319</t>
  </si>
  <si>
    <t>V000320</t>
  </si>
  <si>
    <t>V000321</t>
  </si>
  <si>
    <t>V000322</t>
  </si>
  <si>
    <t>V000323</t>
  </si>
  <si>
    <t>V000324</t>
  </si>
  <si>
    <t>V000325</t>
  </si>
  <si>
    <t>V000326</t>
  </si>
  <si>
    <t>V000327</t>
  </si>
  <si>
    <t>V000328</t>
  </si>
  <si>
    <t>V000329</t>
  </si>
  <si>
    <t>978-4-28301-352-8</t>
  </si>
  <si>
    <t>El prisionero del cielo</t>
  </si>
  <si>
    <t>V000330</t>
  </si>
  <si>
    <t>V000331</t>
  </si>
  <si>
    <t>V000332</t>
  </si>
  <si>
    <t>V000333</t>
  </si>
  <si>
    <t>V000334</t>
  </si>
  <si>
    <t>V000335</t>
  </si>
  <si>
    <t>V000336</t>
  </si>
  <si>
    <t>V000337</t>
  </si>
  <si>
    <t>V000338</t>
  </si>
  <si>
    <t>V000339</t>
  </si>
  <si>
    <t>V000340</t>
  </si>
  <si>
    <t>V000341</t>
  </si>
  <si>
    <t>V000342</t>
  </si>
  <si>
    <t>V000343</t>
  </si>
  <si>
    <t>V000344</t>
  </si>
  <si>
    <t>V000345</t>
  </si>
  <si>
    <t>V000346</t>
  </si>
  <si>
    <t>V000347</t>
  </si>
  <si>
    <t>V000348</t>
  </si>
  <si>
    <t>V000349</t>
  </si>
  <si>
    <t>V000350</t>
  </si>
  <si>
    <t>V000351</t>
  </si>
  <si>
    <t>V000352</t>
  </si>
  <si>
    <t>V000353</t>
  </si>
  <si>
    <t>V000354</t>
  </si>
  <si>
    <t>V000355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</si>
  <si>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</si>
  <si>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</si>
  <si>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</si>
  <si>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</si>
  <si>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</si>
  <si>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</si>
  <si>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</si>
  <si>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</si>
  <si>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</si>
  <si>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</si>
  <si>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</si>
  <si>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</si>
  <si>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</si>
  <si>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</si>
  <si>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</si>
  <si>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</si>
  <si>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</si>
  <si>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</si>
  <si>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</si>
  <si>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</si>
  <si>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</si>
  <si>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</si>
  <si>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</si>
  <si>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</si>
  <si>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</si>
  <si>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</si>
  <si>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</si>
  <si>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</si>
  <si>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</si>
  <si>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</si>
  <si>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</si>
  <si>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</si>
  <si>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</si>
  <si>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</si>
  <si>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</si>
  <si>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</si>
  <si>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</si>
  <si>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</si>
  <si>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</si>
  <si>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</si>
  <si>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</si>
  <si>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978-3-17665-693-8</t>
  </si>
  <si>
    <t>La familia de Pascual Duarte</t>
  </si>
  <si>
    <t>Camilo José Cela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</si>
  <si>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</si>
  <si>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</si>
  <si>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</si>
  <si>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</si>
  <si>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</si>
  <si>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</si>
  <si>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</si>
  <si>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</si>
  <si>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</si>
  <si>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</si>
  <si>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</si>
  <si>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</si>
  <si>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</si>
  <si>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</si>
  <si>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</si>
  <si>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</si>
  <si>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</si>
  <si>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</si>
  <si>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</si>
  <si>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</si>
  <si>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</si>
  <si>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</si>
  <si>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</si>
  <si>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</si>
  <si>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</si>
  <si>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</si>
  <si>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</si>
  <si>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</si>
  <si>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</si>
  <si>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</si>
  <si>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</si>
  <si>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</si>
  <si>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</si>
  <si>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</si>
  <si>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</si>
  <si>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</si>
  <si>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</si>
  <si>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</si>
  <si>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</si>
  <si>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</si>
  <si>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</si>
  <si>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</si>
  <si>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</si>
  <si>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</si>
  <si>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</si>
  <si>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</si>
  <si>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</si>
  <si>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</si>
  <si>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</si>
  <si>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</si>
  <si>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</si>
  <si>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</si>
  <si>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</si>
  <si>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</si>
  <si>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</si>
  <si>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</si>
  <si>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</si>
  <si>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</si>
  <si>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</si>
  <si>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</si>
  <si>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</si>
  <si>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</si>
  <si>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</si>
  <si>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</si>
  <si>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</si>
  <si>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</si>
  <si>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</si>
  <si>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</si>
  <si>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</si>
  <si>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</si>
  <si>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</si>
  <si>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</si>
  <si>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</si>
  <si>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</si>
  <si>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</si>
  <si>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</si>
  <si>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</si>
  <si>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</si>
  <si>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</si>
  <si>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</si>
  <si>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</si>
  <si>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</si>
  <si>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</si>
  <si>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</si>
  <si>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</si>
  <si>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</si>
  <si>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</si>
  <si>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</si>
  <si>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</si>
  <si>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</si>
  <si>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</si>
  <si>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</si>
  <si>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</si>
  <si>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</si>
  <si>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</si>
  <si>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</si>
  <si>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</si>
  <si>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</si>
  <si>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</si>
  <si>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</si>
  <si>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</si>
  <si>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</si>
  <si>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</si>
  <si>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</si>
  <si>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</si>
  <si>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</si>
  <si>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</si>
  <si>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</si>
  <si>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</si>
  <si>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</si>
  <si>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</si>
  <si>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</si>
  <si>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</si>
  <si>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</si>
  <si>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</si>
  <si>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</si>
  <si>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</si>
  <si>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</si>
  <si>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</si>
  <si>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</si>
  <si>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</si>
  <si>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</si>
  <si>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</si>
  <si>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</si>
  <si>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</si>
  <si>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</si>
  <si>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</si>
  <si>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</si>
  <si>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</si>
  <si>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</si>
  <si>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</si>
  <si>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</si>
  <si>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</si>
  <si>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</si>
  <si>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</si>
  <si>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</si>
  <si>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</si>
  <si>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</si>
  <si>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</si>
  <si>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</si>
  <si>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</si>
  <si>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</si>
  <si>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</si>
  <si>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</si>
  <si>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</si>
  <si>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</si>
  <si>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</si>
  <si>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</si>
  <si>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</si>
  <si>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</si>
  <si>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</si>
  <si>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</si>
  <si>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</si>
  <si>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</si>
  <si>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</si>
  <si>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</si>
  <si>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</si>
  <si>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</si>
  <si>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</si>
  <si>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</si>
  <si>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</si>
  <si>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</si>
  <si>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</si>
  <si>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</si>
  <si>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</si>
  <si>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</si>
  <si>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</si>
  <si>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</si>
  <si>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</si>
  <si>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</si>
  <si>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</si>
  <si>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</si>
  <si>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</si>
  <si>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</si>
  <si>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</si>
  <si>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</si>
  <si>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</si>
  <si>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</si>
  <si>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</si>
  <si>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</si>
  <si>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</si>
  <si>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</si>
  <si>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</si>
  <si>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</si>
  <si>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</si>
  <si>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</si>
  <si>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</si>
  <si>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</si>
  <si>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</si>
  <si>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</si>
  <si>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</si>
  <si>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</si>
  <si>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</si>
  <si>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</si>
  <si>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</si>
  <si>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</si>
  <si>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</si>
  <si>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</si>
  <si>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</si>
  <si>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</si>
  <si>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</si>
  <si>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</si>
  <si>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</si>
  <si>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</si>
  <si>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</si>
  <si>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</si>
  <si>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</si>
  <si>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</si>
  <si>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</si>
  <si>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</si>
  <si>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</si>
  <si>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</si>
  <si>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</si>
  <si>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</si>
  <si>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</si>
  <si>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</si>
  <si>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</si>
  <si>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</si>
  <si>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</si>
  <si>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</si>
  <si>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</si>
  <si>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</si>
  <si>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</si>
  <si>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</si>
  <si>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</si>
  <si>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</si>
  <si>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</si>
  <si>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</si>
  <si>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</si>
  <si>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</si>
  <si>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</si>
  <si>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</si>
  <si>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</si>
  <si>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</si>
  <si>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</si>
  <si>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</si>
  <si>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</si>
  <si>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</si>
  <si>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</si>
  <si>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</si>
  <si>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</si>
  <si>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</si>
  <si>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</si>
  <si>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</si>
  <si>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</si>
  <si>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</si>
  <si>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</si>
  <si>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</si>
  <si>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</si>
  <si>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</si>
  <si>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</si>
  <si>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</si>
  <si>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</si>
  <si>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</si>
  <si>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</si>
  <si>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</si>
  <si>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</si>
  <si>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</si>
  <si>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</si>
  <si>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</si>
  <si>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</si>
  <si>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</si>
  <si>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</si>
  <si>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</si>
  <si>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</si>
  <si>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</si>
  <si>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</si>
  <si>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</si>
  <si>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</si>
  <si>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</si>
  <si>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</si>
  <si>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</si>
  <si>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</si>
  <si>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</si>
  <si>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</si>
  <si>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</si>
  <si>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</si>
  <si>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</si>
  <si>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</si>
  <si>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</si>
  <si>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</si>
  <si>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</si>
  <si>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</si>
  <si>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</si>
  <si>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</si>
  <si>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</si>
  <si>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</si>
  <si>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</si>
  <si>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</si>
  <si>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</si>
  <si>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</si>
  <si>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</si>
  <si>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</si>
  <si>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</si>
  <si>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</si>
  <si>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</si>
  <si>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</si>
  <si>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</si>
  <si>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</si>
  <si>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</si>
  <si>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</si>
  <si>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</si>
  <si>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</si>
  <si>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</si>
  <si>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</si>
  <si>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</si>
  <si>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</si>
  <si>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</si>
  <si>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</si>
  <si>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</si>
  <si>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</si>
  <si>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</si>
  <si>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</si>
  <si>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</si>
  <si>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</si>
  <si>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</si>
  <si>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</si>
  <si>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</si>
  <si>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</si>
  <si>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</si>
  <si>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</si>
  <si>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</si>
  <si>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</si>
  <si>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</si>
  <si>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</si>
  <si>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</si>
  <si>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</si>
  <si>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</si>
  <si>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</si>
  <si>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</si>
  <si>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</si>
  <si>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</si>
  <si>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</si>
  <si>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</si>
  <si>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</si>
  <si>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</si>
  <si>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</si>
  <si>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</si>
  <si>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</si>
  <si>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</si>
  <si>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</si>
  <si>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</si>
  <si>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</si>
  <si>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</si>
  <si>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</si>
  <si>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</si>
  <si>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</si>
  <si>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</si>
  <si>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</si>
  <si>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</si>
  <si>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</si>
  <si>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</si>
  <si>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</si>
  <si>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</si>
  <si>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</si>
  <si>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</si>
  <si>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</si>
  <si>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</si>
  <si>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</si>
  <si>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</si>
  <si>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</si>
  <si>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</si>
  <si>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</si>
  <si>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</si>
  <si>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</si>
  <si>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</si>
  <si>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</si>
  <si>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</si>
  <si>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</si>
  <si>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</si>
  <si>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</si>
  <si>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</si>
  <si>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</si>
  <si>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</si>
  <si>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</si>
  <si>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</si>
  <si>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</si>
  <si>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</si>
  <si>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</si>
  <si>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</si>
  <si>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</si>
  <si>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</si>
  <si>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</si>
  <si>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</si>
  <si>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</si>
  <si>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</si>
  <si>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</si>
  <si>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</si>
  <si>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</si>
  <si>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</si>
  <si>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</si>
  <si>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</si>
  <si>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</si>
  <si>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</si>
  <si>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</si>
  <si>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</si>
  <si>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</si>
  <si>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</si>
  <si>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</si>
  <si>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</si>
  <si>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</si>
  <si>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</si>
  <si>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</si>
  <si>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</si>
  <si>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</si>
  <si>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</si>
  <si>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</si>
  <si>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</si>
  <si>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</si>
  <si>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</si>
  <si>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</si>
  <si>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</si>
  <si>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</si>
  <si>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</si>
  <si>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</si>
  <si>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</si>
  <si>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</si>
  <si>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</si>
  <si>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</si>
  <si>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</si>
  <si>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</si>
  <si>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</si>
  <si>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</si>
  <si>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</si>
  <si>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</si>
  <si>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</si>
  <si>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</si>
  <si>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</si>
  <si>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</si>
  <si>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</si>
  <si>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</si>
  <si>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</si>
  <si>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</si>
  <si>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</si>
  <si>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</si>
  <si>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</si>
  <si>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</si>
  <si>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</si>
  <si>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</si>
  <si>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</si>
  <si>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</si>
  <si>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</si>
  <si>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</si>
  <si>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</si>
  <si>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</si>
  <si>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</si>
  <si>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</si>
  <si>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</si>
  <si>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</si>
  <si>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</si>
  <si>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</si>
  <si>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</si>
  <si>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</si>
  <si>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</si>
  <si>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</si>
  <si>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</si>
  <si>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</si>
  <si>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</si>
  <si>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</si>
  <si>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</si>
  <si>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</si>
  <si>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</si>
  <si>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</si>
  <si>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</si>
  <si>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</si>
  <si>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</si>
  <si>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</si>
  <si>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</si>
  <si>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</si>
  <si>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</si>
  <si>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</si>
  <si>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</si>
  <si>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</si>
  <si>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</si>
  <si>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</si>
  <si>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</si>
  <si>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</si>
  <si>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</si>
  <si>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</si>
  <si>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</si>
  <si>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</si>
  <si>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</si>
  <si>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</si>
  <si>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</si>
  <si>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</si>
  <si>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</si>
  <si>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</si>
  <si>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</si>
  <si>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</si>
  <si>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</si>
  <si>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</si>
  <si>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</si>
  <si>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</si>
  <si>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</si>
  <si>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</si>
  <si>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</si>
  <si>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</si>
  <si>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</si>
  <si>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</si>
  <si>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</si>
  <si>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</si>
  <si>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</si>
  <si>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</si>
  <si>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</si>
  <si>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</si>
  <si>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</si>
  <si>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</si>
  <si>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</si>
  <si>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</si>
  <si>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</si>
  <si>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</si>
  <si>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</si>
  <si>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</si>
  <si>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</si>
  <si>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</si>
  <si>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</si>
  <si>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</si>
  <si>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</si>
  <si>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</si>
  <si>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</si>
  <si>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</si>
  <si>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</si>
  <si>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</si>
  <si>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</si>
  <si>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</si>
  <si>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</si>
  <si>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</si>
  <si>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</si>
  <si>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</si>
  <si>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</si>
  <si>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</si>
  <si>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</si>
  <si>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</si>
  <si>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</si>
  <si>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</si>
  <si>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</si>
  <si>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</si>
  <si>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</si>
  <si>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</si>
  <si>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</si>
  <si>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</si>
  <si>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</si>
  <si>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</si>
  <si>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</si>
  <si>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</si>
  <si>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</si>
  <si>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</si>
  <si>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</si>
  <si>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</si>
  <si>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</si>
  <si>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</si>
  <si>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</si>
  <si>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</si>
  <si>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</si>
  <si>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</si>
  <si>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</si>
  <si>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</si>
  <si>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</si>
  <si>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</si>
  <si>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</si>
  <si>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</si>
  <si>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</si>
  <si>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</si>
  <si>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</si>
  <si>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</si>
  <si>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</si>
  <si>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</si>
  <si>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</si>
  <si>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</si>
  <si>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</si>
  <si>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</si>
  <si>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</si>
  <si>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</si>
  <si>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</si>
  <si>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</si>
  <si>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</si>
  <si>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</si>
  <si>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</si>
  <si>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</si>
  <si>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</si>
  <si>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</si>
  <si>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</si>
  <si>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</si>
  <si>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</si>
  <si>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</si>
  <si>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</si>
  <si>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</si>
  <si>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</si>
  <si>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</si>
  <si>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</si>
  <si>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</si>
  <si>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</si>
  <si>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</si>
  <si>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</si>
  <si>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</si>
  <si>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</si>
  <si>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</si>
  <si>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</si>
  <si>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</si>
  <si>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</si>
  <si>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</si>
  <si>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</si>
  <si>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</si>
  <si>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</si>
  <si>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</si>
  <si>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</si>
  <si>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</si>
  <si>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</si>
  <si>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</si>
  <si>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</si>
  <si>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</si>
  <si>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</si>
  <si>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</si>
  <si>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</si>
  <si>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</si>
  <si>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</si>
  <si>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</si>
  <si>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</si>
  <si>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</si>
  <si>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</si>
  <si>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</si>
  <si>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V001018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</si>
  <si>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</si>
  <si>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</si>
  <si>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</si>
  <si>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</si>
  <si>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</si>
  <si>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</si>
  <si>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</si>
  <si>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</si>
  <si>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</si>
  <si>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</si>
  <si>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</si>
  <si>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</si>
  <si>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</si>
  <si>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</si>
  <si>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V001033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</si>
  <si>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</si>
  <si>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</si>
  <si>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</si>
  <si>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</si>
  <si>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</si>
  <si>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</si>
  <si>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</si>
  <si>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</si>
  <si>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</si>
  <si>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</si>
  <si>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</si>
  <si>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</si>
  <si>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</si>
  <si>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</si>
  <si>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</si>
  <si>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</si>
  <si>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</si>
  <si>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</si>
  <si>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</si>
  <si>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</si>
  <si>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</si>
  <si>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</si>
  <si>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</si>
  <si>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</si>
  <si>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</si>
  <si>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</si>
  <si>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</si>
  <si>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</si>
  <si>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</si>
  <si>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</si>
  <si>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</si>
  <si>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</si>
  <si>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</si>
  <si>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</si>
  <si>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</si>
  <si>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</si>
  <si>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</si>
  <si>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</si>
  <si>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</si>
  <si>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</si>
  <si>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</si>
  <si>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</si>
  <si>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</si>
  <si>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</si>
  <si>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</si>
  <si>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</si>
  <si>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</si>
  <si>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</si>
  <si>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</si>
  <si>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</si>
  <si>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</si>
  <si>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</si>
  <si>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</si>
  <si>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</si>
  <si>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</si>
  <si>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</si>
  <si>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</si>
  <si>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</si>
  <si>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</si>
  <si>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</si>
  <si>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</si>
  <si>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</si>
  <si>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</si>
  <si>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</si>
  <si>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</si>
  <si>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</si>
  <si>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</si>
  <si>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</si>
  <si>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</si>
  <si>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</si>
  <si>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</si>
  <si>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</si>
  <si>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</si>
  <si>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</si>
  <si>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</si>
  <si>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</si>
  <si>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</si>
  <si>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</si>
  <si>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</si>
  <si>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</si>
  <si>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</si>
  <si>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</si>
  <si>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</si>
  <si>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</si>
  <si>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</si>
  <si>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</si>
  <si>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</si>
  <si>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</si>
  <si>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</si>
  <si>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</si>
  <si>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</si>
  <si>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</si>
  <si>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</si>
  <si>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</si>
  <si>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</si>
  <si>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</si>
  <si>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</si>
  <si>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</si>
  <si>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</si>
  <si>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</si>
  <si>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</si>
  <si>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</si>
  <si>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</si>
  <si>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</si>
  <si>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</si>
  <si>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</si>
  <si>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</si>
  <si>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</si>
  <si>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</si>
  <si>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</si>
  <si>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</si>
  <si>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</si>
  <si>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</si>
  <si>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</si>
  <si>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</si>
  <si>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</si>
  <si>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</si>
  <si>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</si>
  <si>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</si>
  <si>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</si>
  <si>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</si>
  <si>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</si>
  <si>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</si>
  <si>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</si>
  <si>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</si>
  <si>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</si>
  <si>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</si>
  <si>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</si>
  <si>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</si>
  <si>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</si>
  <si>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</si>
  <si>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</si>
  <si>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</si>
  <si>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</si>
  <si>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</si>
  <si>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</si>
  <si>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</si>
  <si>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</si>
  <si>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</si>
  <si>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</si>
  <si>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</si>
  <si>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</si>
  <si>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</si>
  <si>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</si>
  <si>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</si>
  <si>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</si>
  <si>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</si>
  <si>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</si>
  <si>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</si>
  <si>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</si>
  <si>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</si>
  <si>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</si>
  <si>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</si>
  <si>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</si>
  <si>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</si>
  <si>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</si>
  <si>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</si>
  <si>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</si>
  <si>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</si>
  <si>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</si>
  <si>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</si>
  <si>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</si>
  <si>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</si>
  <si>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</si>
  <si>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</si>
  <si>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</si>
  <si>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</si>
  <si>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</si>
  <si>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</si>
  <si>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</si>
  <si>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</si>
  <si>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</si>
  <si>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</si>
  <si>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</si>
  <si>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</si>
  <si>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</si>
  <si>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</si>
  <si>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</si>
  <si>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</si>
  <si>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</si>
  <si>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</si>
  <si>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</si>
  <si>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</si>
  <si>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</si>
  <si>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</si>
  <si>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</si>
  <si>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</si>
  <si>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</si>
  <si>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</si>
  <si>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</si>
  <si>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</si>
  <si>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</si>
  <si>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</si>
  <si>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</si>
  <si>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</si>
  <si>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</si>
  <si>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</si>
  <si>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</si>
  <si>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</si>
  <si>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</si>
  <si>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</si>
  <si>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</si>
  <si>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</si>
  <si>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</si>
  <si>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</si>
  <si>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</si>
  <si>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</si>
  <si>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</si>
  <si>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</si>
  <si>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</si>
  <si>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</si>
  <si>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</si>
  <si>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</si>
  <si>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</si>
  <si>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</si>
  <si>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</si>
  <si>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</si>
  <si>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</si>
  <si>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</si>
  <si>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</si>
  <si>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</si>
  <si>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</si>
  <si>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</si>
  <si>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</si>
  <si>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</si>
  <si>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</si>
  <si>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</si>
  <si>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</si>
  <si>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</si>
  <si>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</si>
  <si>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</si>
  <si>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</si>
  <si>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</si>
  <si>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</si>
  <si>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</si>
  <si>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</si>
  <si>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</si>
  <si>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</si>
  <si>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</si>
  <si>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</si>
  <si>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</si>
  <si>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</si>
  <si>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</si>
  <si>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</si>
  <si>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</si>
  <si>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</si>
  <si>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</si>
  <si>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</si>
  <si>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</si>
  <si>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</si>
  <si>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</si>
  <si>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</si>
  <si>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</si>
  <si>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</si>
  <si>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</si>
  <si>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</si>
  <si>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</si>
  <si>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</si>
  <si>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</si>
  <si>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</si>
  <si>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</si>
  <si>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</si>
  <si>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</si>
  <si>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</si>
  <si>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</si>
  <si>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</si>
  <si>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</si>
  <si>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</si>
  <si>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</si>
  <si>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</si>
  <si>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</si>
  <si>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</si>
  <si>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</si>
  <si>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</si>
  <si>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</si>
  <si>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</si>
  <si>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</si>
  <si>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</si>
  <si>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</si>
  <si>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</si>
  <si>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</si>
  <si>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</si>
  <si>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</si>
  <si>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</si>
  <si>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</si>
  <si>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</si>
  <si>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</si>
  <si>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</si>
  <si>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</si>
  <si>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</si>
  <si>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</si>
  <si>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</si>
  <si>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</si>
  <si>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</si>
  <si>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</si>
  <si>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</si>
  <si>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</si>
  <si>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</si>
  <si>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</si>
  <si>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</si>
  <si>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</si>
  <si>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</si>
  <si>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</si>
  <si>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</si>
  <si>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</si>
  <si>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</si>
  <si>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</si>
  <si>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</si>
  <si>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</si>
  <si>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</si>
  <si>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</si>
  <si>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</si>
  <si>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</si>
  <si>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</si>
  <si>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</si>
  <si>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</si>
  <si>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</si>
  <si>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</si>
  <si>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</si>
  <si>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</si>
  <si>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</si>
  <si>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</si>
  <si>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</si>
  <si>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</si>
  <si>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</si>
  <si>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</si>
  <si>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</si>
  <si>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</si>
  <si>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</si>
  <si>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</si>
  <si>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</si>
  <si>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</si>
  <si>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</si>
  <si>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</si>
  <si>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</si>
  <si>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</si>
  <si>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</si>
  <si>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</si>
  <si>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</si>
  <si>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</si>
  <si>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</si>
  <si>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</si>
  <si>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</si>
  <si>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</si>
  <si>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</si>
  <si>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</si>
  <si>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</si>
  <si>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</si>
  <si>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</si>
  <si>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</si>
  <si>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</si>
  <si>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</si>
  <si>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</si>
  <si>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</si>
  <si>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</si>
  <si>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</si>
  <si>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</si>
  <si>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</si>
  <si>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</si>
  <si>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</si>
  <si>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</si>
  <si>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</si>
  <si>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</si>
  <si>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</si>
  <si>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</si>
  <si>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</si>
  <si>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</si>
  <si>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</si>
  <si>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</si>
  <si>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</si>
  <si>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</si>
  <si>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</si>
  <si>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</si>
  <si>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</si>
  <si>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</si>
  <si>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</si>
  <si>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</si>
  <si>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</si>
  <si>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</si>
  <si>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</si>
  <si>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</si>
  <si>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</si>
  <si>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</si>
  <si>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</si>
  <si>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</si>
  <si>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</si>
  <si>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</si>
  <si>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</si>
  <si>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</si>
  <si>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</si>
  <si>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</si>
  <si>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</si>
  <si>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</si>
  <si>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</si>
  <si>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</si>
  <si>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</si>
  <si>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</si>
  <si>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</si>
  <si>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</si>
  <si>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V001433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</si>
  <si>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</si>
  <si>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</si>
  <si>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</si>
  <si>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</si>
  <si>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</si>
  <si>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</si>
  <si>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</si>
  <si>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</si>
  <si>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</si>
  <si>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</si>
  <si>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</si>
  <si>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</si>
  <si>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</si>
  <si>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</si>
  <si>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</si>
  <si>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</si>
  <si>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</si>
  <si>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</si>
  <si>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</si>
  <si>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</si>
  <si>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</si>
  <si>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</si>
  <si>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</si>
  <si>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</si>
  <si>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</si>
  <si>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</si>
  <si>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</si>
  <si>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</si>
  <si>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</si>
  <si>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</si>
  <si>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</si>
  <si>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</si>
  <si>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</si>
  <si>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</si>
  <si>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</si>
  <si>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</si>
  <si>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</si>
  <si>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</si>
  <si>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</si>
  <si>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</si>
  <si>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</si>
  <si>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</si>
  <si>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</si>
  <si>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</si>
  <si>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</si>
  <si>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</si>
  <si>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</si>
  <si>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</si>
  <si>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</si>
  <si>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</si>
  <si>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</si>
  <si>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</si>
  <si>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</si>
  <si>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</si>
  <si>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</si>
  <si>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</si>
  <si>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</si>
  <si>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</si>
  <si>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</si>
  <si>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</si>
  <si>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</si>
  <si>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</si>
  <si>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</si>
  <si>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</si>
  <si>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</si>
  <si>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</si>
  <si>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</si>
  <si>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</si>
  <si>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</si>
  <si>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V001503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</si>
  <si>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</si>
  <si>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</si>
  <si>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</si>
  <si>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</si>
  <si>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</si>
  <si>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</si>
  <si>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</si>
  <si>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</si>
  <si>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</si>
  <si>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</si>
  <si>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</si>
  <si>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</si>
  <si>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</si>
  <si>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</si>
  <si>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</si>
  <si>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</si>
  <si>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</si>
  <si>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</si>
  <si>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</si>
  <si>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</si>
  <si>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</si>
  <si>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</si>
  <si>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</si>
  <si>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</si>
  <si>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</si>
  <si>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</si>
  <si>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</si>
  <si>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</si>
  <si>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</si>
  <si>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</si>
  <si>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</si>
  <si>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</si>
  <si>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</si>
  <si>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</si>
  <si>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</si>
  <si>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</si>
  <si>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</si>
  <si>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V001541</t>
  </si>
  <si>
    <t>V001542</t>
  </si>
  <si>
    <t>V001543</t>
  </si>
  <si>
    <t>V001544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</si>
  <si>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</si>
  <si>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</si>
  <si>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</si>
  <si>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</si>
  <si>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</si>
  <si>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</si>
  <si>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</si>
  <si>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</si>
  <si>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</si>
  <si>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</si>
  <si>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</si>
  <si>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</si>
  <si>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</si>
  <si>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</si>
  <si>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</si>
  <si>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</si>
  <si>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</si>
  <si>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</si>
  <si>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</si>
  <si>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</si>
  <si>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</si>
  <si>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</si>
  <si>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</si>
  <si>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</si>
  <si>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</si>
  <si>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</si>
  <si>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V001571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</si>
  <si>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</si>
  <si>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</si>
  <si>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</si>
  <si>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</si>
  <si>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</si>
  <si>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</si>
  <si>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</si>
  <si>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</si>
  <si>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</si>
  <si>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</si>
  <si>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</si>
  <si>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</si>
  <si>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</si>
  <si>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</si>
  <si>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</si>
  <si>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</si>
  <si>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</si>
  <si>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</si>
  <si>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</si>
  <si>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</si>
  <si>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</si>
  <si>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</si>
  <si>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</si>
  <si>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</si>
  <si>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</si>
  <si>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V001597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</si>
  <si>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</si>
  <si>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</si>
  <si>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</si>
  <si>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</si>
  <si>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</si>
  <si>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</si>
  <si>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</si>
  <si>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</si>
  <si>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</si>
  <si>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</si>
  <si>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</si>
  <si>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</si>
  <si>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</si>
  <si>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</si>
  <si>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</si>
  <si>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</si>
  <si>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</si>
  <si>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</si>
  <si>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</si>
  <si>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</si>
  <si>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</si>
  <si>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</si>
  <si>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</si>
  <si>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</si>
  <si>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</si>
  <si>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</si>
  <si>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</si>
  <si>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</si>
  <si>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</si>
  <si>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</si>
  <si>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</si>
  <si>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</si>
  <si>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V001630</t>
  </si>
  <si>
    <t>V001631</t>
  </si>
  <si>
    <t>V001632</t>
  </si>
  <si>
    <t>V001633</t>
  </si>
  <si>
    <t>V001634</t>
  </si>
  <si>
    <t>V001635</t>
  </si>
  <si>
    <t>V001636</t>
  </si>
  <si>
    <t>V001637</t>
  </si>
  <si>
    <t>V001638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</si>
  <si>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</si>
  <si>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</si>
  <si>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</si>
  <si>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</si>
  <si>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</si>
  <si>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</si>
  <si>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</si>
  <si>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</si>
  <si>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</si>
  <si>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</si>
  <si>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</si>
  <si>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</si>
  <si>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</si>
  <si>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</si>
  <si>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</si>
  <si>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</si>
  <si>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</si>
  <si>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</si>
  <si>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</si>
  <si>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</si>
  <si>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V001659</t>
  </si>
  <si>
    <t>V001660</t>
  </si>
  <si>
    <t>V001661</t>
  </si>
  <si>
    <t>V001662</t>
  </si>
  <si>
    <t>V001663</t>
  </si>
  <si>
    <t>V001664</t>
  </si>
  <si>
    <t>V001665</t>
  </si>
  <si>
    <t>V001666</t>
  </si>
  <si>
    <t>V001667</t>
  </si>
  <si>
    <t>V001668</t>
  </si>
  <si>
    <t>V001669</t>
  </si>
  <si>
    <t>V001670</t>
  </si>
  <si>
    <t>V001671</t>
  </si>
  <si>
    <t>V001672</t>
  </si>
  <si>
    <t>V001673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</si>
  <si>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</si>
  <si>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</si>
  <si>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</si>
  <si>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</si>
  <si>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</si>
  <si>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</si>
  <si>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</si>
  <si>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</si>
  <si>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</si>
  <si>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</si>
  <si>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</si>
  <si>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</si>
  <si>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</si>
  <si>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</si>
  <si>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</si>
  <si>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</si>
  <si>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</si>
  <si>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</si>
  <si>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</si>
  <si>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</si>
  <si>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</si>
  <si>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</si>
  <si>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</si>
  <si>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</si>
  <si>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</si>
  <si>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</si>
  <si>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</si>
  <si>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</si>
  <si>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</si>
  <si>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</si>
  <si>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</si>
  <si>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</si>
  <si>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</si>
  <si>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</si>
  <si>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</si>
  <si>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</si>
  <si>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</si>
  <si>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</si>
  <si>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</si>
  <si>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</si>
  <si>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</si>
  <si>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</si>
  <si>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</si>
  <si>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</si>
  <si>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</si>
  <si>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</si>
  <si>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</si>
  <si>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</si>
  <si>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</si>
  <si>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</si>
  <si>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</si>
  <si>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</si>
  <si>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</si>
  <si>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</si>
  <si>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</si>
  <si>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</si>
  <si>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</si>
  <si>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</si>
  <si>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</si>
  <si>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</si>
  <si>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</si>
  <si>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</si>
  <si>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</si>
  <si>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V001737</t>
  </si>
  <si>
    <t>V001738</t>
  </si>
  <si>
    <t>V001739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</si>
  <si>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</si>
  <si>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</si>
  <si>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</si>
  <si>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</si>
  <si>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</si>
  <si>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</si>
  <si>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</si>
  <si>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</si>
  <si>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V001748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</si>
  <si>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</si>
  <si>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</si>
  <si>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</si>
  <si>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</si>
  <si>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</si>
  <si>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</si>
  <si>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</si>
  <si>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</si>
  <si>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V001757</t>
  </si>
  <si>
    <t>V001758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</si>
  <si>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</si>
  <si>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</si>
  <si>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</si>
  <si>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</si>
  <si>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</si>
  <si>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</si>
  <si>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</si>
  <si>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</si>
  <si>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</si>
  <si>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</si>
  <si>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</si>
  <si>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</si>
  <si>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</si>
  <si>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</si>
  <si>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</si>
  <si>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</si>
  <si>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</si>
  <si>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</si>
  <si>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</si>
  <si>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</si>
  <si>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</si>
  <si>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</si>
  <si>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</si>
  <si>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</si>
  <si>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</si>
  <si>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</si>
  <si>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</si>
  <si>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</si>
  <si>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</si>
  <si>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</si>
  <si>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</si>
  <si>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</si>
  <si>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</si>
  <si>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V001792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</si>
  <si>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</si>
  <si>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</si>
  <si>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</si>
  <si>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</si>
  <si>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</si>
  <si>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</si>
  <si>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</si>
  <si>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</si>
  <si>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</si>
  <si>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</si>
  <si>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</si>
  <si>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</si>
  <si>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</si>
  <si>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</si>
  <si>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</si>
  <si>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</si>
  <si>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</si>
  <si>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</si>
  <si>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</si>
  <si>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</si>
  <si>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</si>
  <si>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</si>
  <si>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</si>
  <si>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</si>
  <si>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</si>
  <si>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</si>
  <si>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</si>
  <si>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</si>
  <si>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</si>
  <si>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</si>
  <si>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</si>
  <si>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</si>
  <si>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</si>
  <si>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</si>
  <si>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</si>
  <si>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</si>
  <si>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</si>
  <si>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</si>
  <si>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</si>
  <si>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</si>
  <si>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</si>
  <si>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</si>
  <si>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</si>
  <si>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</si>
  <si>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</si>
  <si>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</si>
  <si>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</si>
  <si>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</si>
  <si>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</si>
  <si>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</si>
  <si>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</si>
  <si>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</si>
  <si>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</si>
  <si>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</si>
  <si>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</si>
  <si>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</si>
  <si>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</si>
  <si>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</si>
  <si>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</si>
  <si>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</si>
  <si>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</si>
  <si>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</si>
  <si>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</si>
  <si>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</si>
  <si>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</si>
  <si>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</si>
  <si>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</si>
  <si>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</si>
  <si>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</si>
  <si>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</si>
  <si>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</si>
  <si>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</si>
  <si>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</si>
  <si>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</si>
  <si>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</si>
  <si>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</si>
  <si>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V001869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</si>
  <si>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</si>
  <si>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</si>
  <si>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</si>
  <si>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</si>
  <si>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</si>
  <si>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</si>
  <si>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</si>
  <si>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</si>
  <si>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</si>
  <si>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</si>
  <si>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</si>
  <si>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</si>
  <si>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</si>
  <si>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</si>
  <si>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</si>
  <si>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</si>
  <si>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</si>
  <si>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</si>
  <si>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</si>
  <si>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</si>
  <si>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</si>
  <si>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</si>
  <si>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</si>
  <si>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</si>
  <si>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</si>
  <si>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</si>
  <si>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</si>
  <si>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</si>
  <si>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</si>
  <si>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</si>
  <si>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</si>
  <si>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</si>
  <si>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</si>
  <si>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</si>
  <si>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</si>
  <si>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</si>
  <si>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</si>
  <si>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</si>
  <si>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</si>
  <si>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</si>
  <si>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</si>
  <si>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</si>
  <si>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</si>
  <si>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</si>
  <si>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</si>
  <si>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</si>
  <si>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</si>
  <si>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</si>
  <si>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</si>
  <si>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</si>
  <si>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</si>
  <si>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</si>
  <si>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</si>
  <si>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</si>
  <si>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</si>
  <si>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</si>
  <si>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</si>
  <si>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</si>
  <si>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</si>
  <si>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</si>
  <si>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</si>
  <si>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</si>
  <si>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</si>
  <si>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</si>
  <si>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</si>
  <si>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</si>
  <si>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</si>
  <si>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</si>
  <si>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</si>
  <si>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</si>
  <si>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</si>
  <si>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</si>
  <si>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</si>
  <si>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</si>
  <si>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</si>
  <si>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</si>
  <si>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</si>
  <si>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</si>
  <si>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</si>
  <si>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</si>
  <si>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</si>
  <si>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</si>
  <si>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</si>
  <si>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</si>
  <si>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</si>
  <si>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</si>
  <si>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</si>
  <si>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</si>
  <si>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</si>
  <si>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</si>
  <si>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</si>
  <si>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</si>
  <si>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</si>
  <si>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</si>
  <si>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</si>
  <si>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</si>
  <si>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</si>
  <si>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</si>
  <si>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</si>
  <si>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</si>
  <si>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</si>
  <si>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</si>
  <si>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</si>
  <si>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</si>
  <si>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</si>
  <si>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</si>
  <si>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</si>
  <si>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</si>
  <si>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</si>
  <si>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</si>
  <si>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</si>
  <si>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</si>
  <si>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</si>
  <si>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V001983</t>
  </si>
  <si>
    <t>V001984</t>
  </si>
  <si>
    <t>V001985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</si>
  <si>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</si>
  <si>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</si>
  <si>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</si>
  <si>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</si>
  <si>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</si>
  <si>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</si>
  <si>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</si>
  <si>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</si>
  <si>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</si>
  <si>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</si>
  <si>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</si>
  <si>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</si>
  <si>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</si>
  <si>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</si>
  <si>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</si>
  <si>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V002001</t>
  </si>
  <si>
    <t>V002002</t>
  </si>
  <si>
    <t>V002003</t>
  </si>
  <si>
    <t>V002004</t>
  </si>
  <si>
    <t>V002005</t>
  </si>
  <si>
    <t>V002006</t>
  </si>
  <si>
    <t>V002007</t>
  </si>
  <si>
    <t>V002008</t>
  </si>
  <si>
    <t>V002009</t>
  </si>
  <si>
    <t>V002010</t>
  </si>
  <si>
    <t>V002011</t>
  </si>
  <si>
    <t>V002012</t>
  </si>
  <si>
    <t>V002013</t>
  </si>
  <si>
    <t>V002014</t>
  </si>
  <si>
    <t>V002015</t>
  </si>
  <si>
    <t>V002016</t>
  </si>
  <si>
    <t>V002017</t>
  </si>
  <si>
    <t>V002018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</si>
  <si>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</si>
  <si>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</si>
  <si>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</si>
  <si>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</si>
  <si>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</si>
  <si>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</si>
  <si>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</si>
  <si>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</si>
  <si>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V002027</t>
  </si>
  <si>
    <t>V002028</t>
  </si>
  <si>
    <t>V002029</t>
  </si>
  <si>
    <t>V002030</t>
  </si>
  <si>
    <t>V002031</t>
  </si>
  <si>
    <t>V002032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</si>
  <si>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</si>
  <si>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</si>
  <si>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</si>
  <si>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</si>
  <si>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</si>
  <si>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</si>
  <si>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</si>
  <si>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</si>
  <si>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</si>
  <si>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</si>
  <si>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V002043</t>
  </si>
  <si>
    <t>V002044</t>
  </si>
  <si>
    <t>V002045</t>
  </si>
  <si>
    <t>V002046</t>
  </si>
  <si>
    <t>V002047</t>
  </si>
  <si>
    <t>V002048</t>
  </si>
  <si>
    <t>V002049</t>
  </si>
  <si>
    <t>V002050</t>
  </si>
  <si>
    <t>V002051</t>
  </si>
  <si>
    <t>V002052</t>
  </si>
  <si>
    <t>V002053</t>
  </si>
  <si>
    <t>V002054</t>
  </si>
  <si>
    <t>V002055</t>
  </si>
  <si>
    <t>V002056</t>
  </si>
  <si>
    <t>V002057</t>
  </si>
  <si>
    <t>V002058</t>
  </si>
  <si>
    <t>V002059</t>
  </si>
  <si>
    <t>V002060</t>
  </si>
  <si>
    <t>V002061</t>
  </si>
  <si>
    <t>V002062</t>
  </si>
  <si>
    <t>V002063</t>
  </si>
  <si>
    <t>V002064</t>
  </si>
  <si>
    <t>V002065</t>
  </si>
  <si>
    <t>V002066</t>
  </si>
  <si>
    <t>V002067</t>
  </si>
  <si>
    <t>V002068</t>
  </si>
  <si>
    <t>V002069</t>
  </si>
  <si>
    <t>V002070</t>
  </si>
  <si>
    <t>V002071</t>
  </si>
  <si>
    <t>V002072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</si>
  <si>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</si>
  <si>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</si>
  <si>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</si>
  <si>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</si>
  <si>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</si>
  <si>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</si>
  <si>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</si>
  <si>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</si>
  <si>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</si>
  <si>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</si>
  <si>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V002083</t>
  </si>
  <si>
    <t>V002084</t>
  </si>
  <si>
    <t>V002085</t>
  </si>
  <si>
    <t>V002086</t>
  </si>
  <si>
    <t>V002087</t>
  </si>
  <si>
    <t>V002088</t>
  </si>
  <si>
    <t>V002089</t>
  </si>
  <si>
    <t>V002090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</si>
  <si>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</si>
  <si>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</si>
  <si>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</si>
  <si>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</si>
  <si>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</si>
  <si>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</si>
  <si>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</si>
  <si>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</si>
  <si>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V002099</t>
  </si>
  <si>
    <t>V002100</t>
  </si>
  <si>
    <t>V002101</t>
  </si>
  <si>
    <t>V002102</t>
  </si>
  <si>
    <t>V002103</t>
  </si>
  <si>
    <t>V002104</t>
  </si>
  <si>
    <t>V002105</t>
  </si>
  <si>
    <t>V002106</t>
  </si>
  <si>
    <t>V002107</t>
  </si>
  <si>
    <t>V002108</t>
  </si>
  <si>
    <t>V002109</t>
  </si>
  <si>
    <t>V002110</t>
  </si>
  <si>
    <t>V002111</t>
  </si>
  <si>
    <t>V002112</t>
  </si>
  <si>
    <t>V002113</t>
  </si>
  <si>
    <t>V002114</t>
  </si>
  <si>
    <t>V002115</t>
  </si>
  <si>
    <t>V002116</t>
  </si>
  <si>
    <t>V002117</t>
  </si>
  <si>
    <t>V002118</t>
  </si>
  <si>
    <t>V002119</t>
  </si>
  <si>
    <t>V002120</t>
  </si>
  <si>
    <t>V002121</t>
  </si>
  <si>
    <t>V002122</t>
  </si>
  <si>
    <t>V002123</t>
  </si>
  <si>
    <t>V002124</t>
  </si>
  <si>
    <t>V002125</t>
  </si>
  <si>
    <t>V002126</t>
  </si>
  <si>
    <t>V002127</t>
  </si>
  <si>
    <t>V002128</t>
  </si>
  <si>
    <t>V002129</t>
  </si>
  <si>
    <t>V002130</t>
  </si>
  <si>
    <t>V002131</t>
  </si>
  <si>
    <t>V002132</t>
  </si>
  <si>
    <t>V002133</t>
  </si>
  <si>
    <t>V002134</t>
  </si>
  <si>
    <t>V002135</t>
  </si>
  <si>
    <t>V002136</t>
  </si>
  <si>
    <t>V002137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</si>
  <si>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</si>
  <si>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</si>
  <si>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</si>
  <si>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</si>
  <si>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</si>
  <si>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</si>
  <si>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</si>
  <si>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</si>
  <si>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</si>
  <si>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</si>
  <si>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V002148</t>
  </si>
  <si>
    <t>V002149</t>
  </si>
  <si>
    <t>V002150</t>
  </si>
  <si>
    <t>V002151</t>
  </si>
  <si>
    <t>V002152</t>
  </si>
  <si>
    <t>V002153</t>
  </si>
  <si>
    <t>V002154</t>
  </si>
  <si>
    <t>V002155</t>
  </si>
  <si>
    <t>V002156</t>
  </si>
  <si>
    <t>V002157</t>
  </si>
  <si>
    <t>V002158</t>
  </si>
  <si>
    <t>V002159</t>
  </si>
  <si>
    <t>V002160</t>
  </si>
  <si>
    <t>V002161</t>
  </si>
  <si>
    <t>V002162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</si>
  <si>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</si>
  <si>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</si>
  <si>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</si>
  <si>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</si>
  <si>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</si>
  <si>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</si>
  <si>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</si>
  <si>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</si>
  <si>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V002171</t>
  </si>
  <si>
    <t>V002172</t>
  </si>
  <si>
    <t>V002173</t>
  </si>
  <si>
    <t>V002174</t>
  </si>
  <si>
    <t>V002175</t>
  </si>
  <si>
    <t>V002176</t>
  </si>
  <si>
    <t>V002177</t>
  </si>
  <si>
    <t>V002178</t>
  </si>
  <si>
    <t>V002179</t>
  </si>
  <si>
    <t>V002180</t>
  </si>
  <si>
    <t>V002181</t>
  </si>
  <si>
    <t>V002182</t>
  </si>
  <si>
    <t>V002183</t>
  </si>
  <si>
    <t>V002184</t>
  </si>
  <si>
    <t>V002185</t>
  </si>
  <si>
    <t>V002186</t>
  </si>
  <si>
    <t>V002187</t>
  </si>
  <si>
    <t>V002188</t>
  </si>
  <si>
    <t>V002189</t>
  </si>
  <si>
    <t>V002190</t>
  </si>
  <si>
    <t>V002191</t>
  </si>
  <si>
    <t>V002192</t>
  </si>
  <si>
    <t>V002193</t>
  </si>
  <si>
    <t>V002194</t>
  </si>
  <si>
    <t>V002195</t>
  </si>
  <si>
    <t>V002196</t>
  </si>
  <si>
    <t>V002197</t>
  </si>
  <si>
    <t>V002198</t>
  </si>
  <si>
    <t>V002199</t>
  </si>
  <si>
    <t>V002200</t>
  </si>
  <si>
    <t>valoracion_cliente_desc</t>
  </si>
  <si>
    <t>Suma de cantidad</t>
  </si>
  <si>
    <t>precio</t>
  </si>
  <si>
    <t>precio_pedido</t>
  </si>
  <si>
    <t>Suma de precio_pedido</t>
  </si>
  <si>
    <t>Etiquetas de fila</t>
  </si>
  <si>
    <t>Total general</t>
  </si>
  <si>
    <t>2023</t>
  </si>
  <si>
    <t>2024</t>
  </si>
  <si>
    <t>2025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</si>
  <si>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</si>
  <si>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</si>
  <si>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</si>
  <si>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</si>
  <si>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</si>
  <si>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</si>
  <si>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</si>
  <si>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</si>
  <si>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</si>
  <si>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</si>
  <si>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</si>
  <si>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</si>
  <si>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0-9</t>
  </si>
  <si>
    <t>10-19</t>
  </si>
  <si>
    <t>20-29</t>
  </si>
  <si>
    <t>30-39</t>
  </si>
  <si>
    <t>40-49</t>
  </si>
  <si>
    <t>50-59</t>
  </si>
  <si>
    <t>60-69</t>
  </si>
  <si>
    <t>70-79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</si>
</sst>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[$€-C0A]_-;\-* #,##0\ [$€-C0A]_-;_-* &quot;-&quot;??\ [$€-C0A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color rgb="FF9C0006"/>
      </font>
      <fill>
        <patternFill>
          <bgColor rgb="FFFFC7CE"/>
        </patternFill>
      </fill>
    </dxf>
    <dxf>
      <numFmt numFmtId="34" formatCode="_-* #,##0.00\ &quot;€&quot;_-;\-* #,##0.0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8080"/>
      <color rgb="FF33CCC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styles" Target="styles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[informe_EDA.xlsx]TD!ventasXcategoria</c:name>
    <c:fmtId val="7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rgbClr val="008080"/>
              </a:gs>
              <a:gs pos="83000">
                <a:srgbClr val="009999"/>
              </a:gs>
              <a:gs pos="100000">
                <a:srgbClr val="33CCCC">
                  <a:lumMod val="97000"/>
                </a:srgbClr>
              </a:gs>
            </a:gsLst>
            <a:lin ang="54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808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rgbClr val="008080"/>
              </a:gs>
              <a:gs pos="83000">
                <a:srgbClr val="009999"/>
              </a:gs>
              <a:gs pos="100000">
                <a:srgbClr val="33CCCC">
                  <a:lumMod val="97000"/>
                </a:srgbClr>
              </a:gs>
            </a:gsLst>
            <a:lin ang="54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808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rgbClr val="008080"/>
              </a:gs>
              <a:gs pos="83000">
                <a:srgbClr val="009999"/>
              </a:gs>
              <a:gs pos="100000">
                <a:srgbClr val="33CCCC">
                  <a:lumMod val="97000"/>
                </a:srgbClr>
              </a:gs>
            </a:gsLst>
            <a:lin ang="54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TD!$C$8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rgbClr val="008080"/>
                </a:gs>
                <a:gs pos="83000">
                  <a:srgbClr val="009999"/>
                </a:gs>
                <a:gs pos="100000">
                  <a:srgbClr val="33CCCC">
                    <a:lumMod val="97000"/>
                  </a:srgb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TD!$B$9:$B$27</c:f>
              <c:strCache>
                <c:ptCount val="18"/>
                <c:pt idx="0">
                  <c:v>Autoayuda</c:v>
                </c:pt>
                <c:pt idx="1">
                  <c:v>Biografía</c:v>
                </c:pt>
                <c:pt idx="2">
                  <c:v>Ciencia</c:v>
                </c:pt>
                <c:pt idx="3">
                  <c:v>Ciencia Ficción</c:v>
                </c:pt>
                <c:pt idx="4">
                  <c:v>Clásico</c:v>
                </c:pt>
                <c:pt idx="5">
                  <c:v>Cocina</c:v>
                </c:pt>
                <c:pt idx="6">
                  <c:v>Cómic</c:v>
                </c:pt>
                <c:pt idx="7">
                  <c:v>Ensayo</c:v>
                </c:pt>
                <c:pt idx="8">
                  <c:v>Fantasía</c:v>
                </c:pt>
                <c:pt idx="9">
                  <c:v>Fantasía Juvenil</c:v>
                </c:pt>
                <c:pt idx="10">
                  <c:v>Ficción</c:v>
                </c:pt>
                <c:pt idx="11">
                  <c:v>Finanzas</c:v>
                </c:pt>
                <c:pt idx="12">
                  <c:v>Histórica</c:v>
                </c:pt>
                <c:pt idx="13">
                  <c:v>Infantil</c:v>
                </c:pt>
                <c:pt idx="14">
                  <c:v>Poesía</c:v>
                </c:pt>
                <c:pt idx="15">
                  <c:v>Teatro</c:v>
                </c:pt>
                <c:pt idx="16">
                  <c:v>Terror</c:v>
                </c:pt>
                <c:pt idx="17">
                  <c:v>Thriller</c:v>
                </c:pt>
              </c:strCache>
            </c:strRef>
          </c:cat>
          <c:val>
            <c:numRef>
              <c:f>TD!$C$9:$C$27</c:f>
              <c:numCache>
                <c:formatCode>General</c:formatCode>
                <c:ptCount val="18"/>
                <c:pt idx="0">
                  <c:v>126</c:v>
                </c:pt>
                <c:pt idx="1">
                  <c:v>21</c:v>
                </c:pt>
                <c:pt idx="2">
                  <c:v>113</c:v>
                </c:pt>
                <c:pt idx="3">
                  <c:v>141</c:v>
                </c:pt>
                <c:pt idx="4">
                  <c:v>533</c:v>
                </c:pt>
                <c:pt idx="5">
                  <c:v>81</c:v>
                </c:pt>
                <c:pt idx="6">
                  <c:v>152</c:v>
                </c:pt>
                <c:pt idx="7">
                  <c:v>106</c:v>
                </c:pt>
                <c:pt idx="8">
                  <c:v>298</c:v>
                </c:pt>
                <c:pt idx="9">
                  <c:v>268</c:v>
                </c:pt>
                <c:pt idx="10">
                  <c:v>282</c:v>
                </c:pt>
                <c:pt idx="11">
                  <c:v>82</c:v>
                </c:pt>
                <c:pt idx="12">
                  <c:v>73</c:v>
                </c:pt>
                <c:pt idx="13">
                  <c:v>222</c:v>
                </c:pt>
                <c:pt idx="14">
                  <c:v>67</c:v>
                </c:pt>
                <c:pt idx="15">
                  <c:v>33</c:v>
                </c:pt>
                <c:pt idx="16">
                  <c:v>185</c:v>
                </c:pt>
                <c:pt idx="17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3-4DA0-90FB-835B2A1F00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36"/>
        <c:shape val="box"/>
        <c:axId val="577840944"/>
        <c:axId val="577835544"/>
        <c:axId val="0"/>
      </c:bar3DChart>
      <c:catAx>
        <c:axId val="57784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7835544"/>
        <c:crosses val="autoZero"/>
        <c:auto val="1"/>
        <c:lblAlgn val="ctr"/>
        <c:lblOffset val="100"/>
        <c:noMultiLvlLbl val="0"/>
      </c:catAx>
      <c:valAx>
        <c:axId val="57783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784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[informe_EDA.xlsx]TD!ventas_tiempo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 w="22225" cap="rnd">
            <a:solidFill>
              <a:srgbClr val="008080"/>
            </a:solidFill>
            <a:round/>
          </a:ln>
          <a:effectLst/>
        </c:spPr>
        <c:marker>
          <c:spPr>
            <a:solidFill>
              <a:srgbClr val="33CCCC"/>
            </a:solidFill>
            <a:ln w="15875">
              <a:solidFill>
                <a:srgbClr val="009999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rgbClr val="008080"/>
            </a:solidFill>
            <a:round/>
          </a:ln>
          <a:effectLst/>
        </c:spPr>
        <c:marker>
          <c:spPr>
            <a:solidFill>
              <a:srgbClr val="33CCCC"/>
            </a:solidFill>
            <a:ln w="15875">
              <a:solidFill>
                <a:srgbClr val="009999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rgbClr val="008080"/>
            </a:solidFill>
            <a:round/>
          </a:ln>
          <a:effectLst/>
        </c:spPr>
        <c:marker>
          <c:symbol val="circle"/>
          <c:size val="6"/>
          <c:spPr>
            <a:solidFill>
              <a:srgbClr val="33CCCC"/>
            </a:solidFill>
            <a:ln w="15875">
              <a:solidFill>
                <a:srgbClr val="009999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TD!$L$2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33CCCC"/>
              </a:solidFill>
              <a:ln w="15875">
                <a:solidFill>
                  <a:srgbClr val="009999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TD!$K$3:$K$42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TD!$L$3:$L$42</c:f>
              <c:numCache>
                <c:formatCode>General</c:formatCode>
                <c:ptCount val="36"/>
                <c:pt idx="0">
                  <c:v>75</c:v>
                </c:pt>
                <c:pt idx="1">
                  <c:v>67</c:v>
                </c:pt>
                <c:pt idx="2">
                  <c:v>110</c:v>
                </c:pt>
                <c:pt idx="3">
                  <c:v>86</c:v>
                </c:pt>
                <c:pt idx="4">
                  <c:v>84</c:v>
                </c:pt>
                <c:pt idx="5">
                  <c:v>89</c:v>
                </c:pt>
                <c:pt idx="6">
                  <c:v>119</c:v>
                </c:pt>
                <c:pt idx="7">
                  <c:v>98</c:v>
                </c:pt>
                <c:pt idx="8">
                  <c:v>80</c:v>
                </c:pt>
                <c:pt idx="9">
                  <c:v>113</c:v>
                </c:pt>
                <c:pt idx="10">
                  <c:v>93</c:v>
                </c:pt>
                <c:pt idx="11">
                  <c:v>88</c:v>
                </c:pt>
                <c:pt idx="12">
                  <c:v>86</c:v>
                </c:pt>
                <c:pt idx="13">
                  <c:v>107</c:v>
                </c:pt>
                <c:pt idx="14">
                  <c:v>95</c:v>
                </c:pt>
                <c:pt idx="15">
                  <c:v>73</c:v>
                </c:pt>
                <c:pt idx="16">
                  <c:v>83</c:v>
                </c:pt>
                <c:pt idx="17">
                  <c:v>86</c:v>
                </c:pt>
                <c:pt idx="18">
                  <c:v>82</c:v>
                </c:pt>
                <c:pt idx="19">
                  <c:v>102</c:v>
                </c:pt>
                <c:pt idx="20">
                  <c:v>82</c:v>
                </c:pt>
                <c:pt idx="21">
                  <c:v>94</c:v>
                </c:pt>
                <c:pt idx="22">
                  <c:v>97</c:v>
                </c:pt>
                <c:pt idx="23">
                  <c:v>77</c:v>
                </c:pt>
                <c:pt idx="24">
                  <c:v>78</c:v>
                </c:pt>
                <c:pt idx="25">
                  <c:v>90</c:v>
                </c:pt>
                <c:pt idx="26">
                  <c:v>87</c:v>
                </c:pt>
                <c:pt idx="27">
                  <c:v>80</c:v>
                </c:pt>
                <c:pt idx="28">
                  <c:v>86</c:v>
                </c:pt>
                <c:pt idx="29">
                  <c:v>78</c:v>
                </c:pt>
                <c:pt idx="30">
                  <c:v>85</c:v>
                </c:pt>
                <c:pt idx="31">
                  <c:v>77</c:v>
                </c:pt>
                <c:pt idx="32">
                  <c:v>44</c:v>
                </c:pt>
                <c:pt idx="33">
                  <c:v>101</c:v>
                </c:pt>
                <c:pt idx="34">
                  <c:v>96</c:v>
                </c:pt>
                <c:pt idx="35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D0-477B-B0DB-E65D5F34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050536"/>
        <c:axId val="572052696"/>
      </c:lineChart>
      <c:catAx>
        <c:axId val="5720505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2052696"/>
        <c:crosses val="autoZero"/>
        <c:auto val="1"/>
        <c:lblAlgn val="ctr"/>
        <c:lblOffset val="100"/>
        <c:noMultiLvlLbl val="0"/>
      </c:catAx>
      <c:valAx>
        <c:axId val="572052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205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00808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[informe_EDA.xlsx]TD!beneficios_tiempo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008080"/>
            </a:solidFill>
            <a:round/>
          </a:ln>
          <a:effectLst/>
        </c:spPr>
        <c:marker>
          <c:symbol val="circle"/>
          <c:size val="5"/>
          <c:spPr>
            <a:solidFill>
              <a:srgbClr val="33CCCC"/>
            </a:solidFill>
            <a:ln w="9525">
              <a:solidFill>
                <a:srgbClr val="00999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8080"/>
            </a:solidFill>
            <a:round/>
          </a:ln>
          <a:effectLst/>
        </c:spPr>
        <c:marker>
          <c:symbol val="circle"/>
          <c:size val="5"/>
          <c:spPr>
            <a:solidFill>
              <a:srgbClr val="33CCCC"/>
            </a:solidFill>
            <a:ln w="9525">
              <a:solidFill>
                <a:srgbClr val="00999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8080"/>
            </a:solidFill>
            <a:round/>
          </a:ln>
          <a:effectLst/>
        </c:spPr>
        <c:marker>
          <c:symbol val="circle"/>
          <c:size val="5"/>
          <c:spPr>
            <a:solidFill>
              <a:srgbClr val="33CCCC"/>
            </a:solidFill>
            <a:ln w="9525">
              <a:solidFill>
                <a:srgbClr val="00999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TD!$O$2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009999"/>
                </a:solidFill>
              </a:ln>
              <a:effectLst/>
            </c:spPr>
          </c:marker>
          <c:cat>
            <c:multiLvlStrRef>
              <c:f>TD!$N$3:$N$42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TD!$O$3:$O$42</c:f>
              <c:numCache>
                <c:formatCode>_("€"* #,##0.00_);_("€"* \(#,##0.00\);_("€"* "-"??_);_(@_)</c:formatCode>
                <c:ptCount val="36"/>
                <c:pt idx="0">
                  <c:v>634.88999999999987</c:v>
                </c:pt>
                <c:pt idx="1">
                  <c:v>692.40000000000009</c:v>
                </c:pt>
                <c:pt idx="2">
                  <c:v>831.6</c:v>
                </c:pt>
                <c:pt idx="3">
                  <c:v>835.71999999999991</c:v>
                </c:pt>
                <c:pt idx="4">
                  <c:v>909.96999999999991</c:v>
                </c:pt>
                <c:pt idx="5">
                  <c:v>753.57000000000016</c:v>
                </c:pt>
                <c:pt idx="6">
                  <c:v>1251.19</c:v>
                </c:pt>
                <c:pt idx="7">
                  <c:v>875.08000000000015</c:v>
                </c:pt>
                <c:pt idx="8">
                  <c:v>812.81999999999994</c:v>
                </c:pt>
                <c:pt idx="9">
                  <c:v>933.65999999999985</c:v>
                </c:pt>
                <c:pt idx="10">
                  <c:v>952.9200000000003</c:v>
                </c:pt>
                <c:pt idx="11">
                  <c:v>850.66000000000008</c:v>
                </c:pt>
                <c:pt idx="12">
                  <c:v>709.37000000000023</c:v>
                </c:pt>
                <c:pt idx="13">
                  <c:v>1169.6700000000003</c:v>
                </c:pt>
                <c:pt idx="14">
                  <c:v>920.77000000000055</c:v>
                </c:pt>
                <c:pt idx="15">
                  <c:v>797.7</c:v>
                </c:pt>
                <c:pt idx="16">
                  <c:v>915.82</c:v>
                </c:pt>
                <c:pt idx="17">
                  <c:v>854.69</c:v>
                </c:pt>
                <c:pt idx="18">
                  <c:v>761.0200000000001</c:v>
                </c:pt>
                <c:pt idx="19">
                  <c:v>1093.8</c:v>
                </c:pt>
                <c:pt idx="20">
                  <c:v>769.59</c:v>
                </c:pt>
                <c:pt idx="21">
                  <c:v>900.99000000000046</c:v>
                </c:pt>
                <c:pt idx="22">
                  <c:v>1063.04</c:v>
                </c:pt>
                <c:pt idx="23">
                  <c:v>939.31999999999994</c:v>
                </c:pt>
                <c:pt idx="24">
                  <c:v>782.74999999999977</c:v>
                </c:pt>
                <c:pt idx="25">
                  <c:v>969.25</c:v>
                </c:pt>
                <c:pt idx="26">
                  <c:v>757.87</c:v>
                </c:pt>
                <c:pt idx="27">
                  <c:v>795.21000000000026</c:v>
                </c:pt>
                <c:pt idx="28">
                  <c:v>841.8900000000001</c:v>
                </c:pt>
                <c:pt idx="29">
                  <c:v>627.94000000000017</c:v>
                </c:pt>
                <c:pt idx="30">
                  <c:v>718.97</c:v>
                </c:pt>
                <c:pt idx="31">
                  <c:v>752.41</c:v>
                </c:pt>
                <c:pt idx="32">
                  <c:v>451.0499999999999</c:v>
                </c:pt>
                <c:pt idx="33">
                  <c:v>1021.94</c:v>
                </c:pt>
                <c:pt idx="34">
                  <c:v>962.37999999999988</c:v>
                </c:pt>
                <c:pt idx="35">
                  <c:v>809.07999999999993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F9-4584-8001-11820FC3C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668384"/>
        <c:axId val="838669104"/>
      </c:lineChart>
      <c:catAx>
        <c:axId val="8386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8669104"/>
        <c:crosses val="autoZero"/>
        <c:auto val="1"/>
        <c:lblAlgn val="ctr"/>
        <c:lblOffset val="100"/>
        <c:noMultiLvlLbl val="0"/>
      </c:catAx>
      <c:valAx>
        <c:axId val="838669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866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[informe_EDA.xlsx]TD!edad</c:name>
    <c:fmtId val="11"/>
  </c:pivotSource>
  <c:chart>
    <c:autoTitleDeleted val="1"/>
    <c:pivotFmts>
      <c:pivotFmt>
        <c:idx val="0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TD!$C$30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8080"/>
                </a:gs>
                <a:gs pos="48000">
                  <a:srgbClr val="009999"/>
                </a:gs>
                <a:gs pos="100000">
                  <a:srgbClr val="33CCC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TD!$B$31:$B$39</c:f>
              <c:strCache>
                <c:ptCount val="8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</c:strCache>
            </c:strRef>
          </c:cat>
          <c:val>
            <c:numRef>
              <c:f>TD!$C$31:$C$39</c:f>
              <c:numCache>
                <c:formatCode>General</c:formatCode>
                <c:ptCount val="8"/>
                <c:pt idx="0">
                  <c:v>150</c:v>
                </c:pt>
                <c:pt idx="1">
                  <c:v>442</c:v>
                </c:pt>
                <c:pt idx="2">
                  <c:v>532</c:v>
                </c:pt>
                <c:pt idx="3">
                  <c:v>415</c:v>
                </c:pt>
                <c:pt idx="4">
                  <c:v>470</c:v>
                </c:pt>
                <c:pt idx="5">
                  <c:v>461</c:v>
                </c:pt>
                <c:pt idx="6">
                  <c:v>434</c:v>
                </c:pt>
                <c:pt idx="7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1-4461-8D22-DA76C525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362912"/>
        <c:axId val="847361472"/>
      </c:barChart>
      <c:catAx>
        <c:axId val="8473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61472"/>
        <c:crosses val="autoZero"/>
        <c:auto val="1"/>
        <c:lblAlgn val="ctr"/>
        <c:lblOffset val="100"/>
        <c:noMultiLvlLbl val="0"/>
      </c:catAx>
      <c:valAx>
        <c:axId val="8473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6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[informe_EDA.xlsx]TD!formato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11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8080">
              <a:alpha val="9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2"/>
        <c:spPr>
          <a:solidFill>
            <a:srgbClr val="009999">
              <a:alpha val="7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3"/>
        <c:spPr>
          <a:solidFill>
            <a:srgbClr val="33CCCC">
              <a:alpha val="55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11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8080">
              <a:alpha val="9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6"/>
        <c:spPr>
          <a:solidFill>
            <a:srgbClr val="009999">
              <a:alpha val="7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7"/>
        <c:spPr>
          <a:solidFill>
            <a:srgbClr val="33CCCC">
              <a:alpha val="55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11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008080">
              <a:alpha val="9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10"/>
        <c:spPr>
          <a:solidFill>
            <a:srgbClr val="009999">
              <a:alpha val="7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11"/>
        <c:spPr>
          <a:solidFill>
            <a:srgbClr val="33CCCC">
              <a:alpha val="55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857301159031808"/>
          <c:y val="0.18287759558191294"/>
          <c:w val="0.67775017287829054"/>
          <c:h val="0.74816102102893012"/>
        </c:manualLayout>
      </c:layout>
      <c:doughnutChart>
        <c:varyColors val="1"/>
        <c:ser>
          <c:idx val="0"/>
          <c:order val="0"/>
          <c:tx>
            <c:strRef>
              <c:f>TD!$C$41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ysClr val="windowText" lastClr="000000">
                  <a:lumMod val="25000"/>
                  <a:lumOff val="75000"/>
                  <a:alpha val="94000"/>
                </a:sysClr>
              </a:solidFill>
            </a:ln>
          </c:spPr>
          <c:dPt>
            <c:idx val="0"/>
            <c:bubble3D val="0"/>
            <c:spPr>
              <a:solidFill>
                <a:srgbClr val="008080">
                  <a:alpha val="96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  <a:alpha val="94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58-486F-9607-1A9FDF2597E6}"/>
              </c:ext>
            </c:extLst>
          </c:dPt>
          <c:dPt>
            <c:idx val="1"/>
            <c:bubble3D val="0"/>
            <c:spPr>
              <a:solidFill>
                <a:srgbClr val="009999">
                  <a:alpha val="76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  <a:alpha val="94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58-486F-9607-1A9FDF2597E6}"/>
              </c:ext>
            </c:extLst>
          </c:dPt>
          <c:dPt>
            <c:idx val="2"/>
            <c:bubble3D val="0"/>
            <c:spPr>
              <a:solidFill>
                <a:srgbClr val="33CCCC">
                  <a:alpha val="55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  <a:alpha val="94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58-486F-9607-1A9FDF2597E6}"/>
              </c:ext>
            </c:extLst>
          </c:dPt>
          <c:dLbls>
            <c:spPr>
              <a:solidFill>
                <a:sysClr val="window" lastClr="FFFFFF">
                  <a:alpha val="11000"/>
                </a:sys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TD!$B$42:$B$45</c:f>
              <c:strCache>
                <c:ptCount val="3"/>
                <c:pt idx="0">
                  <c:v>Bolsillo</c:v>
                </c:pt>
                <c:pt idx="1">
                  <c:v>Kindle</c:v>
                </c:pt>
                <c:pt idx="2">
                  <c:v>Tapa dura</c:v>
                </c:pt>
              </c:strCache>
            </c:strRef>
          </c:cat>
          <c:val>
            <c:numRef>
              <c:f>TD!$C$42:$C$45</c:f>
              <c:numCache>
                <c:formatCode>General</c:formatCode>
                <c:ptCount val="3"/>
                <c:pt idx="0">
                  <c:v>1089</c:v>
                </c:pt>
                <c:pt idx="1">
                  <c:v>1094</c:v>
                </c:pt>
                <c:pt idx="2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58-486F-9607-1A9FDF259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[informe_EDA.xlsx]TD!modoVenta</c:name>
    <c:fmtId val="14"/>
  </c:pivotSource>
  <c:chart>
    <c:autoTitleDeleted val="1"/>
    <c:pivotFmts>
      <c:pivotFmt>
        <c:idx val="0"/>
        <c:spPr>
          <a:solidFill>
            <a:srgbClr val="00808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C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808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808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808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33CCC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008080"/>
          </a:solidFill>
          <a:ln w="19050">
            <a:solidFill>
              <a:schemeClr val="bg1">
                <a:lumMod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8080"/>
          </a:solidFill>
          <a:ln w="19050">
            <a:solidFill>
              <a:schemeClr val="bg1">
                <a:lumMod val="85000"/>
              </a:scheme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33CCCC"/>
          </a:solidFill>
          <a:ln w="19050">
            <a:solidFill>
              <a:schemeClr val="bg1">
                <a:lumMod val="85000"/>
              </a:schemeClr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676863623816715"/>
          <c:y val="0.17824074074074073"/>
          <c:w val="0.57395770752485642"/>
          <c:h val="0.77314814814814814"/>
        </c:manualLayout>
      </c:layout>
      <c:pieChart>
        <c:varyColors val="1"/>
        <c:ser>
          <c:idx val="0"/>
          <c:order val="0"/>
          <c:tx>
            <c:strRef>
              <c:f>TD!$C$48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80"/>
            </a:solidFill>
            <a:ln>
              <a:solidFill>
                <a:schemeClr val="bg1">
                  <a:lumMod val="85000"/>
                </a:schemeClr>
              </a:solidFill>
            </a:ln>
          </c:spPr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E-4F7B-A72B-D6BEA8223225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E-4F7B-A72B-D6BEA8223225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C9E-4F7B-A72B-D6BEA8223225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C9E-4F7B-A72B-D6BEA82232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TD!$B$49:$B$51</c:f>
              <c:strCache>
                <c:ptCount val="2"/>
                <c:pt idx="0">
                  <c:v>Física</c:v>
                </c:pt>
                <c:pt idx="1">
                  <c:v>Online</c:v>
                </c:pt>
              </c:strCache>
            </c:strRef>
          </c:cat>
          <c:val>
            <c:numRef>
              <c:f>TD!$C$49:$C$51</c:f>
              <c:numCache>
                <c:formatCode>General</c:formatCode>
                <c:ptCount val="2"/>
                <c:pt idx="0">
                  <c:v>983</c:v>
                </c:pt>
                <c:pt idx="1">
                  <c:v>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E-4F7B-A72B-D6BEA8223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[informe_EDA.xlsx]TD!metodoPago</c:name>
    <c:fmtId val="11"/>
  </c:pivotSource>
  <c:chart>
    <c:autoTitleDeleted val="1"/>
    <c:pivotFmts>
      <c:pivotFmt>
        <c:idx val="0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TD!$C$54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8080"/>
                </a:gs>
                <a:gs pos="48000">
                  <a:srgbClr val="009999"/>
                </a:gs>
                <a:gs pos="100000">
                  <a:srgbClr val="33CCC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TD!$B$55:$B$60</c:f>
              <c:strCache>
                <c:ptCount val="5"/>
                <c:pt idx="0">
                  <c:v>Bizum</c:v>
                </c:pt>
                <c:pt idx="1">
                  <c:v>Efectivo</c:v>
                </c:pt>
                <c:pt idx="2">
                  <c:v>PayPal</c:v>
                </c:pt>
                <c:pt idx="3">
                  <c:v>Tarjeta</c:v>
                </c:pt>
                <c:pt idx="4">
                  <c:v>Transferencia</c:v>
                </c:pt>
              </c:strCache>
            </c:strRef>
          </c:cat>
          <c:val>
            <c:numRef>
              <c:f>TD!$C$55:$C$60</c:f>
              <c:numCache>
                <c:formatCode>General</c:formatCode>
                <c:ptCount val="5"/>
                <c:pt idx="0">
                  <c:v>636</c:v>
                </c:pt>
                <c:pt idx="1">
                  <c:v>572</c:v>
                </c:pt>
                <c:pt idx="2">
                  <c:v>668</c:v>
                </c:pt>
                <c:pt idx="3">
                  <c:v>637</c:v>
                </c:pt>
                <c:pt idx="4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7-43D9-887F-C0C3B5CAE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7388112"/>
        <c:axId val="847379112"/>
      </c:barChart>
      <c:catAx>
        <c:axId val="8473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79112"/>
        <c:crosses val="autoZero"/>
        <c:auto val="1"/>
        <c:lblAlgn val="ctr"/>
        <c:lblOffset val="100"/>
        <c:noMultiLvlLbl val="0"/>
      </c:catAx>
      <c:valAx>
        <c:axId val="84737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[informe_EDA.xlsx]TD!genero_cli</c:name>
    <c:fmtId val="36"/>
  </c:pivotSource>
  <c:chart>
    <c:autoTitleDeleted val="1"/>
    <c:pivotFmts>
      <c:pivotFmt>
        <c:idx val="0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TD!$C$63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8080"/>
                </a:gs>
                <a:gs pos="48000">
                  <a:srgbClr val="009999"/>
                </a:gs>
                <a:gs pos="100000">
                  <a:srgbClr val="33CCC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TD!$B$64:$B$68</c:f>
              <c:strCache>
                <c:ptCount val="4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  <c:pt idx="3">
                  <c:v>Prefiere no decir</c:v>
                </c:pt>
              </c:strCache>
            </c:strRef>
          </c:cat>
          <c:val>
            <c:numRef>
              <c:f>TD!$C$64:$C$68</c:f>
              <c:numCache>
                <c:formatCode>General</c:formatCode>
                <c:ptCount val="4"/>
                <c:pt idx="0">
                  <c:v>748</c:v>
                </c:pt>
                <c:pt idx="1">
                  <c:v>824</c:v>
                </c:pt>
                <c:pt idx="2">
                  <c:v>771</c:v>
                </c:pt>
                <c:pt idx="3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7-4E1C-91DB-E244FD594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886760"/>
        <c:axId val="1085892880"/>
      </c:barChart>
      <c:catAx>
        <c:axId val="108588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5892880"/>
        <c:crosses val="autoZero"/>
        <c:auto val="1"/>
        <c:lblAlgn val="ctr"/>
        <c:lblOffset val="100"/>
        <c:noMultiLvlLbl val="0"/>
      </c:catAx>
      <c:valAx>
        <c:axId val="10858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5886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[informe_EDA.xlsx]TD!ventasXcategoria</c:name>
    <c:fmtId val="1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rgbClr val="008080"/>
              </a:gs>
              <a:gs pos="83000">
                <a:srgbClr val="009999"/>
              </a:gs>
              <a:gs pos="100000">
                <a:srgbClr val="33CCCC">
                  <a:lumMod val="97000"/>
                </a:srgbClr>
              </a:gs>
            </a:gsLst>
            <a:lin ang="54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TD!$C$8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rgbClr val="008080"/>
                </a:gs>
                <a:gs pos="83000">
                  <a:srgbClr val="009999"/>
                </a:gs>
                <a:gs pos="100000">
                  <a:srgbClr val="33CCCC">
                    <a:lumMod val="97000"/>
                  </a:srgb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TD!$B$9:$B$27</c:f>
              <c:strCache>
                <c:ptCount val="18"/>
                <c:pt idx="0">
                  <c:v>Autoayuda</c:v>
                </c:pt>
                <c:pt idx="1">
                  <c:v>Biografía</c:v>
                </c:pt>
                <c:pt idx="2">
                  <c:v>Ciencia</c:v>
                </c:pt>
                <c:pt idx="3">
                  <c:v>Ciencia Ficción</c:v>
                </c:pt>
                <c:pt idx="4">
                  <c:v>Clásico</c:v>
                </c:pt>
                <c:pt idx="5">
                  <c:v>Cocina</c:v>
                </c:pt>
                <c:pt idx="6">
                  <c:v>Cómic</c:v>
                </c:pt>
                <c:pt idx="7">
                  <c:v>Ensayo</c:v>
                </c:pt>
                <c:pt idx="8">
                  <c:v>Fantasía</c:v>
                </c:pt>
                <c:pt idx="9">
                  <c:v>Fantasía Juvenil</c:v>
                </c:pt>
                <c:pt idx="10">
                  <c:v>Ficción</c:v>
                </c:pt>
                <c:pt idx="11">
                  <c:v>Finanzas</c:v>
                </c:pt>
                <c:pt idx="12">
                  <c:v>Histórica</c:v>
                </c:pt>
                <c:pt idx="13">
                  <c:v>Infantil</c:v>
                </c:pt>
                <c:pt idx="14">
                  <c:v>Poesía</c:v>
                </c:pt>
                <c:pt idx="15">
                  <c:v>Teatro</c:v>
                </c:pt>
                <c:pt idx="16">
                  <c:v>Terror</c:v>
                </c:pt>
                <c:pt idx="17">
                  <c:v>Thriller</c:v>
                </c:pt>
              </c:strCache>
            </c:strRef>
          </c:cat>
          <c:val>
            <c:numRef>
              <c:f>TD!$C$9:$C$27</c:f>
              <c:numCache>
                <c:formatCode>General</c:formatCode>
                <c:ptCount val="18"/>
                <c:pt idx="0">
                  <c:v>126</c:v>
                </c:pt>
                <c:pt idx="1">
                  <c:v>21</c:v>
                </c:pt>
                <c:pt idx="2">
                  <c:v>113</c:v>
                </c:pt>
                <c:pt idx="3">
                  <c:v>141</c:v>
                </c:pt>
                <c:pt idx="4">
                  <c:v>533</c:v>
                </c:pt>
                <c:pt idx="5">
                  <c:v>81</c:v>
                </c:pt>
                <c:pt idx="6">
                  <c:v>152</c:v>
                </c:pt>
                <c:pt idx="7">
                  <c:v>106</c:v>
                </c:pt>
                <c:pt idx="8">
                  <c:v>298</c:v>
                </c:pt>
                <c:pt idx="9">
                  <c:v>268</c:v>
                </c:pt>
                <c:pt idx="10">
                  <c:v>282</c:v>
                </c:pt>
                <c:pt idx="11">
                  <c:v>82</c:v>
                </c:pt>
                <c:pt idx="12">
                  <c:v>73</c:v>
                </c:pt>
                <c:pt idx="13">
                  <c:v>222</c:v>
                </c:pt>
                <c:pt idx="14">
                  <c:v>67</c:v>
                </c:pt>
                <c:pt idx="15">
                  <c:v>33</c:v>
                </c:pt>
                <c:pt idx="16">
                  <c:v>185</c:v>
                </c:pt>
                <c:pt idx="17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F-4EBA-A6FB-3AF90F06AB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36"/>
        <c:shape val="box"/>
        <c:axId val="577840944"/>
        <c:axId val="577835544"/>
        <c:axId val="0"/>
      </c:bar3DChart>
      <c:catAx>
        <c:axId val="57784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808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7835544"/>
        <c:crosses val="autoZero"/>
        <c:auto val="1"/>
        <c:lblAlgn val="ctr"/>
        <c:lblOffset val="100"/>
        <c:noMultiLvlLbl val="0"/>
      </c:catAx>
      <c:valAx>
        <c:axId val="57783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784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[informe_EDA.xlsx]TD!ventas_tiempo</c:name>
    <c:fmtId val="17"/>
  </c:pivotSource>
  <c:chart>
    <c:autoTitleDeleted val="1"/>
    <c:pivotFmts>
      <c:pivotFmt>
        <c:idx val="0"/>
        <c:spPr>
          <a:ln w="22225" cap="rnd">
            <a:solidFill>
              <a:srgbClr val="008080"/>
            </a:solidFill>
            <a:round/>
          </a:ln>
          <a:effectLst/>
        </c:spPr>
        <c:marker>
          <c:symbol val="circle"/>
          <c:size val="6"/>
          <c:spPr>
            <a:solidFill>
              <a:srgbClr val="33CCCC"/>
            </a:solidFill>
            <a:ln w="15875">
              <a:solidFill>
                <a:srgbClr val="009999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808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TD!$L$2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33CCCC"/>
              </a:solidFill>
              <a:ln w="15875">
                <a:solidFill>
                  <a:srgbClr val="009999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808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TD!$K$3:$K$42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TD!$L$3:$L$42</c:f>
              <c:numCache>
                <c:formatCode>General</c:formatCode>
                <c:ptCount val="36"/>
                <c:pt idx="0">
                  <c:v>75</c:v>
                </c:pt>
                <c:pt idx="1">
                  <c:v>67</c:v>
                </c:pt>
                <c:pt idx="2">
                  <c:v>110</c:v>
                </c:pt>
                <c:pt idx="3">
                  <c:v>86</c:v>
                </c:pt>
                <c:pt idx="4">
                  <c:v>84</c:v>
                </c:pt>
                <c:pt idx="5">
                  <c:v>89</c:v>
                </c:pt>
                <c:pt idx="6">
                  <c:v>119</c:v>
                </c:pt>
                <c:pt idx="7">
                  <c:v>98</c:v>
                </c:pt>
                <c:pt idx="8">
                  <c:v>80</c:v>
                </c:pt>
                <c:pt idx="9">
                  <c:v>113</c:v>
                </c:pt>
                <c:pt idx="10">
                  <c:v>93</c:v>
                </c:pt>
                <c:pt idx="11">
                  <c:v>88</c:v>
                </c:pt>
                <c:pt idx="12">
                  <c:v>86</c:v>
                </c:pt>
                <c:pt idx="13">
                  <c:v>107</c:v>
                </c:pt>
                <c:pt idx="14">
                  <c:v>95</c:v>
                </c:pt>
                <c:pt idx="15">
                  <c:v>73</c:v>
                </c:pt>
                <c:pt idx="16">
                  <c:v>83</c:v>
                </c:pt>
                <c:pt idx="17">
                  <c:v>86</c:v>
                </c:pt>
                <c:pt idx="18">
                  <c:v>82</c:v>
                </c:pt>
                <c:pt idx="19">
                  <c:v>102</c:v>
                </c:pt>
                <c:pt idx="20">
                  <c:v>82</c:v>
                </c:pt>
                <c:pt idx="21">
                  <c:v>94</c:v>
                </c:pt>
                <c:pt idx="22">
                  <c:v>97</c:v>
                </c:pt>
                <c:pt idx="23">
                  <c:v>77</c:v>
                </c:pt>
                <c:pt idx="24">
                  <c:v>78</c:v>
                </c:pt>
                <c:pt idx="25">
                  <c:v>90</c:v>
                </c:pt>
                <c:pt idx="26">
                  <c:v>87</c:v>
                </c:pt>
                <c:pt idx="27">
                  <c:v>80</c:v>
                </c:pt>
                <c:pt idx="28">
                  <c:v>86</c:v>
                </c:pt>
                <c:pt idx="29">
                  <c:v>78</c:v>
                </c:pt>
                <c:pt idx="30">
                  <c:v>85</c:v>
                </c:pt>
                <c:pt idx="31">
                  <c:v>77</c:v>
                </c:pt>
                <c:pt idx="32">
                  <c:v>44</c:v>
                </c:pt>
                <c:pt idx="33">
                  <c:v>101</c:v>
                </c:pt>
                <c:pt idx="34">
                  <c:v>96</c:v>
                </c:pt>
                <c:pt idx="35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4A-405D-AEDE-D1E2A461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050536"/>
        <c:axId val="572052696"/>
      </c:lineChart>
      <c:catAx>
        <c:axId val="5720505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rgbClr val="00808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2052696"/>
        <c:crosses val="autoZero"/>
        <c:auto val="1"/>
        <c:lblAlgn val="ctr"/>
        <c:lblOffset val="100"/>
        <c:noMultiLvlLbl val="0"/>
      </c:catAx>
      <c:valAx>
        <c:axId val="572052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808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205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00808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[informe_EDA.xlsx]TD!beneficios_tiempo</c:name>
    <c:fmtId val="10"/>
  </c:pivotSource>
  <c:chart>
    <c:autoTitleDeleted val="1"/>
    <c:pivotFmts>
      <c:pivotFmt>
        <c:idx val="0"/>
        <c:spPr>
          <a:ln w="28575" cap="rnd">
            <a:solidFill>
              <a:srgbClr val="008080"/>
            </a:solidFill>
            <a:round/>
          </a:ln>
          <a:effectLst/>
        </c:spPr>
        <c:marker>
          <c:symbol val="circle"/>
          <c:size val="5"/>
          <c:spPr>
            <a:solidFill>
              <a:srgbClr val="33CCCC"/>
            </a:solidFill>
            <a:ln w="9525">
              <a:solidFill>
                <a:srgbClr val="00999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TD!$O$2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009999"/>
                </a:solidFill>
              </a:ln>
              <a:effectLst/>
            </c:spPr>
          </c:marker>
          <c:cat>
            <c:multiLvlStrRef>
              <c:f>TD!$N$3:$N$42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TD!$O$3:$O$42</c:f>
              <c:numCache>
                <c:formatCode>_("€"* #,##0.00_);_("€"* \(#,##0.00\);_("€"* "-"??_);_(@_)</c:formatCode>
                <c:ptCount val="36"/>
                <c:pt idx="0">
                  <c:v>634.88999999999987</c:v>
                </c:pt>
                <c:pt idx="1">
                  <c:v>692.40000000000009</c:v>
                </c:pt>
                <c:pt idx="2">
                  <c:v>831.6</c:v>
                </c:pt>
                <c:pt idx="3">
                  <c:v>835.71999999999991</c:v>
                </c:pt>
                <c:pt idx="4">
                  <c:v>909.96999999999991</c:v>
                </c:pt>
                <c:pt idx="5">
                  <c:v>753.57000000000016</c:v>
                </c:pt>
                <c:pt idx="6">
                  <c:v>1251.19</c:v>
                </c:pt>
                <c:pt idx="7">
                  <c:v>875.08000000000015</c:v>
                </c:pt>
                <c:pt idx="8">
                  <c:v>812.81999999999994</c:v>
                </c:pt>
                <c:pt idx="9">
                  <c:v>933.65999999999985</c:v>
                </c:pt>
                <c:pt idx="10">
                  <c:v>952.9200000000003</c:v>
                </c:pt>
                <c:pt idx="11">
                  <c:v>850.66000000000008</c:v>
                </c:pt>
                <c:pt idx="12">
                  <c:v>709.37000000000023</c:v>
                </c:pt>
                <c:pt idx="13">
                  <c:v>1169.6700000000003</c:v>
                </c:pt>
                <c:pt idx="14">
                  <c:v>920.77000000000055</c:v>
                </c:pt>
                <c:pt idx="15">
                  <c:v>797.7</c:v>
                </c:pt>
                <c:pt idx="16">
                  <c:v>915.82</c:v>
                </c:pt>
                <c:pt idx="17">
                  <c:v>854.69</c:v>
                </c:pt>
                <c:pt idx="18">
                  <c:v>761.0200000000001</c:v>
                </c:pt>
                <c:pt idx="19">
                  <c:v>1093.8</c:v>
                </c:pt>
                <c:pt idx="20">
                  <c:v>769.59</c:v>
                </c:pt>
                <c:pt idx="21">
                  <c:v>900.99000000000046</c:v>
                </c:pt>
                <c:pt idx="22">
                  <c:v>1063.04</c:v>
                </c:pt>
                <c:pt idx="23">
                  <c:v>939.31999999999994</c:v>
                </c:pt>
                <c:pt idx="24">
                  <c:v>782.74999999999977</c:v>
                </c:pt>
                <c:pt idx="25">
                  <c:v>969.25</c:v>
                </c:pt>
                <c:pt idx="26">
                  <c:v>757.87</c:v>
                </c:pt>
                <c:pt idx="27">
                  <c:v>795.21000000000026</c:v>
                </c:pt>
                <c:pt idx="28">
                  <c:v>841.8900000000001</c:v>
                </c:pt>
                <c:pt idx="29">
                  <c:v>627.94000000000017</c:v>
                </c:pt>
                <c:pt idx="30">
                  <c:v>718.97</c:v>
                </c:pt>
                <c:pt idx="31">
                  <c:v>752.41</c:v>
                </c:pt>
                <c:pt idx="32">
                  <c:v>451.0499999999999</c:v>
                </c:pt>
                <c:pt idx="33">
                  <c:v>1021.94</c:v>
                </c:pt>
                <c:pt idx="34">
                  <c:v>962.37999999999988</c:v>
                </c:pt>
                <c:pt idx="35">
                  <c:v>809.07999999999993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F8-4148-A6B4-09F610FD7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668384"/>
        <c:axId val="838669104"/>
      </c:lineChart>
      <c:catAx>
        <c:axId val="8386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8669104"/>
        <c:crosses val="autoZero"/>
        <c:auto val="1"/>
        <c:lblAlgn val="ctr"/>
        <c:lblOffset val="100"/>
        <c:noMultiLvlLbl val="0"/>
      </c:catAx>
      <c:valAx>
        <c:axId val="838669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866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[informe_EDA.xlsx]TD!edad</c:name>
    <c:fmtId val="9"/>
  </c:pivotSource>
  <c:chart>
    <c:autoTitleDeleted val="1"/>
    <c:pivotFmts>
      <c:pivotFmt>
        <c:idx val="0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TD!$C$30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8080"/>
                </a:gs>
                <a:gs pos="48000">
                  <a:srgbClr val="009999"/>
                </a:gs>
                <a:gs pos="100000">
                  <a:srgbClr val="33CCC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TD!$B$31:$B$39</c:f>
              <c:strCache>
                <c:ptCount val="8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</c:strCache>
            </c:strRef>
          </c:cat>
          <c:val>
            <c:numRef>
              <c:f>TD!$C$31:$C$39</c:f>
              <c:numCache>
                <c:formatCode>General</c:formatCode>
                <c:ptCount val="8"/>
                <c:pt idx="0">
                  <c:v>150</c:v>
                </c:pt>
                <c:pt idx="1">
                  <c:v>442</c:v>
                </c:pt>
                <c:pt idx="2">
                  <c:v>532</c:v>
                </c:pt>
                <c:pt idx="3">
                  <c:v>415</c:v>
                </c:pt>
                <c:pt idx="4">
                  <c:v>470</c:v>
                </c:pt>
                <c:pt idx="5">
                  <c:v>461</c:v>
                </c:pt>
                <c:pt idx="6">
                  <c:v>434</c:v>
                </c:pt>
                <c:pt idx="7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7-4CB0-99A1-01E5AD4C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362912"/>
        <c:axId val="847361472"/>
      </c:barChart>
      <c:catAx>
        <c:axId val="8473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61472"/>
        <c:crosses val="autoZero"/>
        <c:auto val="1"/>
        <c:lblAlgn val="ctr"/>
        <c:lblOffset val="100"/>
        <c:noMultiLvlLbl val="0"/>
      </c:catAx>
      <c:valAx>
        <c:axId val="8473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6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[informe_EDA.xlsx]TD!formato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alpha val="11000"/>
              </a:sys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8080">
              <a:alpha val="9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2"/>
        <c:spPr>
          <a:solidFill>
            <a:srgbClr val="009999">
              <a:alpha val="76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  <c:pivotFmt>
        <c:idx val="3"/>
        <c:spPr>
          <a:solidFill>
            <a:srgbClr val="33CCCC">
              <a:alpha val="55000"/>
            </a:srgbClr>
          </a:solidFill>
          <a:ln w="19050">
            <a:solidFill>
              <a:sysClr val="windowText" lastClr="000000">
                <a:lumMod val="25000"/>
                <a:lumOff val="75000"/>
                <a:alpha val="94000"/>
              </a:sysClr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TD!$C$41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ysClr val="windowText" lastClr="000000">
                  <a:lumMod val="25000"/>
                  <a:lumOff val="75000"/>
                  <a:alpha val="94000"/>
                </a:sysClr>
              </a:solidFill>
            </a:ln>
          </c:spPr>
          <c:dPt>
            <c:idx val="0"/>
            <c:bubble3D val="0"/>
            <c:spPr>
              <a:solidFill>
                <a:srgbClr val="008080">
                  <a:alpha val="96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  <a:alpha val="94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28-4347-B10F-B5F2EF864F52}"/>
              </c:ext>
            </c:extLst>
          </c:dPt>
          <c:dPt>
            <c:idx val="1"/>
            <c:bubble3D val="0"/>
            <c:spPr>
              <a:solidFill>
                <a:srgbClr val="009999">
                  <a:alpha val="76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  <a:alpha val="94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8-4347-B10F-B5F2EF864F52}"/>
              </c:ext>
            </c:extLst>
          </c:dPt>
          <c:dPt>
            <c:idx val="2"/>
            <c:bubble3D val="0"/>
            <c:spPr>
              <a:solidFill>
                <a:srgbClr val="33CCCC">
                  <a:alpha val="55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  <a:alpha val="94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28-4347-B10F-B5F2EF864F52}"/>
              </c:ext>
            </c:extLst>
          </c:dPt>
          <c:dLbls>
            <c:spPr>
              <a:solidFill>
                <a:sysClr val="window" lastClr="FFFFFF">
                  <a:alpha val="11000"/>
                </a:sys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TD!$B$42:$B$45</c:f>
              <c:strCache>
                <c:ptCount val="3"/>
                <c:pt idx="0">
                  <c:v>Bolsillo</c:v>
                </c:pt>
                <c:pt idx="1">
                  <c:v>Kindle</c:v>
                </c:pt>
                <c:pt idx="2">
                  <c:v>Tapa dura</c:v>
                </c:pt>
              </c:strCache>
            </c:strRef>
          </c:cat>
          <c:val>
            <c:numRef>
              <c:f>TD!$C$42:$C$45</c:f>
              <c:numCache>
                <c:formatCode>General</c:formatCode>
                <c:ptCount val="3"/>
                <c:pt idx="0">
                  <c:v>1089</c:v>
                </c:pt>
                <c:pt idx="1">
                  <c:v>1094</c:v>
                </c:pt>
                <c:pt idx="2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8-4347-B10F-B5F2EF86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[informe_EDA.xlsx]TD!modoVenta</c:name>
    <c:fmtId val="11"/>
  </c:pivotSource>
  <c:chart>
    <c:autoTitleDeleted val="1"/>
    <c:pivotFmts>
      <c:pivotFmt>
        <c:idx val="0"/>
        <c:spPr>
          <a:solidFill>
            <a:srgbClr val="00808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C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808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TD!$C$48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80"/>
            </a:solidFill>
          </c:spPr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03-4036-9453-B9C135AA2377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B03-4036-9453-B9C135AA2377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B03-4036-9453-B9C135AA2377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B03-4036-9453-B9C135AA23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TD!$B$49:$B$51</c:f>
              <c:strCache>
                <c:ptCount val="2"/>
                <c:pt idx="0">
                  <c:v>Física</c:v>
                </c:pt>
                <c:pt idx="1">
                  <c:v>Online</c:v>
                </c:pt>
              </c:strCache>
            </c:strRef>
          </c:cat>
          <c:val>
            <c:numRef>
              <c:f>TD!$C$49:$C$51</c:f>
              <c:numCache>
                <c:formatCode>General</c:formatCode>
                <c:ptCount val="2"/>
                <c:pt idx="0">
                  <c:v>983</c:v>
                </c:pt>
                <c:pt idx="1">
                  <c:v>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3-4036-9453-B9C135AA2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[informe_EDA.xlsx]TD!metodoPago</c:name>
    <c:fmtId val="9"/>
  </c:pivotSource>
  <c:chart>
    <c:autoTitleDeleted val="1"/>
    <c:pivotFmts>
      <c:pivotFmt>
        <c:idx val="0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TD!$C$54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8080"/>
                </a:gs>
                <a:gs pos="48000">
                  <a:srgbClr val="009999"/>
                </a:gs>
                <a:gs pos="100000">
                  <a:srgbClr val="33CCC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TD!$B$55:$B$60</c:f>
              <c:strCache>
                <c:ptCount val="5"/>
                <c:pt idx="0">
                  <c:v>Bizum</c:v>
                </c:pt>
                <c:pt idx="1">
                  <c:v>Efectivo</c:v>
                </c:pt>
                <c:pt idx="2">
                  <c:v>PayPal</c:v>
                </c:pt>
                <c:pt idx="3">
                  <c:v>Tarjeta</c:v>
                </c:pt>
                <c:pt idx="4">
                  <c:v>Transferencia</c:v>
                </c:pt>
              </c:strCache>
            </c:strRef>
          </c:cat>
          <c:val>
            <c:numRef>
              <c:f>TD!$C$55:$C$60</c:f>
              <c:numCache>
                <c:formatCode>General</c:formatCode>
                <c:ptCount val="5"/>
                <c:pt idx="0">
                  <c:v>636</c:v>
                </c:pt>
                <c:pt idx="1">
                  <c:v>572</c:v>
                </c:pt>
                <c:pt idx="2">
                  <c:v>668</c:v>
                </c:pt>
                <c:pt idx="3">
                  <c:v>637</c:v>
                </c:pt>
                <c:pt idx="4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4-4408-A72E-2B717879D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388112"/>
        <c:axId val="847379112"/>
      </c:barChart>
      <c:catAx>
        <c:axId val="8473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79112"/>
        <c:crosses val="autoZero"/>
        <c:auto val="1"/>
        <c:lblAlgn val="ctr"/>
        <c:lblOffset val="100"/>
        <c:noMultiLvlLbl val="0"/>
      </c:catAx>
      <c:valAx>
        <c:axId val="84737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73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[informe_EDA.xlsx]TD!genero_cli</c:name>
    <c:fmtId val="34"/>
  </c:pivotSource>
  <c:chart>
    <c:autoTitleDeleted val="1"/>
    <c:pivotFmts>
      <c:pivotFmt>
        <c:idx val="0"/>
        <c:spPr>
          <a:gradFill>
            <a:gsLst>
              <a:gs pos="0">
                <a:srgbClr val="008080"/>
              </a:gs>
              <a:gs pos="48000">
                <a:srgbClr val="009999"/>
              </a:gs>
              <a:gs pos="100000">
                <a:srgbClr val="33CCCC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TD!$C$63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8080"/>
                </a:gs>
                <a:gs pos="48000">
                  <a:srgbClr val="009999"/>
                </a:gs>
                <a:gs pos="100000">
                  <a:srgbClr val="33CCC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TD!$B$64:$B$68</c:f>
              <c:strCache>
                <c:ptCount val="4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  <c:pt idx="3">
                  <c:v>Prefiere no decir</c:v>
                </c:pt>
              </c:strCache>
            </c:strRef>
          </c:cat>
          <c:val>
            <c:numRef>
              <c:f>TD!$C$64:$C$68</c:f>
              <c:numCache>
                <c:formatCode>General</c:formatCode>
                <c:ptCount val="4"/>
                <c:pt idx="0">
                  <c:v>748</c:v>
                </c:pt>
                <c:pt idx="1">
                  <c:v>824</c:v>
                </c:pt>
                <c:pt idx="2">
                  <c:v>771</c:v>
                </c:pt>
                <c:pt idx="3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3DE-AB48-D605F946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886760"/>
        <c:axId val="1085892880"/>
      </c:barChart>
      <c:catAx>
        <c:axId val="108588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5892880"/>
        <c:crosses val="autoZero"/>
        <c:auto val="1"/>
        <c:lblAlgn val="ctr"/>
        <c:lblOffset val="100"/>
        <c:noMultiLvlLbl val="0"/>
      </c:catAx>
      <c:valAx>
        <c:axId val="10858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5886760"/>
        <c:crosses val="autoZero"/>
        <c:crossBetween val="between"/>
      </c:valAx>
      <c:spPr>
        <a:solidFill>
          <a:schemeClr val="bg1">
            <a:alpha val="11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11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47625</xdr:rowOff>
    </xdr:from>
    <xdr:to>
      <xdr:col>31</xdr:col>
      <xdr:colOff>591705</xdr:colOff>
      <xdr:row>54</xdr:row>
      <xdr:rowOff>105833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6C5DCF5-7A27-B88A-DBBF-59369669B7CD}"/>
            </a:ext>
          </a:extLst>
        </xdr:cNvPr>
        <xdr:cNvSpPr/>
      </xdr:nvSpPr>
      <xdr:spPr>
        <a:xfrm>
          <a:off x="66674" y="47625"/>
          <a:ext cx="24885940" cy="10189344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14</xdr:col>
      <xdr:colOff>428626</xdr:colOff>
      <xdr:row>0</xdr:row>
      <xdr:rowOff>137883</xdr:rowOff>
    </xdr:from>
    <xdr:to>
      <xdr:col>22</xdr:col>
      <xdr:colOff>530</xdr:colOff>
      <xdr:row>6</xdr:row>
      <xdr:rowOff>180974</xdr:rowOff>
    </xdr:to>
    <xdr:sp macro="" textlink="">
      <xdr:nvSpPr>
        <xdr:cNvPr id="3" name="Pergamino: horizontal 2">
          <a:extLst>
            <a:ext uri="{FF2B5EF4-FFF2-40B4-BE49-F238E27FC236}">
              <a16:creationId xmlns:a16="http://schemas.microsoft.com/office/drawing/2014/main" id="{484554FE-6D4F-C9C9-78F6-74B1E91C7379}"/>
            </a:ext>
          </a:extLst>
        </xdr:cNvPr>
        <xdr:cNvSpPr/>
      </xdr:nvSpPr>
      <xdr:spPr>
        <a:xfrm>
          <a:off x="11096626" y="137883"/>
          <a:ext cx="6315604" cy="1186091"/>
        </a:xfrm>
        <a:prstGeom prst="horizontalScroll">
          <a:avLst/>
        </a:prstGeom>
        <a:solidFill>
          <a:srgbClr val="33CCCC">
            <a:alpha val="50000"/>
          </a:srgbClr>
        </a:solidFill>
        <a:ln>
          <a:solidFill>
            <a:srgbClr val="0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4000">
              <a:latin typeface="Bodoni MT" panose="02070603080606020203" pitchFamily="18" charset="0"/>
            </a:rPr>
            <a:t>Informe de ventas de libros</a:t>
          </a:r>
        </a:p>
      </xdr:txBody>
    </xdr:sp>
    <xdr:clientData/>
  </xdr:twoCellAnchor>
  <xdr:twoCellAnchor>
    <xdr:from>
      <xdr:col>10</xdr:col>
      <xdr:colOff>609017</xdr:colOff>
      <xdr:row>1</xdr:row>
      <xdr:rowOff>153293</xdr:rowOff>
    </xdr:from>
    <xdr:to>
      <xdr:col>13</xdr:col>
      <xdr:colOff>373161</xdr:colOff>
      <xdr:row>6</xdr:row>
      <xdr:rowOff>126080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553A0FF1-6250-29E3-7BC8-952773A09E3F}"/>
            </a:ext>
          </a:extLst>
        </xdr:cNvPr>
        <xdr:cNvGrpSpPr/>
      </xdr:nvGrpSpPr>
      <xdr:grpSpPr>
        <a:xfrm>
          <a:off x="8196729" y="347022"/>
          <a:ext cx="2040457" cy="941431"/>
          <a:chOff x="3655786" y="444500"/>
          <a:chExt cx="2050143" cy="925286"/>
        </a:xfrm>
      </xdr:grpSpPr>
      <xdr:sp macro="" textlink="TD!B5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E4C2E456-D5DF-D659-A74C-1C6DA5FD2852}"/>
              </a:ext>
            </a:extLst>
          </xdr:cNvPr>
          <xdr:cNvSpPr/>
        </xdr:nvSpPr>
        <xdr:spPr>
          <a:xfrm>
            <a:off x="3655786" y="444500"/>
            <a:ext cx="2050143" cy="925286"/>
          </a:xfrm>
          <a:prstGeom prst="roundRect">
            <a:avLst/>
          </a:prstGeom>
          <a:solidFill>
            <a:schemeClr val="bg1">
              <a:alpha val="50000"/>
            </a:schemeClr>
          </a:solidFill>
          <a:ln w="19050">
            <a:solidFill>
              <a:srgbClr val="00808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9267B1BB-2A62-4911-93FC-3BEC088DF149}" type="TxLink">
              <a:rPr lang="en-US" sz="3200" b="0" i="0" u="none" strike="noStrike">
                <a:solidFill>
                  <a:srgbClr val="000000"/>
                </a:solidFill>
                <a:latin typeface="+mj-lt"/>
                <a:ea typeface="Calibri"/>
                <a:cs typeface="Calibri"/>
              </a:rPr>
              <a:pPr marL="0" indent="0" algn="ctr"/>
              <a:t>3150</a:t>
            </a:fld>
            <a:endParaRPr lang="es-ES" sz="3200" b="0" i="0" u="none" strike="noStrike">
              <a:solidFill>
                <a:srgbClr val="000000"/>
              </a:solidFill>
              <a:latin typeface="+mj-lt"/>
              <a:ea typeface="Calibri"/>
              <a:cs typeface="Calibri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F35C18FE-CEB6-3D9A-A3FF-5769A6C56C52}"/>
              </a:ext>
            </a:extLst>
          </xdr:cNvPr>
          <xdr:cNvSpPr txBox="1"/>
        </xdr:nvSpPr>
        <xdr:spPr>
          <a:xfrm>
            <a:off x="3918856" y="480786"/>
            <a:ext cx="1527085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ES" sz="1800">
                <a:solidFill>
                  <a:srgbClr val="008080"/>
                </a:solidFill>
              </a:rPr>
              <a:t>Ventas totales</a:t>
            </a:r>
          </a:p>
        </xdr:txBody>
      </xdr:sp>
    </xdr:grpSp>
    <xdr:clientData/>
  </xdr:twoCellAnchor>
  <xdr:twoCellAnchor>
    <xdr:from>
      <xdr:col>7</xdr:col>
      <xdr:colOff>593059</xdr:colOff>
      <xdr:row>1</xdr:row>
      <xdr:rowOff>141331</xdr:rowOff>
    </xdr:from>
    <xdr:to>
      <xdr:col>10</xdr:col>
      <xdr:colOff>357202</xdr:colOff>
      <xdr:row>6</xdr:row>
      <xdr:rowOff>114117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153F1D37-5F2B-4EBA-45DD-5E57C407C2AB}"/>
            </a:ext>
          </a:extLst>
        </xdr:cNvPr>
        <xdr:cNvGrpSpPr/>
      </xdr:nvGrpSpPr>
      <xdr:grpSpPr>
        <a:xfrm>
          <a:off x="5904457" y="335060"/>
          <a:ext cx="2040457" cy="941430"/>
          <a:chOff x="5894615" y="451757"/>
          <a:chExt cx="2050143" cy="925286"/>
        </a:xfrm>
      </xdr:grpSpPr>
      <xdr:sp macro="" textlink="TD!D5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246F0FE8-5E7C-4CC5-88AD-CA93B5C2A08E}"/>
              </a:ext>
            </a:extLst>
          </xdr:cNvPr>
          <xdr:cNvSpPr/>
        </xdr:nvSpPr>
        <xdr:spPr>
          <a:xfrm>
            <a:off x="5894615" y="451757"/>
            <a:ext cx="2050143" cy="925286"/>
          </a:xfrm>
          <a:prstGeom prst="roundRect">
            <a:avLst/>
          </a:prstGeom>
          <a:solidFill>
            <a:schemeClr val="bg1">
              <a:alpha val="50000"/>
            </a:schemeClr>
          </a:solidFill>
          <a:ln w="19050">
            <a:solidFill>
              <a:srgbClr val="00808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12D7E3BF-C3F6-4598-820D-8A537E201E4E}" type="TxLink">
              <a:rPr lang="en-US" sz="3200" b="0" i="0" u="none" strike="noStrike">
                <a:solidFill>
                  <a:srgbClr val="000000"/>
                </a:solidFill>
                <a:latin typeface="+mj-lt"/>
                <a:ea typeface="Calibri"/>
                <a:cs typeface="Calibri"/>
              </a:rPr>
              <a:pPr marL="0" indent="0" algn="ctr"/>
              <a:t> 30.721 € </a:t>
            </a:fld>
            <a:endParaRPr lang="es-ES" sz="3200" b="0" i="0" u="none" strike="noStrike">
              <a:solidFill>
                <a:srgbClr val="000000"/>
              </a:solidFill>
              <a:latin typeface="+mj-lt"/>
              <a:ea typeface="Calibri"/>
              <a:cs typeface="Calibri"/>
            </a:endParaRP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EF41BF98-963D-459E-A67C-9196E687C09B}"/>
              </a:ext>
            </a:extLst>
          </xdr:cNvPr>
          <xdr:cNvSpPr txBox="1"/>
        </xdr:nvSpPr>
        <xdr:spPr>
          <a:xfrm>
            <a:off x="5958113" y="460828"/>
            <a:ext cx="1844287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ES" sz="1800">
                <a:solidFill>
                  <a:srgbClr val="008080"/>
                </a:solidFill>
              </a:rPr>
              <a:t>Beneficios totales</a:t>
            </a:r>
          </a:p>
        </xdr:txBody>
      </xdr:sp>
    </xdr:grpSp>
    <xdr:clientData/>
  </xdr:twoCellAnchor>
  <xdr:twoCellAnchor>
    <xdr:from>
      <xdr:col>17</xdr:col>
      <xdr:colOff>420689</xdr:colOff>
      <xdr:row>7</xdr:row>
      <xdr:rowOff>26459</xdr:rowOff>
    </xdr:from>
    <xdr:to>
      <xdr:col>23</xdr:col>
      <xdr:colOff>70079</xdr:colOff>
      <xdr:row>53</xdr:row>
      <xdr:rowOff>80720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2974828-D86E-47DC-83FB-BDE3C4DF5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401941</xdr:colOff>
      <xdr:row>6</xdr:row>
      <xdr:rowOff>178779</xdr:rowOff>
    </xdr:from>
    <xdr:to>
      <xdr:col>23</xdr:col>
      <xdr:colOff>111654</xdr:colOff>
      <xdr:row>9</xdr:row>
      <xdr:rowOff>137201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5319D0E-2164-19D6-5E6A-115C543A22E1}"/>
            </a:ext>
          </a:extLst>
        </xdr:cNvPr>
        <xdr:cNvSpPr txBox="1"/>
      </xdr:nvSpPr>
      <xdr:spPr>
        <a:xfrm>
          <a:off x="15527641" y="1321779"/>
          <a:ext cx="2757713" cy="529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>
              <a:solidFill>
                <a:srgbClr val="008080"/>
              </a:solidFill>
              <a:latin typeface="+mj-lt"/>
            </a:rPr>
            <a:t>Ventas por categoría</a:t>
          </a:r>
        </a:p>
      </xdr:txBody>
    </xdr:sp>
    <xdr:clientData/>
  </xdr:twoCellAnchor>
  <xdr:twoCellAnchor>
    <xdr:from>
      <xdr:col>0</xdr:col>
      <xdr:colOff>317499</xdr:colOff>
      <xdr:row>38</xdr:row>
      <xdr:rowOff>183314</xdr:rowOff>
    </xdr:from>
    <xdr:to>
      <xdr:col>12</xdr:col>
      <xdr:colOff>126999</xdr:colOff>
      <xdr:row>53</xdr:row>
      <xdr:rowOff>74305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A21AD71-B588-4189-A6F2-BD704B25E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235857</xdr:colOff>
      <xdr:row>38</xdr:row>
      <xdr:rowOff>119814</xdr:rowOff>
    </xdr:from>
    <xdr:to>
      <xdr:col>12</xdr:col>
      <xdr:colOff>281214</xdr:colOff>
      <xdr:row>40</xdr:row>
      <xdr:rowOff>137957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96F7976D-2DD4-4BAC-D127-C47DD45B7CF1}"/>
            </a:ext>
          </a:extLst>
        </xdr:cNvPr>
        <xdr:cNvSpPr txBox="1"/>
      </xdr:nvSpPr>
      <xdr:spPr>
        <a:xfrm>
          <a:off x="5606899" y="7157731"/>
          <a:ext cx="3881815" cy="388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2400">
              <a:solidFill>
                <a:srgbClr val="33CCCC"/>
              </a:solidFill>
              <a:latin typeface="+mj-lt"/>
              <a:ea typeface="+mn-ea"/>
              <a:cs typeface="+mn-cs"/>
            </a:rPr>
            <a:t>Ventas a lo largo del tiempo</a:t>
          </a:r>
        </a:p>
      </xdr:txBody>
    </xdr:sp>
    <xdr:clientData/>
  </xdr:twoCellAnchor>
  <xdr:twoCellAnchor>
    <xdr:from>
      <xdr:col>0</xdr:col>
      <xdr:colOff>311603</xdr:colOff>
      <xdr:row>24</xdr:row>
      <xdr:rowOff>9446</xdr:rowOff>
    </xdr:from>
    <xdr:to>
      <xdr:col>12</xdr:col>
      <xdr:colOff>108857</xdr:colOff>
      <xdr:row>38</xdr:row>
      <xdr:rowOff>85645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42601DE-3627-495D-A164-52E9BC69B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616857</xdr:colOff>
      <xdr:row>23</xdr:row>
      <xdr:rowOff>145214</xdr:rowOff>
    </xdr:from>
    <xdr:to>
      <xdr:col>12</xdr:col>
      <xdr:colOff>161472</xdr:colOff>
      <xdr:row>25</xdr:row>
      <xdr:rowOff>163357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7DD94BD-845B-403C-8ED9-1906C5B31803}"/>
            </a:ext>
          </a:extLst>
        </xdr:cNvPr>
        <xdr:cNvSpPr txBox="1"/>
      </xdr:nvSpPr>
      <xdr:spPr>
        <a:xfrm>
          <a:off x="5220607" y="4405006"/>
          <a:ext cx="4148365" cy="388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2400">
              <a:solidFill>
                <a:srgbClr val="008080"/>
              </a:solidFill>
              <a:latin typeface="+mj-lt"/>
              <a:ea typeface="+mn-ea"/>
              <a:cs typeface="+mn-cs"/>
            </a:rPr>
            <a:t>Beneficios a lo largo del tiempo</a:t>
          </a:r>
        </a:p>
      </xdr:txBody>
    </xdr:sp>
    <xdr:clientData/>
  </xdr:twoCellAnchor>
  <xdr:twoCellAnchor>
    <xdr:from>
      <xdr:col>6</xdr:col>
      <xdr:colOff>459207</xdr:colOff>
      <xdr:row>8</xdr:row>
      <xdr:rowOff>98674</xdr:rowOff>
    </xdr:from>
    <xdr:to>
      <xdr:col>12</xdr:col>
      <xdr:colOff>33304</xdr:colOff>
      <xdr:row>21</xdr:row>
      <xdr:rowOff>159452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1EB73CDE-D1B5-52AE-6E1F-682ECC6E9149}"/>
            </a:ext>
          </a:extLst>
        </xdr:cNvPr>
        <xdr:cNvGrpSpPr/>
      </xdr:nvGrpSpPr>
      <xdr:grpSpPr>
        <a:xfrm>
          <a:off x="5011834" y="1648505"/>
          <a:ext cx="4126724" cy="2579252"/>
          <a:chOff x="9596588" y="7640860"/>
          <a:chExt cx="4146097" cy="2537278"/>
        </a:xfrm>
      </xdr:grpSpPr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id="{0E5517BA-685C-41A4-ADAB-BC429D061365}"/>
              </a:ext>
            </a:extLst>
          </xdr:cNvPr>
          <xdr:cNvGraphicFramePr>
            <a:graphicFrameLocks/>
          </xdr:cNvGraphicFramePr>
        </xdr:nvGraphicFramePr>
        <xdr:xfrm>
          <a:off x="9596588" y="7658550"/>
          <a:ext cx="4146097" cy="2519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1ABED843-6873-4629-9408-9D91ACDAE47A}"/>
              </a:ext>
            </a:extLst>
          </xdr:cNvPr>
          <xdr:cNvSpPr txBox="1"/>
        </xdr:nvSpPr>
        <xdr:spPr>
          <a:xfrm>
            <a:off x="11521168" y="7640860"/>
            <a:ext cx="2218872" cy="393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400">
                <a:solidFill>
                  <a:srgbClr val="008080"/>
                </a:solidFill>
                <a:latin typeface="+mj-lt"/>
                <a:ea typeface="+mn-ea"/>
                <a:cs typeface="+mn-cs"/>
              </a:rPr>
              <a:t>Ventas por edad</a:t>
            </a:r>
          </a:p>
        </xdr:txBody>
      </xdr:sp>
    </xdr:grpSp>
    <xdr:clientData/>
  </xdr:twoCellAnchor>
  <xdr:twoCellAnchor>
    <xdr:from>
      <xdr:col>13</xdr:col>
      <xdr:colOff>565043</xdr:colOff>
      <xdr:row>7</xdr:row>
      <xdr:rowOff>192849</xdr:rowOff>
    </xdr:from>
    <xdr:to>
      <xdr:col>16</xdr:col>
      <xdr:colOff>194792</xdr:colOff>
      <xdr:row>20</xdr:row>
      <xdr:rowOff>59739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1479F4D-A0EE-4784-A76A-43C7CD25D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124555</xdr:colOff>
      <xdr:row>21</xdr:row>
      <xdr:rowOff>32342</xdr:rowOff>
    </xdr:from>
    <xdr:to>
      <xdr:col>17</xdr:col>
      <xdr:colOff>37184</xdr:colOff>
      <xdr:row>23</xdr:row>
      <xdr:rowOff>47979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26EA7342-7C46-4E85-9A03-472A419561F1}"/>
            </a:ext>
          </a:extLst>
        </xdr:cNvPr>
        <xdr:cNvSpPr txBox="1"/>
      </xdr:nvSpPr>
      <xdr:spPr>
        <a:xfrm>
          <a:off x="10030555" y="4032842"/>
          <a:ext cx="3608329" cy="396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2400">
              <a:solidFill>
                <a:srgbClr val="008080"/>
              </a:solidFill>
              <a:latin typeface="+mj-lt"/>
              <a:ea typeface="+mn-ea"/>
              <a:cs typeface="+mn-cs"/>
            </a:rPr>
            <a:t>Ventas por medio de venta</a:t>
          </a:r>
        </a:p>
      </xdr:txBody>
    </xdr:sp>
    <xdr:clientData/>
  </xdr:twoCellAnchor>
  <xdr:twoCellAnchor>
    <xdr:from>
      <xdr:col>12</xdr:col>
      <xdr:colOff>663477</xdr:colOff>
      <xdr:row>21</xdr:row>
      <xdr:rowOff>73454</xdr:rowOff>
    </xdr:from>
    <xdr:to>
      <xdr:col>16</xdr:col>
      <xdr:colOff>664151</xdr:colOff>
      <xdr:row>35</xdr:row>
      <xdr:rowOff>122714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9691573-3902-4EF6-BCE8-97955F933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519571</xdr:colOff>
      <xdr:row>7</xdr:row>
      <xdr:rowOff>129179</xdr:rowOff>
    </xdr:from>
    <xdr:to>
      <xdr:col>16</xdr:col>
      <xdr:colOff>212366</xdr:colOff>
      <xdr:row>9</xdr:row>
      <xdr:rowOff>154539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705699D2-C91C-4CDF-B85A-24996F90F835}"/>
            </a:ext>
          </a:extLst>
        </xdr:cNvPr>
        <xdr:cNvSpPr txBox="1"/>
      </xdr:nvSpPr>
      <xdr:spPr>
        <a:xfrm>
          <a:off x="10383596" y="1485281"/>
          <a:ext cx="2614872" cy="412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2400">
              <a:solidFill>
                <a:srgbClr val="008080"/>
              </a:solidFill>
              <a:latin typeface="+mj-lt"/>
              <a:ea typeface="+mn-ea"/>
              <a:cs typeface="+mn-cs"/>
            </a:rPr>
            <a:t>Ventas por formato</a:t>
          </a:r>
        </a:p>
      </xdr:txBody>
    </xdr:sp>
    <xdr:clientData/>
  </xdr:twoCellAnchor>
  <xdr:twoCellAnchor>
    <xdr:from>
      <xdr:col>12</xdr:col>
      <xdr:colOff>360361</xdr:colOff>
      <xdr:row>37</xdr:row>
      <xdr:rowOff>19051</xdr:rowOff>
    </xdr:from>
    <xdr:to>
      <xdr:col>17</xdr:col>
      <xdr:colOff>228600</xdr:colOff>
      <xdr:row>53</xdr:row>
      <xdr:rowOff>45057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41FB518-7BE5-4F13-930B-1EBA11F07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187174</xdr:colOff>
      <xdr:row>36</xdr:row>
      <xdr:rowOff>128281</xdr:rowOff>
    </xdr:from>
    <xdr:to>
      <xdr:col>17</xdr:col>
      <xdr:colOff>295275</xdr:colOff>
      <xdr:row>38</xdr:row>
      <xdr:rowOff>146424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4B53E67A-B127-47A3-9562-B32BAED6BFA5}"/>
            </a:ext>
          </a:extLst>
        </xdr:cNvPr>
        <xdr:cNvSpPr txBox="1"/>
      </xdr:nvSpPr>
      <xdr:spPr>
        <a:xfrm>
          <a:off x="11617174" y="6986281"/>
          <a:ext cx="2279801" cy="399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2400">
              <a:solidFill>
                <a:srgbClr val="33CCCC"/>
              </a:solidFill>
              <a:latin typeface="+mj-lt"/>
              <a:ea typeface="+mn-ea"/>
              <a:cs typeface="+mn-cs"/>
            </a:rPr>
            <a:t>Método de pago </a:t>
          </a:r>
        </a:p>
      </xdr:txBody>
    </xdr:sp>
    <xdr:clientData/>
  </xdr:twoCellAnchor>
  <xdr:twoCellAnchor editAs="oneCell">
    <xdr:from>
      <xdr:col>24</xdr:col>
      <xdr:colOff>376959</xdr:colOff>
      <xdr:row>1</xdr:row>
      <xdr:rowOff>44015</xdr:rowOff>
    </xdr:from>
    <xdr:to>
      <xdr:col>30</xdr:col>
      <xdr:colOff>663863</xdr:colOff>
      <xdr:row>11</xdr:row>
      <xdr:rowOff>38820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ategoria 1">
              <a:extLst>
                <a:ext uri="{FF2B5EF4-FFF2-40B4-BE49-F238E27FC236}">
                  <a16:creationId xmlns:a16="http://schemas.microsoft.com/office/drawing/2014/main" id="{EE75C3D0-B1F0-453F-A448-3A523E9FBC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83664" y="231629"/>
              <a:ext cx="4876222" cy="1870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326447</xdr:colOff>
      <xdr:row>7</xdr:row>
      <xdr:rowOff>76490</xdr:rowOff>
    </xdr:from>
    <xdr:to>
      <xdr:col>6</xdr:col>
      <xdr:colOff>309129</xdr:colOff>
      <xdr:row>22</xdr:row>
      <xdr:rowOff>5485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89DD579-A93D-4DB6-B98D-F5152A945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127275</xdr:colOff>
      <xdr:row>7</xdr:row>
      <xdr:rowOff>55379</xdr:rowOff>
    </xdr:from>
    <xdr:to>
      <xdr:col>6</xdr:col>
      <xdr:colOff>360796</xdr:colOff>
      <xdr:row>9</xdr:row>
      <xdr:rowOff>68177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47596033-470C-47D5-8561-590718E42EF2}"/>
            </a:ext>
          </a:extLst>
        </xdr:cNvPr>
        <xdr:cNvSpPr txBox="1"/>
      </xdr:nvSpPr>
      <xdr:spPr>
        <a:xfrm>
          <a:off x="2421934" y="1368674"/>
          <a:ext cx="2528180" cy="388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2400">
              <a:solidFill>
                <a:srgbClr val="008080"/>
              </a:solidFill>
              <a:latin typeface="+mj-lt"/>
              <a:ea typeface="+mn-ea"/>
              <a:cs typeface="+mn-cs"/>
            </a:rPr>
            <a:t>Ventas por genero</a:t>
          </a:r>
        </a:p>
      </xdr:txBody>
    </xdr:sp>
    <xdr:clientData/>
  </xdr:twoCellAnchor>
  <xdr:twoCellAnchor editAs="oneCell">
    <xdr:from>
      <xdr:col>24</xdr:col>
      <xdr:colOff>369742</xdr:colOff>
      <xdr:row>12</xdr:row>
      <xdr:rowOff>105352</xdr:rowOff>
    </xdr:from>
    <xdr:to>
      <xdr:col>26</xdr:col>
      <xdr:colOff>668770</xdr:colOff>
      <xdr:row>20</xdr:row>
      <xdr:rowOff>80818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edad_cliente 1">
              <a:extLst>
                <a:ext uri="{FF2B5EF4-FFF2-40B4-BE49-F238E27FC236}">
                  <a16:creationId xmlns:a16="http://schemas.microsoft.com/office/drawing/2014/main" id="{C3CF0EED-196D-4F43-8F3B-CE67D153A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_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76447" y="2356716"/>
              <a:ext cx="18288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528493</xdr:colOff>
      <xdr:row>12</xdr:row>
      <xdr:rowOff>177511</xdr:rowOff>
    </xdr:from>
    <xdr:to>
      <xdr:col>30</xdr:col>
      <xdr:colOff>62634</xdr:colOff>
      <xdr:row>19</xdr:row>
      <xdr:rowOff>26266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formato 1">
              <a:extLst>
                <a:ext uri="{FF2B5EF4-FFF2-40B4-BE49-F238E27FC236}">
                  <a16:creationId xmlns:a16="http://schemas.microsoft.com/office/drawing/2014/main" id="{6629B7F2-8A8E-4C07-8944-00F4ED9F8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29857" y="2428875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470764</xdr:colOff>
      <xdr:row>21</xdr:row>
      <xdr:rowOff>177512</xdr:rowOff>
    </xdr:from>
    <xdr:to>
      <xdr:col>30</xdr:col>
      <xdr:colOff>4905</xdr:colOff>
      <xdr:row>25</xdr:row>
      <xdr:rowOff>74756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canal_venta 1">
              <a:extLst>
                <a:ext uri="{FF2B5EF4-FFF2-40B4-BE49-F238E27FC236}">
                  <a16:creationId xmlns:a16="http://schemas.microsoft.com/office/drawing/2014/main" id="{69DFF0E0-BDCE-4E7C-A934-055BF40F7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72128" y="4117398"/>
              <a:ext cx="1828800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355310</xdr:colOff>
      <xdr:row>21</xdr:row>
      <xdr:rowOff>163080</xdr:rowOff>
    </xdr:from>
    <xdr:to>
      <xdr:col>27</xdr:col>
      <xdr:colOff>222826</xdr:colOff>
      <xdr:row>28</xdr:row>
      <xdr:rowOff>21359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metodo_pago 1">
              <a:extLst>
                <a:ext uri="{FF2B5EF4-FFF2-40B4-BE49-F238E27FC236}">
                  <a16:creationId xmlns:a16="http://schemas.microsoft.com/office/drawing/2014/main" id="{CD5AE7DF-0EA8-4FA0-B98A-C8BFC51980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_pag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62015" y="4102966"/>
              <a:ext cx="2162175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340879</xdr:colOff>
      <xdr:row>28</xdr:row>
      <xdr:rowOff>177511</xdr:rowOff>
    </xdr:from>
    <xdr:to>
      <xdr:col>26</xdr:col>
      <xdr:colOff>639907</xdr:colOff>
      <xdr:row>36</xdr:row>
      <xdr:rowOff>181551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genero_cliente 1">
              <a:extLst>
                <a:ext uri="{FF2B5EF4-FFF2-40B4-BE49-F238E27FC236}">
                  <a16:creationId xmlns:a16="http://schemas.microsoft.com/office/drawing/2014/main" id="{28ABAAF3-6DDB-42F8-8EBB-4388127EE4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_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47584" y="5430693"/>
              <a:ext cx="1828800" cy="1504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355311</xdr:colOff>
      <xdr:row>37</xdr:row>
      <xdr:rowOff>163079</xdr:rowOff>
    </xdr:from>
    <xdr:to>
      <xdr:col>26</xdr:col>
      <xdr:colOff>654339</xdr:colOff>
      <xdr:row>48</xdr:row>
      <xdr:rowOff>156729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Meses (fecha_venta) 1">
              <a:extLst>
                <a:ext uri="{FF2B5EF4-FFF2-40B4-BE49-F238E27FC236}">
                  <a16:creationId xmlns:a16="http://schemas.microsoft.com/office/drawing/2014/main" id="{D2584E09-8D9B-4CD6-A7F3-C0004EE2CF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_ven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62016" y="7104784"/>
              <a:ext cx="182880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81106</xdr:colOff>
      <xdr:row>37</xdr:row>
      <xdr:rowOff>177511</xdr:rowOff>
    </xdr:from>
    <xdr:to>
      <xdr:col>29</xdr:col>
      <xdr:colOff>380134</xdr:colOff>
      <xdr:row>44</xdr:row>
      <xdr:rowOff>54841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Años (fecha_venta) 1">
              <a:extLst>
                <a:ext uri="{FF2B5EF4-FFF2-40B4-BE49-F238E27FC236}">
                  <a16:creationId xmlns:a16="http://schemas.microsoft.com/office/drawing/2014/main" id="{C208E322-8CAA-46F7-912A-BC0410A4AF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_ven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82470" y="7119216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5</xdr:row>
      <xdr:rowOff>161926</xdr:rowOff>
    </xdr:from>
    <xdr:to>
      <xdr:col>8</xdr:col>
      <xdr:colOff>409575</xdr:colOff>
      <xdr:row>27</xdr:row>
      <xdr:rowOff>9526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81F02C-6050-98B9-BBB2-E1AEE74AB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41</xdr:row>
      <xdr:rowOff>142875</xdr:rowOff>
    </xdr:from>
    <xdr:to>
      <xdr:col>12</xdr:col>
      <xdr:colOff>561975</xdr:colOff>
      <xdr:row>56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548CDE-8867-60FE-7CBC-D2DCCC400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104775</xdr:colOff>
      <xdr:row>43</xdr:row>
      <xdr:rowOff>57150</xdr:rowOff>
    </xdr:from>
    <xdr:to>
      <xdr:col>17</xdr:col>
      <xdr:colOff>504825</xdr:colOff>
      <xdr:row>57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B04B25-2733-6B06-9879-BF918B6F7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314325</xdr:colOff>
      <xdr:row>29</xdr:row>
      <xdr:rowOff>133350</xdr:rowOff>
    </xdr:from>
    <xdr:to>
      <xdr:col>6</xdr:col>
      <xdr:colOff>695325</xdr:colOff>
      <xdr:row>38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A4B671-CFF0-17CC-7589-A257E0793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447675</xdr:colOff>
      <xdr:row>37</xdr:row>
      <xdr:rowOff>57149</xdr:rowOff>
    </xdr:from>
    <xdr:to>
      <xdr:col>5</xdr:col>
      <xdr:colOff>390525</xdr:colOff>
      <xdr:row>47</xdr:row>
      <xdr:rowOff>142874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E59E5DA-7936-9A0B-2B50-9BF3F3FBD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38100</xdr:colOff>
      <xdr:row>44</xdr:row>
      <xdr:rowOff>142875</xdr:rowOff>
    </xdr:from>
    <xdr:to>
      <xdr:col>6</xdr:col>
      <xdr:colOff>209550</xdr:colOff>
      <xdr:row>54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B0BB67A-2B95-AB84-F4E0-0AD90A8E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114300</xdr:colOff>
      <xdr:row>55</xdr:row>
      <xdr:rowOff>57150</xdr:rowOff>
    </xdr:from>
    <xdr:to>
      <xdr:col>5</xdr:col>
      <xdr:colOff>476250</xdr:colOff>
      <xdr:row>63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57E9FA-FC58-624B-38D4-96D0BDB96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19050</xdr:colOff>
      <xdr:row>7</xdr:row>
      <xdr:rowOff>161926</xdr:rowOff>
    </xdr:from>
    <xdr:to>
      <xdr:col>9</xdr:col>
      <xdr:colOff>323850</xdr:colOff>
      <xdr:row>18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EFB19612-08F5-EF71-64F6-2E781FD018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9425" y="1495426"/>
              <a:ext cx="1828800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561975</xdr:colOff>
      <xdr:row>61</xdr:row>
      <xdr:rowOff>142875</xdr:rowOff>
    </xdr:from>
    <xdr:to>
      <xdr:col>6</xdr:col>
      <xdr:colOff>342900</xdr:colOff>
      <xdr:row>71</xdr:row>
      <xdr:rowOff>47625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5D98ED5-12FF-7541-CF8F-33D30041A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152400</xdr:colOff>
      <xdr:row>30</xdr:row>
      <xdr:rowOff>19050</xdr:rowOff>
    </xdr:from>
    <xdr:to>
      <xdr:col>9</xdr:col>
      <xdr:colOff>457200</xdr:colOff>
      <xdr:row>37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edad_cliente">
              <a:extLst>
                <a:ext uri="{FF2B5EF4-FFF2-40B4-BE49-F238E27FC236}">
                  <a16:creationId xmlns:a16="http://schemas.microsoft.com/office/drawing/2014/main" id="{D1CF533E-EE49-0019-B8F4-4F4F83A43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_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5734050"/>
              <a:ext cx="18288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39</xdr:row>
      <xdr:rowOff>19051</xdr:rowOff>
    </xdr:from>
    <xdr:to>
      <xdr:col>8</xdr:col>
      <xdr:colOff>133350</xdr:colOff>
      <xdr:row>45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formato">
              <a:extLst>
                <a:ext uri="{FF2B5EF4-FFF2-40B4-BE49-F238E27FC236}">
                  <a16:creationId xmlns:a16="http://schemas.microsoft.com/office/drawing/2014/main" id="{94C12366-CF5C-EEC4-AF6C-F777EF0AAA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6925" y="7448551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47</xdr:row>
      <xdr:rowOff>142876</xdr:rowOff>
    </xdr:from>
    <xdr:to>
      <xdr:col>8</xdr:col>
      <xdr:colOff>9525</xdr:colOff>
      <xdr:row>51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nal_venta">
              <a:extLst>
                <a:ext uri="{FF2B5EF4-FFF2-40B4-BE49-F238E27FC236}">
                  <a16:creationId xmlns:a16="http://schemas.microsoft.com/office/drawing/2014/main" id="{955DAC4C-3262-7700-E324-AF1A73BEB4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9096376"/>
              <a:ext cx="1828800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542924</xdr:colOff>
      <xdr:row>53</xdr:row>
      <xdr:rowOff>133350</xdr:rowOff>
    </xdr:from>
    <xdr:to>
      <xdr:col>8</xdr:col>
      <xdr:colOff>419099</xdr:colOff>
      <xdr:row>59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etodo_pago">
              <a:extLst>
                <a:ext uri="{FF2B5EF4-FFF2-40B4-BE49-F238E27FC236}">
                  <a16:creationId xmlns:a16="http://schemas.microsoft.com/office/drawing/2014/main" id="{E6D826B7-33CE-06CA-D341-5E4309F13E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_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299" y="10229850"/>
              <a:ext cx="2162175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733425</xdr:colOff>
      <xdr:row>62</xdr:row>
      <xdr:rowOff>19050</xdr:rowOff>
    </xdr:from>
    <xdr:to>
      <xdr:col>9</xdr:col>
      <xdr:colOff>276225</xdr:colOff>
      <xdr:row>69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genero_cliente">
              <a:extLst>
                <a:ext uri="{FF2B5EF4-FFF2-40B4-BE49-F238E27FC236}">
                  <a16:creationId xmlns:a16="http://schemas.microsoft.com/office/drawing/2014/main" id="{62D9E4A1-9625-134E-0CBF-6A5DB6866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_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11830050"/>
              <a:ext cx="1828800" cy="1504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619125</xdr:colOff>
      <xdr:row>1</xdr:row>
      <xdr:rowOff>9526</xdr:rowOff>
    </xdr:from>
    <xdr:to>
      <xdr:col>18</xdr:col>
      <xdr:colOff>161925</xdr:colOff>
      <xdr:row>11</xdr:row>
      <xdr:rowOff>161926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Meses (fecha_venta)">
              <a:extLst>
                <a:ext uri="{FF2B5EF4-FFF2-40B4-BE49-F238E27FC236}">
                  <a16:creationId xmlns:a16="http://schemas.microsoft.com/office/drawing/2014/main" id="{3A5F11F4-8060-A8BB-887F-DED731963B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_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1450" y="200026"/>
              <a:ext cx="182880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552450</xdr:colOff>
      <xdr:row>11</xdr:row>
      <xdr:rowOff>28575</xdr:rowOff>
    </xdr:from>
    <xdr:to>
      <xdr:col>10</xdr:col>
      <xdr:colOff>857250</xdr:colOff>
      <xdr:row>17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ños (fecha_venta)">
              <a:extLst>
                <a:ext uri="{FF2B5EF4-FFF2-40B4-BE49-F238E27FC236}">
                  <a16:creationId xmlns:a16="http://schemas.microsoft.com/office/drawing/2014/main" id="{97CFE140-CF0F-98E6-4494-D74A65CD7D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_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2124075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Brea Emperador" refreshedDate="46226.69445451389" createdVersion="8" refreshedVersion="8" minRefreshableVersion="3" recordCount="2200" xr:uid="{9DC683FF-F4C4-40DF-A2AD-A0A05C8D2E07}">
  <cacheSource type="worksheet">
    <worksheetSource name="ventas_libreria"/>
  </cacheSource>
  <cacheFields count="21">
    <cacheField name="id_venta" numFmtId="0">
      <sharedItems/>
    </cacheField>
    <cacheField name="isbn" numFmtId="0">
      <sharedItems/>
    </cacheField>
    <cacheField name="titulo" numFmtId="0">
      <sharedItems/>
    </cacheField>
    <cacheField name="autor" numFmtId="0">
      <sharedItems/>
    </cacheField>
    <cacheField name="categoria" numFmtId="0">
      <sharedItems count="18">
        <s v="Autoayuda"/>
        <s v="Thriller"/>
        <s v="Fantasía"/>
        <s v="Ficción"/>
        <s v="Terror"/>
        <s v="Finanzas"/>
        <s v="Infantil"/>
        <s v="Poesía"/>
        <s v="Fantasía Juvenil"/>
        <s v="Clásico"/>
        <s v="Cómic"/>
        <s v="Ciencia"/>
        <s v="Ciencia Ficción"/>
        <s v="Biografía"/>
        <s v="Cocina"/>
        <s v="Ensayo"/>
        <s v="Histórica"/>
        <s v="Teatro"/>
      </sharedItems>
    </cacheField>
    <cacheField name="precio" numFmtId="0">
      <sharedItems containsSemiMixedTypes="0" containsString="0" containsNumber="1" minValue="0.99" maxValue="32.89"/>
    </cacheField>
    <cacheField name="precio_eur" numFmtId="0">
      <sharedItems containsSemiMixedTypes="0" containsString="0" containsNumber="1" containsInteger="1" minValue="99" maxValue="3289"/>
    </cacheField>
    <cacheField name="cantidad" numFmtId="0">
      <sharedItems containsSemiMixedTypes="0" containsString="0" containsNumber="1" containsInteger="1" minValue="1" maxValue="4"/>
    </cacheField>
    <cacheField name="precio_pedido" numFmtId="0">
      <sharedItems containsSemiMixedTypes="0" containsString="0" containsNumber="1" minValue="0.99" maxValue="109.56"/>
    </cacheField>
    <cacheField name="edad_cliente" numFmtId="0">
      <sharedItems containsSemiMixedTypes="0" containsString="0" containsNumber="1" containsInteger="1" minValue="5" maxValue="75" count="71">
        <n v="50"/>
        <n v="27"/>
        <n v="29"/>
        <n v="58"/>
        <n v="60"/>
        <n v="23"/>
        <n v="36"/>
        <n v="44"/>
        <n v="20"/>
        <n v="12"/>
        <n v="48"/>
        <n v="6"/>
        <n v="62"/>
        <n v="43"/>
        <n v="59"/>
        <n v="14"/>
        <n v="24"/>
        <n v="32"/>
        <n v="61"/>
        <n v="65"/>
        <n v="15"/>
        <n v="13"/>
        <n v="26"/>
        <n v="45"/>
        <n v="7"/>
        <n v="30"/>
        <n v="51"/>
        <n v="52"/>
        <n v="41"/>
        <n v="19"/>
        <n v="57"/>
        <n v="33"/>
        <n v="49"/>
        <n v="70"/>
        <n v="21"/>
        <n v="16"/>
        <n v="53"/>
        <n v="34"/>
        <n v="73"/>
        <n v="55"/>
        <n v="75"/>
        <n v="37"/>
        <n v="46"/>
        <n v="63"/>
        <n v="40"/>
        <n v="56"/>
        <n v="42"/>
        <n v="28"/>
        <n v="25"/>
        <n v="39"/>
        <n v="66"/>
        <n v="54"/>
        <n v="5"/>
        <n v="68"/>
        <n v="47"/>
        <n v="18"/>
        <n v="9"/>
        <n v="64"/>
        <n v="11"/>
        <n v="38"/>
        <n v="17"/>
        <n v="10"/>
        <n v="8"/>
        <n v="69"/>
        <n v="22"/>
        <n v="35"/>
        <n v="74"/>
        <n v="67"/>
        <n v="31"/>
        <n v="72"/>
        <n v="71"/>
      </sharedItems>
      <fieldGroup base="9">
        <rangePr autoStart="0" startNum="0" endNum="75" groupInterval="10"/>
        <groupItems count="10">
          <s v="&lt;0"/>
          <s v="0-9"/>
          <s v="10-19"/>
          <s v="20-29"/>
          <s v="30-39"/>
          <s v="40-49"/>
          <s v="50-59"/>
          <s v="60-69"/>
          <s v="70-79"/>
          <s v="&gt;80"/>
        </groupItems>
      </fieldGroup>
    </cacheField>
    <cacheField name="genero_cliente" numFmtId="0">
      <sharedItems count="4">
        <s v="Masculino"/>
        <s v="No binario"/>
        <s v="Femenino"/>
        <s v="Prefiere no decir"/>
      </sharedItems>
    </cacheField>
    <cacheField name="fecha_venta" numFmtId="14">
      <sharedItems containsSemiMixedTypes="0" containsNonDate="0" containsDate="1" containsString="0" minDate="2023-01-01T00:00:00" maxDate="2026-01-01T00:00:00" count="943">
        <d v="2024-08-24T00:00:00"/>
        <d v="2023-05-09T00:00:00"/>
        <d v="2024-08-02T00:00:00"/>
        <d v="2025-02-19T00:00:00"/>
        <d v="2025-03-11T00:00:00"/>
        <d v="2025-12-26T00:00:00"/>
        <d v="2024-12-29T00:00:00"/>
        <d v="2024-05-18T00:00:00"/>
        <d v="2024-02-29T00:00:00"/>
        <d v="2024-06-18T00:00:00"/>
        <d v="2023-04-12T00:00:00"/>
        <d v="2024-04-07T00:00:00"/>
        <d v="2023-07-15T00:00:00"/>
        <d v="2023-12-20T00:00:00"/>
        <d v="2025-12-06T00:00:00"/>
        <d v="2023-02-04T00:00:00"/>
        <d v="2024-05-25T00:00:00"/>
        <d v="2023-03-22T00:00:00"/>
        <d v="2025-10-14T00:00:00"/>
        <d v="2023-06-04T00:00:00"/>
        <d v="2023-03-17T00:00:00"/>
        <d v="2023-06-19T00:00:00"/>
        <d v="2025-07-15T00:00:00"/>
        <d v="2025-01-18T00:00:00"/>
        <d v="2025-11-13T00:00:00"/>
        <d v="2025-07-06T00:00:00"/>
        <d v="2024-11-29T00:00:00"/>
        <d v="2023-05-12T00:00:00"/>
        <d v="2023-09-28T00:00:00"/>
        <d v="2024-03-14T00:00:00"/>
        <d v="2023-08-16T00:00:00"/>
        <d v="2025-10-08T00:00:00"/>
        <d v="2023-05-21T00:00:00"/>
        <d v="2025-05-06T00:00:00"/>
        <d v="2023-07-10T00:00:00"/>
        <d v="2025-10-03T00:00:00"/>
        <d v="2023-08-04T00:00:00"/>
        <d v="2024-02-25T00:00:00"/>
        <d v="2025-05-23T00:00:00"/>
        <d v="2024-08-03T00:00:00"/>
        <d v="2025-07-25T00:00:00"/>
        <d v="2023-09-01T00:00:00"/>
        <d v="2023-10-18T00:00:00"/>
        <d v="2023-08-14T00:00:00"/>
        <d v="2025-07-01T00:00:00"/>
        <d v="2023-04-19T00:00:00"/>
        <d v="2024-06-22T00:00:00"/>
        <d v="2025-05-31T00:00:00"/>
        <d v="2023-08-26T00:00:00"/>
        <d v="2023-02-18T00:00:00"/>
        <d v="2025-07-07T00:00:00"/>
        <d v="2024-02-11T00:00:00"/>
        <d v="2024-03-10T00:00:00"/>
        <d v="2025-08-27T00:00:00"/>
        <d v="2023-05-01T00:00:00"/>
        <d v="2023-06-06T00:00:00"/>
        <d v="2025-12-19T00:00:00"/>
        <d v="2024-08-22T00:00:00"/>
        <d v="2023-01-07T00:00:00"/>
        <d v="2023-05-11T00:00:00"/>
        <d v="2023-02-08T00:00:00"/>
        <d v="2025-01-19T00:00:00"/>
        <d v="2025-01-03T00:00:00"/>
        <d v="2023-06-23T00:00:00"/>
        <d v="2025-10-16T00:00:00"/>
        <d v="2023-04-18T00:00:00"/>
        <d v="2024-10-09T00:00:00"/>
        <d v="2024-11-30T00:00:00"/>
        <d v="2025-02-11T00:00:00"/>
        <d v="2025-11-26T00:00:00"/>
        <d v="2025-10-01T00:00:00"/>
        <d v="2025-05-16T00:00:00"/>
        <d v="2023-06-27T00:00:00"/>
        <d v="2024-11-21T00:00:00"/>
        <d v="2024-06-24T00:00:00"/>
        <d v="2025-09-22T00:00:00"/>
        <d v="2023-11-29T00:00:00"/>
        <d v="2025-08-13T00:00:00"/>
        <d v="2025-05-17T00:00:00"/>
        <d v="2025-07-10T00:00:00"/>
        <d v="2025-08-14T00:00:00"/>
        <d v="2025-04-29T00:00:00"/>
        <d v="2025-09-05T00:00:00"/>
        <d v="2024-01-03T00:00:00"/>
        <d v="2025-05-05T00:00:00"/>
        <d v="2025-11-07T00:00:00"/>
        <d v="2023-08-07T00:00:00"/>
        <d v="2024-10-24T00:00:00"/>
        <d v="2025-06-14T00:00:00"/>
        <d v="2025-03-28T00:00:00"/>
        <d v="2024-06-13T00:00:00"/>
        <d v="2025-06-18T00:00:00"/>
        <d v="2023-08-09T00:00:00"/>
        <d v="2023-10-30T00:00:00"/>
        <d v="2025-02-08T00:00:00"/>
        <d v="2025-11-12T00:00:00"/>
        <d v="2024-11-13T00:00:00"/>
        <d v="2025-05-18T00:00:00"/>
        <d v="2023-10-06T00:00:00"/>
        <d v="2024-10-03T00:00:00"/>
        <d v="2023-07-26T00:00:00"/>
        <d v="2023-07-21T00:00:00"/>
        <d v="2025-10-26T00:00:00"/>
        <d v="2023-11-23T00:00:00"/>
        <d v="2025-12-28T00:00:00"/>
        <d v="2023-02-15T00:00:00"/>
        <d v="2023-01-19T00:00:00"/>
        <d v="2024-03-24T00:00:00"/>
        <d v="2023-10-05T00:00:00"/>
        <d v="2024-07-05T00:00:00"/>
        <d v="2024-07-14T00:00:00"/>
        <d v="2023-03-28T00:00:00"/>
        <d v="2025-04-20T00:00:00"/>
        <d v="2024-08-28T00:00:00"/>
        <d v="2024-05-24T00:00:00"/>
        <d v="2023-05-30T00:00:00"/>
        <d v="2024-08-15T00:00:00"/>
        <d v="2024-03-18T00:00:00"/>
        <d v="2025-01-16T00:00:00"/>
        <d v="2023-11-18T00:00:00"/>
        <d v="2024-04-24T00:00:00"/>
        <d v="2023-05-19T00:00:00"/>
        <d v="2024-07-28T00:00:00"/>
        <d v="2023-07-17T00:00:00"/>
        <d v="2024-07-19T00:00:00"/>
        <d v="2025-09-08T00:00:00"/>
        <d v="2024-05-10T00:00:00"/>
        <d v="2024-08-21T00:00:00"/>
        <d v="2024-09-07T00:00:00"/>
        <d v="2024-12-23T00:00:00"/>
        <d v="2025-01-07T00:00:00"/>
        <d v="2025-09-16T00:00:00"/>
        <d v="2025-11-19T00:00:00"/>
        <d v="2023-12-19T00:00:00"/>
        <d v="2024-04-25T00:00:00"/>
        <d v="2024-10-28T00:00:00"/>
        <d v="2025-11-04T00:00:00"/>
        <d v="2023-08-19T00:00:00"/>
        <d v="2025-05-11T00:00:00"/>
        <d v="2023-11-21T00:00:00"/>
        <d v="2023-02-10T00:00:00"/>
        <d v="2023-07-02T00:00:00"/>
        <d v="2025-05-30T00:00:00"/>
        <d v="2023-06-02T00:00:00"/>
        <d v="2023-10-15T00:00:00"/>
        <d v="2024-05-22T00:00:00"/>
        <d v="2025-04-10T00:00:00"/>
        <d v="2023-08-03T00:00:00"/>
        <d v="2024-08-20T00:00:00"/>
        <d v="2023-05-14T00:00:00"/>
        <d v="2024-05-31T00:00:00"/>
        <d v="2023-03-05T00:00:00"/>
        <d v="2024-08-10T00:00:00"/>
        <d v="2025-10-13T00:00:00"/>
        <d v="2024-10-04T00:00:00"/>
        <d v="2025-06-23T00:00:00"/>
        <d v="2023-06-01T00:00:00"/>
        <d v="2024-03-22T00:00:00"/>
        <d v="2024-05-13T00:00:00"/>
        <d v="2024-02-08T00:00:00"/>
        <d v="2025-09-23T00:00:00"/>
        <d v="2023-03-18T00:00:00"/>
        <d v="2024-03-03T00:00:00"/>
        <d v="2024-05-26T00:00:00"/>
        <d v="2023-06-24T00:00:00"/>
        <d v="2024-03-17T00:00:00"/>
        <d v="2023-03-02T00:00:00"/>
        <d v="2023-01-24T00:00:00"/>
        <d v="2023-12-16T00:00:00"/>
        <d v="2023-12-29T00:00:00"/>
        <d v="2025-01-10T00:00:00"/>
        <d v="2025-12-07T00:00:00"/>
        <d v="2023-06-07T00:00:00"/>
        <d v="2025-07-08T00:00:00"/>
        <d v="2023-11-09T00:00:00"/>
        <d v="2024-07-15T00:00:00"/>
        <d v="2023-08-15T00:00:00"/>
        <d v="2025-02-07T00:00:00"/>
        <d v="2024-01-26T00:00:00"/>
        <d v="2023-09-21T00:00:00"/>
        <d v="2024-12-18T00:00:00"/>
        <d v="2025-08-24T00:00:00"/>
        <d v="2024-08-18T00:00:00"/>
        <d v="2025-01-28T00:00:00"/>
        <d v="2024-11-19T00:00:00"/>
        <d v="2024-01-30T00:00:00"/>
        <d v="2025-06-25T00:00:00"/>
        <d v="2025-06-24T00:00:00"/>
        <d v="2025-05-20T00:00:00"/>
        <d v="2023-05-03T00:00:00"/>
        <d v="2023-06-26T00:00:00"/>
        <d v="2023-12-08T00:00:00"/>
        <d v="2025-09-11T00:00:00"/>
        <d v="2024-01-21T00:00:00"/>
        <d v="2024-06-30T00:00:00"/>
        <d v="2023-07-24T00:00:00"/>
        <d v="2025-01-04T00:00:00"/>
        <d v="2025-04-17T00:00:00"/>
        <d v="2024-02-04T00:00:00"/>
        <d v="2024-10-16T00:00:00"/>
        <d v="2024-05-05T00:00:00"/>
        <d v="2025-02-12T00:00:00"/>
        <d v="2024-12-24T00:00:00"/>
        <d v="2023-08-22T00:00:00"/>
        <d v="2024-08-06T00:00:00"/>
        <d v="2024-07-08T00:00:00"/>
        <d v="2025-12-15T00:00:00"/>
        <d v="2024-07-10T00:00:00"/>
        <d v="2023-05-20T00:00:00"/>
        <d v="2023-06-18T00:00:00"/>
        <d v="2024-01-02T00:00:00"/>
        <d v="2023-08-20T00:00:00"/>
        <d v="2025-06-07T00:00:00"/>
        <d v="2025-07-09T00:00:00"/>
        <d v="2023-01-15T00:00:00"/>
        <d v="2025-10-31T00:00:00"/>
        <d v="2025-04-03T00:00:00"/>
        <d v="2025-02-23T00:00:00"/>
        <d v="2025-09-27T00:00:00"/>
        <d v="2023-03-08T00:00:00"/>
        <d v="2025-06-02T00:00:00"/>
        <d v="2025-08-03T00:00:00"/>
        <d v="2023-06-25T00:00:00"/>
        <d v="2024-06-16T00:00:00"/>
        <d v="2025-06-28T00:00:00"/>
        <d v="2023-12-25T00:00:00"/>
        <d v="2025-12-09T00:00:00"/>
        <d v="2024-09-18T00:00:00"/>
        <d v="2024-06-02T00:00:00"/>
        <d v="2023-11-03T00:00:00"/>
        <d v="2024-03-26T00:00:00"/>
        <d v="2023-10-20T00:00:00"/>
        <d v="2025-04-05T00:00:00"/>
        <d v="2024-07-30T00:00:00"/>
        <d v="2023-04-27T00:00:00"/>
        <d v="2024-09-22T00:00:00"/>
        <d v="2024-09-25T00:00:00"/>
        <d v="2024-05-15T00:00:00"/>
        <d v="2025-07-18T00:00:00"/>
        <d v="2024-04-22T00:00:00"/>
        <d v="2025-04-07T00:00:00"/>
        <d v="2023-04-25T00:00:00"/>
        <d v="2024-05-14T00:00:00"/>
        <d v="2025-08-07T00:00:00"/>
        <d v="2023-04-28T00:00:00"/>
        <d v="2023-04-04T00:00:00"/>
        <d v="2023-09-03T00:00:00"/>
        <d v="2024-02-21T00:00:00"/>
        <d v="2025-12-13T00:00:00"/>
        <d v="2023-12-02T00:00:00"/>
        <d v="2025-12-03T00:00:00"/>
        <d v="2023-09-19T00:00:00"/>
        <d v="2024-09-04T00:00:00"/>
        <d v="2024-07-06T00:00:00"/>
        <d v="2024-08-16T00:00:00"/>
        <d v="2024-03-25T00:00:00"/>
        <d v="2025-09-06T00:00:00"/>
        <d v="2025-12-05T00:00:00"/>
        <d v="2023-07-19T00:00:00"/>
        <d v="2025-09-04T00:00:00"/>
        <d v="2025-12-02T00:00:00"/>
        <d v="2023-07-22T00:00:00"/>
        <d v="2023-11-15T00:00:00"/>
        <d v="2024-04-03T00:00:00"/>
        <d v="2023-11-11T00:00:00"/>
        <d v="2023-04-17T00:00:00"/>
        <d v="2025-07-02T00:00:00"/>
        <d v="2023-02-03T00:00:00"/>
        <d v="2024-03-01T00:00:00"/>
        <d v="2023-10-27T00:00:00"/>
        <d v="2023-04-21T00:00:00"/>
        <d v="2024-10-25T00:00:00"/>
        <d v="2025-11-24T00:00:00"/>
        <d v="2025-12-31T00:00:00"/>
        <d v="2023-03-23T00:00:00"/>
        <d v="2023-04-09T00:00:00"/>
        <d v="2024-06-19T00:00:00"/>
        <d v="2025-08-02T00:00:00"/>
        <d v="2024-03-23T00:00:00"/>
        <d v="2024-04-09T00:00:00"/>
        <d v="2024-12-22T00:00:00"/>
        <d v="2023-04-13T00:00:00"/>
        <d v="2025-03-24T00:00:00"/>
        <d v="2024-12-26T00:00:00"/>
        <d v="2024-08-09T00:00:00"/>
        <d v="2024-04-06T00:00:00"/>
        <d v="2023-12-03T00:00:00"/>
        <d v="2024-10-12T00:00:00"/>
        <d v="2023-09-09T00:00:00"/>
        <d v="2024-03-27T00:00:00"/>
        <d v="2025-03-06T00:00:00"/>
        <d v="2024-03-05T00:00:00"/>
        <d v="2024-01-17T00:00:00"/>
        <d v="2025-11-20T00:00:00"/>
        <d v="2023-07-28T00:00:00"/>
        <d v="2023-04-11T00:00:00"/>
        <d v="2025-03-17T00:00:00"/>
        <d v="2025-07-23T00:00:00"/>
        <d v="2025-02-24T00:00:00"/>
        <d v="2023-01-06T00:00:00"/>
        <d v="2023-07-08T00:00:00"/>
        <d v="2024-11-10T00:00:00"/>
        <d v="2023-02-19T00:00:00"/>
        <d v="2025-01-22T00:00:00"/>
        <d v="2025-10-02T00:00:00"/>
        <d v="2023-09-07T00:00:00"/>
        <d v="2024-06-07T00:00:00"/>
        <d v="2024-10-20T00:00:00"/>
        <d v="2025-01-14T00:00:00"/>
        <d v="2024-03-06T00:00:00"/>
        <d v="2023-06-14T00:00:00"/>
        <d v="2023-03-10T00:00:00"/>
        <d v="2025-07-05T00:00:00"/>
        <d v="2023-07-25T00:00:00"/>
        <d v="2023-04-23T00:00:00"/>
        <d v="2024-02-19T00:00:00"/>
        <d v="2025-04-28T00:00:00"/>
        <d v="2025-01-31T00:00:00"/>
        <d v="2024-04-13T00:00:00"/>
        <d v="2025-10-20T00:00:00"/>
        <d v="2023-08-10T00:00:00"/>
        <d v="2023-12-01T00:00:00"/>
        <d v="2023-02-23T00:00:00"/>
        <d v="2023-10-17T00:00:00"/>
        <d v="2025-03-18T00:00:00"/>
        <d v="2025-10-07T00:00:00"/>
        <d v="2024-04-20T00:00:00"/>
        <d v="2024-01-16T00:00:00"/>
        <d v="2024-02-26T00:00:00"/>
        <d v="2023-11-06T00:00:00"/>
        <d v="2024-08-31T00:00:00"/>
        <d v="2023-06-13T00:00:00"/>
        <d v="2024-06-01T00:00:00"/>
        <d v="2024-07-29T00:00:00"/>
        <d v="2024-02-18T00:00:00"/>
        <d v="2024-10-31T00:00:00"/>
        <d v="2024-12-20T00:00:00"/>
        <d v="2025-03-13T00:00:00"/>
        <d v="2023-09-10T00:00:00"/>
        <d v="2024-02-14T00:00:00"/>
        <d v="2024-06-14T00:00:00"/>
        <d v="2024-12-07T00:00:00"/>
        <d v="2023-03-15T00:00:00"/>
        <d v="2025-12-29T00:00:00"/>
        <d v="2025-10-12T00:00:00"/>
        <d v="2025-09-17T00:00:00"/>
        <d v="2024-02-13T00:00:00"/>
        <d v="2024-08-12T00:00:00"/>
        <d v="2024-09-26T00:00:00"/>
        <d v="2025-11-16T00:00:00"/>
        <d v="2023-10-09T00:00:00"/>
        <d v="2025-04-02T00:00:00"/>
        <d v="2024-12-28T00:00:00"/>
        <d v="2024-11-04T00:00:00"/>
        <d v="2025-04-11T00:00:00"/>
        <d v="2023-03-13T00:00:00"/>
        <d v="2025-10-24T00:00:00"/>
        <d v="2023-06-08T00:00:00"/>
        <d v="2025-11-01T00:00:00"/>
        <d v="2023-05-18T00:00:00"/>
        <d v="2024-05-01T00:00:00"/>
        <d v="2023-03-25T00:00:00"/>
        <d v="2023-10-14T00:00:00"/>
        <d v="2023-05-26T00:00:00"/>
        <d v="2024-11-09T00:00:00"/>
        <d v="2024-10-29T00:00:00"/>
        <d v="2023-07-31T00:00:00"/>
        <d v="2025-04-15T00:00:00"/>
        <d v="2025-04-27T00:00:00"/>
        <d v="2025-05-09T00:00:00"/>
        <d v="2023-07-23T00:00:00"/>
        <d v="2023-12-14T00:00:00"/>
        <d v="2024-06-26T00:00:00"/>
        <d v="2024-09-19T00:00:00"/>
        <d v="2025-08-23T00:00:00"/>
        <d v="2023-08-05T00:00:00"/>
        <d v="2024-11-02T00:00:00"/>
        <d v="2023-02-02T00:00:00"/>
        <d v="2023-10-03T00:00:00"/>
        <d v="2024-09-23T00:00:00"/>
        <d v="2023-07-05T00:00:00"/>
        <d v="2024-12-04T00:00:00"/>
        <d v="2024-07-26T00:00:00"/>
        <d v="2024-03-07T00:00:00"/>
        <d v="2024-06-11T00:00:00"/>
        <d v="2024-08-26T00:00:00"/>
        <d v="2024-04-12T00:00:00"/>
        <d v="2024-06-05T00:00:00"/>
        <d v="2025-05-27T00:00:00"/>
        <d v="2025-12-24T00:00:00"/>
        <d v="2023-02-17T00:00:00"/>
        <d v="2024-02-24T00:00:00"/>
        <d v="2024-08-05T00:00:00"/>
        <d v="2023-03-19T00:00:00"/>
        <d v="2023-10-28T00:00:00"/>
        <d v="2024-11-05T00:00:00"/>
        <d v="2025-02-16T00:00:00"/>
        <d v="2024-08-23T00:00:00"/>
        <d v="2023-08-25T00:00:00"/>
        <d v="2024-07-16T00:00:00"/>
        <d v="2024-08-30T00:00:00"/>
        <d v="2024-04-23T00:00:00"/>
        <d v="2023-10-23T00:00:00"/>
        <d v="2024-07-20T00:00:00"/>
        <d v="2023-03-24T00:00:00"/>
        <d v="2025-02-28T00:00:00"/>
        <d v="2024-02-10T00:00:00"/>
        <d v="2023-12-27T00:00:00"/>
        <d v="2023-01-09T00:00:00"/>
        <d v="2025-10-18T00:00:00"/>
        <d v="2023-05-05T00:00:00"/>
        <d v="2024-11-14T00:00:00"/>
        <d v="2025-12-30T00:00:00"/>
        <d v="2023-08-08T00:00:00"/>
        <d v="2025-03-07T00:00:00"/>
        <d v="2023-06-11T00:00:00"/>
        <d v="2023-08-01T00:00:00"/>
        <d v="2024-01-12T00:00:00"/>
        <d v="2025-05-12T00:00:00"/>
        <d v="2024-01-01T00:00:00"/>
        <d v="2025-12-01T00:00:00"/>
        <d v="2024-05-09T00:00:00"/>
        <d v="2024-06-03T00:00:00"/>
        <d v="2025-06-17T00:00:00"/>
        <d v="2024-04-26T00:00:00"/>
        <d v="2025-02-27T00:00:00"/>
        <d v="2025-08-08T00:00:00"/>
        <d v="2023-01-27T00:00:00"/>
        <d v="2023-12-21T00:00:00"/>
        <d v="2024-05-20T00:00:00"/>
        <d v="2023-08-11T00:00:00"/>
        <d v="2024-01-04T00:00:00"/>
        <d v="2023-09-04T00:00:00"/>
        <d v="2023-12-13T00:00:00"/>
        <d v="2024-02-15T00:00:00"/>
        <d v="2024-12-16T00:00:00"/>
        <d v="2024-10-10T00:00:00"/>
        <d v="2025-01-27T00:00:00"/>
        <d v="2024-03-13T00:00:00"/>
        <d v="2023-10-11T00:00:00"/>
        <d v="2024-06-06T00:00:00"/>
        <d v="2023-11-24T00:00:00"/>
        <d v="2023-03-06T00:00:00"/>
        <d v="2023-04-06T00:00:00"/>
        <d v="2025-08-18T00:00:00"/>
        <d v="2023-11-30T00:00:00"/>
        <d v="2025-01-09T00:00:00"/>
        <d v="2025-11-02T00:00:00"/>
        <d v="2025-12-12T00:00:00"/>
        <d v="2023-09-11T00:00:00"/>
        <d v="2023-05-15T00:00:00"/>
        <d v="2023-10-22T00:00:00"/>
        <d v="2024-05-21T00:00:00"/>
        <d v="2023-07-14T00:00:00"/>
        <d v="2024-05-02T00:00:00"/>
        <d v="2025-08-30T00:00:00"/>
        <d v="2023-02-12T00:00:00"/>
        <d v="2023-11-12T00:00:00"/>
        <d v="2023-11-10T00:00:00"/>
        <d v="2025-01-15T00:00:00"/>
        <d v="2024-03-31T00:00:00"/>
        <d v="2025-08-28T00:00:00"/>
        <d v="2025-07-29T00:00:00"/>
        <d v="2024-02-12T00:00:00"/>
        <d v="2025-05-08T00:00:00"/>
        <d v="2024-07-03T00:00:00"/>
        <d v="2025-03-15T00:00:00"/>
        <d v="2025-07-16T00:00:00"/>
        <d v="2025-10-23T00:00:00"/>
        <d v="2024-10-13T00:00:00"/>
        <d v="2023-11-26T00:00:00"/>
        <d v="2025-02-02T00:00:00"/>
        <d v="2023-01-25T00:00:00"/>
        <d v="2024-01-15T00:00:00"/>
        <d v="2025-06-20T00:00:00"/>
        <d v="2024-03-15T00:00:00"/>
        <d v="2025-07-11T00:00:00"/>
        <d v="2023-02-24T00:00:00"/>
        <d v="2025-10-29T00:00:00"/>
        <d v="2023-02-05T00:00:00"/>
        <d v="2023-12-24T00:00:00"/>
        <d v="2023-02-07T00:00:00"/>
        <d v="2025-11-27T00:00:00"/>
        <d v="2025-11-18T00:00:00"/>
        <d v="2024-03-11T00:00:00"/>
        <d v="2025-09-15T00:00:00"/>
        <d v="2024-09-15T00:00:00"/>
        <d v="2025-02-04T00:00:00"/>
        <d v="2023-06-15T00:00:00"/>
        <d v="2024-06-25T00:00:00"/>
        <d v="2023-11-13T00:00:00"/>
        <d v="2024-11-23T00:00:00"/>
        <d v="2025-12-22T00:00:00"/>
        <d v="2025-06-13T00:00:00"/>
        <d v="2024-10-22T00:00:00"/>
        <d v="2023-06-17T00:00:00"/>
        <d v="2025-03-05T00:00:00"/>
        <d v="2023-01-22T00:00:00"/>
        <d v="2025-06-10T00:00:00"/>
        <d v="2024-01-20T00:00:00"/>
        <d v="2025-02-14T00:00:00"/>
        <d v="2024-02-23T00:00:00"/>
        <d v="2024-01-31T00:00:00"/>
        <d v="2024-03-09T00:00:00"/>
        <d v="2023-08-29T00:00:00"/>
        <d v="2023-03-26T00:00:00"/>
        <d v="2025-06-08T00:00:00"/>
        <d v="2025-02-25T00:00:00"/>
        <d v="2025-03-22T00:00:00"/>
        <d v="2023-03-14T00:00:00"/>
        <d v="2024-07-31T00:00:00"/>
        <d v="2023-12-11T00:00:00"/>
        <d v="2025-03-26T00:00:00"/>
        <d v="2024-10-06T00:00:00"/>
        <d v="2024-08-13T00:00:00"/>
        <d v="2024-04-17T00:00:00"/>
        <d v="2024-04-19T00:00:00"/>
        <d v="2025-08-17T00:00:00"/>
        <d v="2023-11-17T00:00:00"/>
        <d v="2025-03-08T00:00:00"/>
        <d v="2025-11-23T00:00:00"/>
        <d v="2024-10-05T00:00:00"/>
        <d v="2025-08-05T00:00:00"/>
        <d v="2025-11-09T00:00:00"/>
        <d v="2025-10-11T00:00:00"/>
        <d v="2024-12-08T00:00:00"/>
        <d v="2024-08-04T00:00:00"/>
        <d v="2023-05-17T00:00:00"/>
        <d v="2025-06-30T00:00:00"/>
        <d v="2025-11-03T00:00:00"/>
        <d v="2025-01-26T00:00:00"/>
        <d v="2024-02-28T00:00:00"/>
        <d v="2025-11-29T00:00:00"/>
        <d v="2024-04-05T00:00:00"/>
        <d v="2023-11-19T00:00:00"/>
        <d v="2025-01-01T00:00:00"/>
        <d v="2023-07-06T00:00:00"/>
        <d v="2023-04-01T00:00:00"/>
        <d v="2024-01-27T00:00:00"/>
        <d v="2024-01-10T00:00:00"/>
        <d v="2023-12-07T00:00:00"/>
        <d v="2023-12-26T00:00:00"/>
        <d v="2024-10-23T00:00:00"/>
        <d v="2024-08-25T00:00:00"/>
        <d v="2023-06-21T00:00:00"/>
        <d v="2023-08-06T00:00:00"/>
        <d v="2023-07-01T00:00:00"/>
        <d v="2023-09-08T00:00:00"/>
        <d v="2023-08-18T00:00:00"/>
        <d v="2025-04-22T00:00:00"/>
        <d v="2023-06-16T00:00:00"/>
        <d v="2023-07-04T00:00:00"/>
        <d v="2025-10-15T00:00:00"/>
        <d v="2024-06-17T00:00:00"/>
        <d v="2023-04-02T00:00:00"/>
        <d v="2024-03-12T00:00:00"/>
        <d v="2025-09-12T00:00:00"/>
        <d v="2025-08-22T00:00:00"/>
        <d v="2024-12-01T00:00:00"/>
        <d v="2023-10-26T00:00:00"/>
        <d v="2024-10-26T00:00:00"/>
        <d v="2023-05-02T00:00:00"/>
        <d v="2024-10-30T00:00:00"/>
        <d v="2024-10-07T00:00:00"/>
        <d v="2025-04-13T00:00:00"/>
        <d v="2025-09-09T00:00:00"/>
        <d v="2024-01-11T00:00:00"/>
        <d v="2024-01-14T00:00:00"/>
        <d v="2025-02-03T00:00:00"/>
        <d v="2024-12-05T00:00:00"/>
        <d v="2024-10-18T00:00:00"/>
        <d v="2024-09-20T00:00:00"/>
        <d v="2023-09-27T00:00:00"/>
        <d v="2025-09-14T00:00:00"/>
        <d v="2024-06-10T00:00:00"/>
        <d v="2024-01-19T00:00:00"/>
        <d v="2024-11-22T00:00:00"/>
        <d v="2025-10-19T00:00:00"/>
        <d v="2023-04-20T00:00:00"/>
        <d v="2023-10-07T00:00:00"/>
        <d v="2023-01-02T00:00:00"/>
        <d v="2025-02-15T00:00:00"/>
        <d v="2023-09-25T00:00:00"/>
        <d v="2024-02-16T00:00:00"/>
        <d v="2025-03-31T00:00:00"/>
        <d v="2024-01-25T00:00:00"/>
        <d v="2025-05-26T00:00:00"/>
        <d v="2023-08-27T00:00:00"/>
        <d v="2023-03-01T00:00:00"/>
        <d v="2024-11-01T00:00:00"/>
        <d v="2023-11-25T00:00:00"/>
        <d v="2025-01-25T00:00:00"/>
        <d v="2023-03-07T00:00:00"/>
        <d v="2023-07-30T00:00:00"/>
        <d v="2025-07-31T00:00:00"/>
        <d v="2025-11-05T00:00:00"/>
        <d v="2024-05-06T00:00:00"/>
        <d v="2025-04-19T00:00:00"/>
        <d v="2025-01-23T00:00:00"/>
        <d v="2025-07-04T00:00:00"/>
        <d v="2025-09-30T00:00:00"/>
        <d v="2025-02-17T00:00:00"/>
        <d v="2023-02-26T00:00:00"/>
        <d v="2023-09-05T00:00:00"/>
        <d v="2023-10-13T00:00:00"/>
        <d v="2025-03-01T00:00:00"/>
        <d v="2025-05-24T00:00:00"/>
        <d v="2024-12-14T00:00:00"/>
        <d v="2025-06-21T00:00:00"/>
        <d v="2025-08-10T00:00:00"/>
        <d v="2023-09-13T00:00:00"/>
        <d v="2024-10-02T00:00:00"/>
        <d v="2024-03-21T00:00:00"/>
        <d v="2023-05-10T00:00:00"/>
        <d v="2024-02-09T00:00:00"/>
        <d v="2024-09-30T00:00:00"/>
        <d v="2024-07-23T00:00:00"/>
        <d v="2024-11-24T00:00:00"/>
        <d v="2025-04-14T00:00:00"/>
        <d v="2024-11-25T00:00:00"/>
        <d v="2023-04-30T00:00:00"/>
        <d v="2023-09-22T00:00:00"/>
        <d v="2023-12-22T00:00:00"/>
        <d v="2025-02-26T00:00:00"/>
        <d v="2025-11-21T00:00:00"/>
        <d v="2024-12-03T00:00:00"/>
        <d v="2025-09-29T00:00:00"/>
        <d v="2025-07-03T00:00:00"/>
        <d v="2023-12-23T00:00:00"/>
        <d v="2023-05-28T00:00:00"/>
        <d v="2024-11-20T00:00:00"/>
        <d v="2023-08-30T00:00:00"/>
        <d v="2024-11-12T00:00:00"/>
        <d v="2023-02-14T00:00:00"/>
        <d v="2023-04-10T00:00:00"/>
        <d v="2025-10-27T00:00:00"/>
        <d v="2025-10-17T00:00:00"/>
        <d v="2024-06-15T00:00:00"/>
        <d v="2023-10-01T00:00:00"/>
        <d v="2023-10-29T00:00:00"/>
        <d v="2025-10-30T00:00:00"/>
        <d v="2023-07-11T00:00:00"/>
        <d v="2025-03-25T00:00:00"/>
        <d v="2023-05-29T00:00:00"/>
        <d v="2024-05-30T00:00:00"/>
        <d v="2024-03-29T00:00:00"/>
        <d v="2025-08-25T00:00:00"/>
        <d v="2024-01-09T00:00:00"/>
        <d v="2025-09-01T00:00:00"/>
        <d v="2024-04-16T00:00:00"/>
        <d v="2024-11-11T00:00:00"/>
        <d v="2023-05-13T00:00:00"/>
        <d v="2024-10-19T00:00:00"/>
        <d v="2023-01-31T00:00:00"/>
        <d v="2025-02-21T00:00:00"/>
        <d v="2024-01-24T00:00:00"/>
        <d v="2023-07-09T00:00:00"/>
        <d v="2025-04-23T00:00:00"/>
        <d v="2025-04-16T00:00:00"/>
        <d v="2024-04-15T00:00:00"/>
        <d v="2023-08-23T00:00:00"/>
        <d v="2023-01-14T00:00:00"/>
        <d v="2025-02-01T00:00:00"/>
        <d v="2025-10-05T00:00:00"/>
        <d v="2025-11-10T00:00:00"/>
        <d v="2024-01-18T00:00:00"/>
        <d v="2025-08-19T00:00:00"/>
        <d v="2024-09-29T00:00:00"/>
        <d v="2025-11-30T00:00:00"/>
        <d v="2025-01-24T00:00:00"/>
        <d v="2023-12-10T00:00:00"/>
        <d v="2024-03-28T00:00:00"/>
        <d v="2025-03-20T00:00:00"/>
        <d v="2025-02-09T00:00:00"/>
        <d v="2023-11-28T00:00:00"/>
        <d v="2023-03-29T00:00:00"/>
        <d v="2023-09-16T00:00:00"/>
        <d v="2023-02-22T00:00:00"/>
        <d v="2024-12-02T00:00:00"/>
        <d v="2023-11-07T00:00:00"/>
        <d v="2024-04-10T00:00:00"/>
        <d v="2025-07-20T00:00:00"/>
        <d v="2023-04-26T00:00:00"/>
        <d v="2025-06-09T00:00:00"/>
        <d v="2023-04-24T00:00:00"/>
        <d v="2024-02-27T00:00:00"/>
        <d v="2025-11-17T00:00:00"/>
        <d v="2025-06-01T00:00:00"/>
        <d v="2025-05-21T00:00:00"/>
        <d v="2023-12-09T00:00:00"/>
        <d v="2025-08-09T00:00:00"/>
        <d v="2023-11-14T00:00:00"/>
        <d v="2023-10-12T00:00:00"/>
        <d v="2024-11-03T00:00:00"/>
        <d v="2024-05-16T00:00:00"/>
        <d v="2025-03-10T00:00:00"/>
        <d v="2023-05-27T00:00:00"/>
        <d v="2025-05-03T00:00:00"/>
        <d v="2023-01-12T00:00:00"/>
        <d v="2025-04-21T00:00:00"/>
        <d v="2024-09-09T00:00:00"/>
        <d v="2023-06-05T00:00:00"/>
        <d v="2023-01-29T00:00:00"/>
        <d v="2025-09-26T00:00:00"/>
        <d v="2023-11-22T00:00:00"/>
        <d v="2023-03-31T00:00:00"/>
        <d v="2023-12-17T00:00:00"/>
        <d v="2025-12-18T00:00:00"/>
        <d v="2024-09-12T00:00:00"/>
        <d v="2024-12-15T00:00:00"/>
        <d v="2023-09-17T00:00:00"/>
        <d v="2025-09-02T00:00:00"/>
        <d v="2023-12-04T00:00:00"/>
        <d v="2025-01-08T00:00:00"/>
        <d v="2025-07-17T00:00:00"/>
        <d v="2024-12-11T00:00:00"/>
        <d v="2025-06-27T00:00:00"/>
        <d v="2025-10-22T00:00:00"/>
        <d v="2023-09-30T00:00:00"/>
        <d v="2023-07-27T00:00:00"/>
        <d v="2025-06-15T00:00:00"/>
        <d v="2023-10-25T00:00:00"/>
        <d v="2023-10-31T00:00:00"/>
        <d v="2024-05-08T00:00:00"/>
        <d v="2023-01-11T00:00:00"/>
        <d v="2025-03-21T00:00:00"/>
        <d v="2023-07-13T00:00:00"/>
        <d v="2024-04-30T00:00:00"/>
        <d v="2023-06-09T00:00:00"/>
        <d v="2024-09-16T00:00:00"/>
        <d v="2023-01-01T00:00:00"/>
        <d v="2025-06-22T00:00:00"/>
        <d v="2024-05-07T00:00:00"/>
        <d v="2024-01-06T00:00:00"/>
        <d v="2024-03-16T00:00:00"/>
        <d v="2023-01-05T00:00:00"/>
        <d v="2024-09-27T00:00:00"/>
        <d v="2024-03-19T00:00:00"/>
        <d v="2024-02-03T00:00:00"/>
        <d v="2024-04-27T00:00:00"/>
        <d v="2024-01-23T00:00:00"/>
        <d v="2023-07-03T00:00:00"/>
        <d v="2023-08-02T00:00:00"/>
        <d v="2024-12-12T00:00:00"/>
        <d v="2024-01-07T00:00:00"/>
        <d v="2025-11-08T00:00:00"/>
        <d v="2023-03-16T00:00:00"/>
        <d v="2024-01-08T00:00:00"/>
        <d v="2024-04-11T00:00:00"/>
        <d v="2023-11-01T00:00:00"/>
        <d v="2025-06-11T00:00:00"/>
        <d v="2023-07-12T00:00:00"/>
        <d v="2024-02-01T00:00:00"/>
        <d v="2023-04-14T00:00:00"/>
        <d v="2023-07-18T00:00:00"/>
        <d v="2025-07-13T00:00:00"/>
        <d v="2024-07-18T00:00:00"/>
        <d v="2025-11-28T00:00:00"/>
        <d v="2025-03-19T00:00:00"/>
        <d v="2024-11-17T00:00:00"/>
        <d v="2025-08-15T00:00:00"/>
        <d v="2024-06-12T00:00:00"/>
        <d v="2024-11-08T00:00:00"/>
        <d v="2024-05-19T00:00:00"/>
        <d v="2023-02-25T00:00:00"/>
        <d v="2025-05-01T00:00:00"/>
        <d v="2023-06-28T00:00:00"/>
        <d v="2025-12-27T00:00:00"/>
        <d v="2024-01-13T00:00:00"/>
        <d v="2025-06-06T00:00:00"/>
        <d v="2024-02-22T00:00:00"/>
        <d v="2025-01-30T00:00:00"/>
        <d v="2025-04-30T00:00:00"/>
        <d v="2025-11-15T00:00:00"/>
        <d v="2023-01-20T00:00:00"/>
        <d v="2024-10-17T00:00:00"/>
        <d v="2024-02-05T00:00:00"/>
        <d v="2024-09-17T00:00:00"/>
        <d v="2023-10-10T00:00:00"/>
        <d v="2023-03-11T00:00:00"/>
        <d v="2025-07-24T00:00:00"/>
        <d v="2023-05-25T00:00:00"/>
        <d v="2024-04-08T00:00:00"/>
        <d v="2024-02-20T00:00:00"/>
        <d v="2025-05-29T00:00:00"/>
        <d v="2023-11-20T00:00:00"/>
        <d v="2023-08-31T00:00:00"/>
        <d v="2023-03-21T00:00:00"/>
        <d v="2024-08-01T00:00:00"/>
        <d v="2023-01-13T00:00:00"/>
        <d v="2024-04-18T00:00:00"/>
        <d v="2024-01-05T00:00:00"/>
        <d v="2023-09-12T00:00:00"/>
        <d v="2025-06-29T00:00:00"/>
        <d v="2025-04-01T00:00:00"/>
        <d v="2024-12-27T00:00:00"/>
        <d v="2025-12-23T00:00:00"/>
        <d v="2025-09-03T00:00:00"/>
        <d v="2023-03-04T00:00:00"/>
        <d v="2024-12-19T00:00:00"/>
        <d v="2025-05-04T00:00:00"/>
        <d v="2024-11-26T00:00:00"/>
        <d v="2024-07-09T00:00:00"/>
        <d v="2025-05-22T00:00:00"/>
        <d v="2025-05-07T00:00:00"/>
        <d v="2025-09-10T00:00:00"/>
        <d v="2023-09-26T00:00:00"/>
        <d v="2024-09-05T00:00:00"/>
        <d v="2024-12-13T00:00:00"/>
        <d v="2025-05-15T00:00:00"/>
        <d v="2024-08-27T00:00:00"/>
        <d v="2025-05-14T00:00:00"/>
        <d v="2023-03-09T00:00:00"/>
        <d v="2023-05-16T00:00:00"/>
        <d v="2024-12-21T00:00:00"/>
        <d v="2024-07-01T00:00:00"/>
        <d v="2025-01-20T00:00:00"/>
        <d v="2025-03-27T00:00:00"/>
        <d v="2025-04-18T00:00:00"/>
        <d v="2025-08-20T00:00:00"/>
        <d v="2025-08-11T00:00:00"/>
        <d v="2024-09-06T00:00:00"/>
        <d v="2023-05-31T00:00:00"/>
        <d v="2025-02-20T00:00:00"/>
        <d v="2024-02-06T00:00:00"/>
        <d v="2025-09-24T00:00:00"/>
        <d v="2023-07-07T00:00:00"/>
        <d v="2025-06-05T00:00:00"/>
        <d v="2025-08-16T00:00:00"/>
        <d v="2023-09-24T00:00:00"/>
        <d v="2025-03-29T00:00:00"/>
        <d v="2024-11-06T00:00:00"/>
        <d v="2024-01-22T00:00:00"/>
        <d v="2024-04-29T00:00:00"/>
        <d v="2025-03-30T00:00:00"/>
        <d v="2025-04-08T00:00:00"/>
        <d v="2024-06-20T00:00:00"/>
        <d v="2024-12-10T00:00:00"/>
        <d v="2025-10-09T00:00:00"/>
        <d v="2024-09-02T00:00:00"/>
        <d v="2023-10-04T00:00:00"/>
        <d v="2023-05-24T00:00:00"/>
        <d v="2024-08-14T00:00:00"/>
        <d v="2024-05-23T00:00:00"/>
        <d v="2023-08-28T00:00:00"/>
        <d v="2023-10-21T00:00:00"/>
        <d v="2024-06-23T00:00:00"/>
        <d v="2025-11-06T00:00:00"/>
        <d v="2024-02-02T00:00:00"/>
        <d v="2024-08-08T00:00:00"/>
        <d v="2024-03-30T00:00:00"/>
        <d v="2024-12-31T00:00:00"/>
        <d v="2023-06-10T00:00:00"/>
        <d v="2024-10-15T00:00:00"/>
        <d v="2023-09-06T00:00:00"/>
        <d v="2023-02-16T00:00:00"/>
        <d v="2024-04-02T00:00:00"/>
        <d v="2023-02-21T00:00:00"/>
        <d v="2025-04-04T00:00:00"/>
        <d v="2025-04-12T00:00:00"/>
        <d v="2025-12-14T00:00:00"/>
        <d v="2023-01-17T00:00:00"/>
        <d v="2023-08-21T00:00:00"/>
        <d v="2024-04-28T00:00:00"/>
        <d v="2024-11-27T00:00:00"/>
        <d v="2024-10-21T00:00:00"/>
        <d v="2023-04-15T00:00:00"/>
        <d v="2023-02-06T00:00:00"/>
        <d v="2023-01-21T00:00:00"/>
        <d v="2024-06-28T00:00:00"/>
        <d v="2024-07-12T00:00:00"/>
        <d v="2025-12-04T00:00:00"/>
        <d v="2025-12-16T00:00:00"/>
        <d v="2023-04-07T00:00:00"/>
        <d v="2025-03-23T00:00:00"/>
        <d v="2025-04-24T00:00:00"/>
        <d v="2025-05-02T00:00:00"/>
        <d v="2024-11-07T00:00:00"/>
        <d v="2024-07-21T00:00:00"/>
        <d v="2024-05-27T00:00:00"/>
        <d v="2024-11-28T00:00:00"/>
        <d v="2025-02-13T00:00:00"/>
        <d v="2025-06-04T00:00:00"/>
        <d v="2023-09-14T00:00:00"/>
        <d v="2024-03-04T00:00:00"/>
        <d v="2023-09-20T00:00:00"/>
        <d v="2023-04-05T00:00:00"/>
        <d v="2025-02-05T00:00:00"/>
        <d v="2024-09-21T00:00:00"/>
        <d v="2025-01-11T00:00:00"/>
        <d v="2025-05-25T00:00:00"/>
        <d v="2025-08-26T00:00:00"/>
        <d v="2024-12-30T00:00:00"/>
        <d v="2025-01-02T00:00:00"/>
        <d v="2023-02-20T00:00:00"/>
        <d v="2025-09-28T00:00:00"/>
        <d v="2023-01-03T00:00:00"/>
        <d v="2025-01-05T00:00:00"/>
        <d v="2023-06-03T00:00:00"/>
        <d v="2023-02-27T00:00:00"/>
        <d v="2024-09-08T00:00:00"/>
        <d v="2025-12-08T00:00:00"/>
        <d v="2024-06-27T00:00:00"/>
        <d v="2023-03-27T00:00:00"/>
        <d v="2025-07-27T00:00:00"/>
        <d v="2025-07-22T00:00:00"/>
        <d v="2023-05-06T00:00:00"/>
        <d v="2025-02-18T00:00:00"/>
        <d v="2023-02-09T00:00:00"/>
        <d v="2023-02-28T00:00:00"/>
        <d v="2023-04-29T00:00:00"/>
        <d v="2023-03-30T00:00:00"/>
        <d v="2025-08-06T00:00:00"/>
        <d v="2025-07-21T00:00:00"/>
        <d v="2023-01-30T00:00:00"/>
        <d v="2024-06-29T00:00:00"/>
        <d v="2025-12-10T00:00:00"/>
        <d v="2023-02-01T00:00:00"/>
        <d v="2024-06-04T00:00:00"/>
        <d v="2025-10-10T00:00:00"/>
        <d v="2025-10-04T00:00:00"/>
        <d v="2023-03-20T00:00:00"/>
        <d v="2023-12-05T00:00:00"/>
        <d v="2023-07-16T00:00:00"/>
        <d v="2025-07-14T00:00:00"/>
        <d v="2024-07-02T00:00:00"/>
        <d v="2025-10-28T00:00:00"/>
        <d v="2025-08-31T00:00:00"/>
        <d v="2023-12-06T00:00:00"/>
        <d v="2024-09-14T00:00:00"/>
        <d v="2024-04-14T00:00:00"/>
        <d v="2024-12-17T00:00:00"/>
        <d v="2025-05-10T00:00:00"/>
        <d v="2024-10-01T00:00:00"/>
        <d v="2023-10-08T00:00:00"/>
        <d v="2024-12-06T00:00:00"/>
        <d v="2024-07-17T00:00:00"/>
        <d v="2025-09-21T00:00:00"/>
        <d v="2023-11-16T00:00:00"/>
        <d v="2023-01-10T00:00:00"/>
        <d v="2023-04-22T00:00:00"/>
        <d v="2024-09-24T00:00:00"/>
        <d v="2025-07-28T00:00:00"/>
      </sharedItems>
      <fieldGroup par="20"/>
    </cacheField>
    <cacheField name="formato" numFmtId="0">
      <sharedItems count="3">
        <s v="Tapa dura"/>
        <s v="Bolsillo"/>
        <s v="Kindle"/>
      </sharedItems>
    </cacheField>
    <cacheField name="canal_venta" numFmtId="0">
      <sharedItems count="2">
        <s v="Física"/>
        <s v="Online"/>
      </sharedItems>
    </cacheField>
    <cacheField name="tienda" numFmtId="0">
      <sharedItems/>
    </cacheField>
    <cacheField name="metodo_pago" numFmtId="0">
      <sharedItems count="5">
        <s v="Tarjeta"/>
        <s v="PayPal"/>
        <s v="Bizum"/>
        <s v="Efectivo"/>
        <s v="Transferencia"/>
      </sharedItems>
    </cacheField>
    <cacheField name="valoracion_cliente" numFmtId="0">
      <sharedItems containsString="0" containsBlank="1" containsNumber="1" containsInteger="1" minValue="1" maxValue="5"/>
    </cacheField>
    <cacheField name="valoracion_cliente_desc" numFmtId="0">
      <sharedItems containsMixedTypes="1" containsNumber="1" containsInteger="1" minValue="1" maxValue="5"/>
    </cacheField>
    <cacheField name="Meses (fecha_venta)" numFmtId="0" databaseField="0">
      <fieldGroup base="11">
        <rangePr groupBy="months" startDate="2023-01-01T00:00:00" endDate="2026-01-01T00:00:00"/>
        <groupItems count="14">
          <s v="&lt;0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6"/>
        </groupItems>
      </fieldGroup>
    </cacheField>
    <cacheField name="Trimestres (fecha_venta)" numFmtId="0" databaseField="0">
      <fieldGroup base="11">
        <rangePr groupBy="quarters" startDate="2023-01-01T00:00:00" endDate="2026-01-01T00:00:00"/>
        <groupItems count="6">
          <s v="&lt;01/01/2023"/>
          <s v="Trim.1"/>
          <s v="Trim.2"/>
          <s v="Trim.3"/>
          <s v="Trim.4"/>
          <s v="&gt;01/01/2026"/>
        </groupItems>
      </fieldGroup>
    </cacheField>
    <cacheField name="Años (fecha_venta)" numFmtId="0" databaseField="0">
      <fieldGroup base="11">
        <rangePr groupBy="years" startDate="2023-01-01T00:00:00" endDate="2026-01-01T00:00:00"/>
        <groupItems count="6">
          <s v="&lt;01/01/2023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9856701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s v="V000001"/>
    <s v="978-7-19071-878-8"/>
    <s v="El poder del ahora"/>
    <s v="Eckhart Tolle"/>
    <x v="0"/>
    <n v="11.92"/>
    <n v="1192"/>
    <n v="1"/>
    <n v="11.92"/>
    <x v="0"/>
    <x v="0"/>
    <x v="0"/>
    <x v="0"/>
    <x v="0"/>
    <s v="Librería Central Madrid"/>
    <x v="0"/>
    <n v="4"/>
    <n v="4"/>
  </r>
  <r>
    <s v="V000002"/>
    <s v="978-2-63269-597-7"/>
    <s v="La chica de nieve"/>
    <s v="Javier Castillo"/>
    <x v="1"/>
    <n v="19.84"/>
    <n v="1984"/>
    <n v="1"/>
    <n v="19.84"/>
    <x v="1"/>
    <x v="1"/>
    <x v="1"/>
    <x v="1"/>
    <x v="1"/>
    <s v="Tienda Online"/>
    <x v="1"/>
    <n v="5"/>
    <n v="5"/>
  </r>
  <r>
    <s v="V000003"/>
    <s v="978-3-62565-160-2"/>
    <s v="El día que se perdió la cordura"/>
    <s v="Javier Castillo"/>
    <x v="1"/>
    <n v="1.89"/>
    <n v="189"/>
    <n v="1"/>
    <n v="1.89"/>
    <x v="2"/>
    <x v="2"/>
    <x v="2"/>
    <x v="1"/>
    <x v="1"/>
    <s v="Tienda Online"/>
    <x v="0"/>
    <n v="5"/>
    <n v="5"/>
  </r>
  <r>
    <s v="V000004"/>
    <s v="978-2-26828-775-7"/>
    <s v="Los cuatro acuerdos"/>
    <s v="Miguel Ruiz"/>
    <x v="0"/>
    <n v="1.29"/>
    <n v="129"/>
    <n v="3"/>
    <n v="3.87"/>
    <x v="3"/>
    <x v="0"/>
    <x v="3"/>
    <x v="2"/>
    <x v="1"/>
    <s v="Tienda Online"/>
    <x v="0"/>
    <m/>
    <s v="Sin valoración"/>
  </r>
  <r>
    <s v="V000005"/>
    <s v="978-4-97684-597-3"/>
    <s v="American Gods"/>
    <s v="Neil Gaiman"/>
    <x v="2"/>
    <n v="15.92"/>
    <n v="1592"/>
    <n v="1"/>
    <n v="15.92"/>
    <x v="4"/>
    <x v="1"/>
    <x v="4"/>
    <x v="1"/>
    <x v="0"/>
    <s v="Librería Gran Vía"/>
    <x v="2"/>
    <n v="5"/>
    <n v="5"/>
  </r>
  <r>
    <s v="V000006"/>
    <s v="978-0-13905-195-3"/>
    <s v="Rebelión en la granja"/>
    <s v="George Orwell"/>
    <x v="3"/>
    <n v="1.25"/>
    <n v="125"/>
    <n v="1"/>
    <n v="1.25"/>
    <x v="5"/>
    <x v="2"/>
    <x v="5"/>
    <x v="1"/>
    <x v="1"/>
    <s v="Tienda Online"/>
    <x v="3"/>
    <n v="5"/>
    <n v="5"/>
  </r>
  <r>
    <s v="V000007"/>
    <s v="978-0-62772-845-5"/>
    <s v="Drácula"/>
    <s v="Bram Stoker"/>
    <x v="4"/>
    <n v="11.61"/>
    <n v="1161"/>
    <n v="1"/>
    <n v="11.61"/>
    <x v="6"/>
    <x v="3"/>
    <x v="6"/>
    <x v="2"/>
    <x v="1"/>
    <s v="Tienda Online"/>
    <x v="0"/>
    <n v="5"/>
    <n v="5"/>
  </r>
  <r>
    <s v="V000008"/>
    <s v="978-4-93748-619-9"/>
    <s v="Perdida"/>
    <s v="Gillian Flynn"/>
    <x v="1"/>
    <n v="14.85"/>
    <n v="1485"/>
    <n v="1"/>
    <n v="14.85"/>
    <x v="7"/>
    <x v="2"/>
    <x v="7"/>
    <x v="1"/>
    <x v="0"/>
    <s v="Librería Barcelona Gòtic"/>
    <x v="0"/>
    <n v="5"/>
    <n v="5"/>
  </r>
  <r>
    <s v="V000009"/>
    <s v="978-9-65461-316-8"/>
    <s v="Padre rico, padre pobre"/>
    <s v="Robert Kiyosaki"/>
    <x v="5"/>
    <n v="18.59"/>
    <n v="1859"/>
    <n v="2"/>
    <n v="37.18"/>
    <x v="8"/>
    <x v="2"/>
    <x v="8"/>
    <x v="2"/>
    <x v="1"/>
    <s v="Tienda Online"/>
    <x v="3"/>
    <n v="5"/>
    <n v="5"/>
  </r>
  <r>
    <s v="V000010"/>
    <s v="978-0-40007-169-0"/>
    <s v="El Principito ilustrado"/>
    <s v="Antoine de Saint-Exupéry"/>
    <x v="6"/>
    <n v="17.489999999999998"/>
    <n v="1749"/>
    <n v="2"/>
    <n v="34.979999999999997"/>
    <x v="9"/>
    <x v="0"/>
    <x v="9"/>
    <x v="1"/>
    <x v="0"/>
    <s v="Librería Barcelona Gòtic"/>
    <x v="1"/>
    <n v="3"/>
    <n v="3"/>
  </r>
  <r>
    <s v="V000011"/>
    <s v="978-2-26828-775-7"/>
    <s v="Los cuatro acuerdos"/>
    <s v="Miguel Ruiz"/>
    <x v="0"/>
    <n v="11.61"/>
    <n v="1161"/>
    <n v="1"/>
    <n v="11.61"/>
    <x v="6"/>
    <x v="0"/>
    <x v="10"/>
    <x v="2"/>
    <x v="1"/>
    <s v="Tienda Online"/>
    <x v="0"/>
    <n v="4"/>
    <n v="4"/>
  </r>
  <r>
    <s v="V000012"/>
    <s v="978-9-71348-641-4"/>
    <s v="Veinte poemas de amor"/>
    <s v="Pablo Neruda"/>
    <x v="7"/>
    <n v="8.42"/>
    <n v="842"/>
    <n v="1"/>
    <n v="8.42"/>
    <x v="10"/>
    <x v="2"/>
    <x v="11"/>
    <x v="2"/>
    <x v="1"/>
    <s v="Tienda Online"/>
    <x v="4"/>
    <n v="5"/>
    <n v="5"/>
  </r>
  <r>
    <s v="V000013"/>
    <s v="978-0-87110-667-3"/>
    <s v="Charlie y la fábrica de chocolate"/>
    <s v="Roald Dahl"/>
    <x v="6"/>
    <n v="9.52"/>
    <n v="952"/>
    <n v="3"/>
    <n v="28.56"/>
    <x v="11"/>
    <x v="3"/>
    <x v="12"/>
    <x v="0"/>
    <x v="1"/>
    <s v="Tienda Online"/>
    <x v="1"/>
    <n v="1"/>
    <n v="1"/>
  </r>
  <r>
    <s v="V000014"/>
    <s v="978-2-26828-775-7"/>
    <s v="Los cuatro acuerdos"/>
    <s v="Miguel Ruiz"/>
    <x v="0"/>
    <n v="1.29"/>
    <n v="129"/>
    <n v="2"/>
    <n v="2.58"/>
    <x v="10"/>
    <x v="3"/>
    <x v="13"/>
    <x v="2"/>
    <x v="1"/>
    <s v="Tienda Online"/>
    <x v="1"/>
    <n v="5"/>
    <n v="5"/>
  </r>
  <r>
    <s v="V000015"/>
    <s v="978-3-50857-508-5"/>
    <s v="Piense y hágase rico"/>
    <s v="Napoleon Hill"/>
    <x v="5"/>
    <n v="1.39"/>
    <n v="139"/>
    <n v="4"/>
    <n v="5.56"/>
    <x v="12"/>
    <x v="2"/>
    <x v="14"/>
    <x v="2"/>
    <x v="1"/>
    <s v="Tienda Online"/>
    <x v="0"/>
    <n v="3"/>
    <n v="3"/>
  </r>
  <r>
    <s v="V000016"/>
    <s v="978-8-79514-100-9"/>
    <s v="La chica en la telaraña"/>
    <s v="David Lagercrantz"/>
    <x v="1"/>
    <n v="14.32"/>
    <n v="1432"/>
    <n v="1"/>
    <n v="14.32"/>
    <x v="13"/>
    <x v="1"/>
    <x v="15"/>
    <x v="1"/>
    <x v="0"/>
    <s v="Librería Sevilla Triana"/>
    <x v="2"/>
    <n v="4"/>
    <n v="4"/>
  </r>
  <r>
    <s v="V000017"/>
    <s v="978-1-42591-296-3"/>
    <s v="Frankenstein"/>
    <s v="Mary Shelley"/>
    <x v="4"/>
    <n v="10.119999999999999"/>
    <n v="1012"/>
    <n v="1"/>
    <n v="10.119999999999999"/>
    <x v="14"/>
    <x v="0"/>
    <x v="16"/>
    <x v="1"/>
    <x v="0"/>
    <s v="Librería Gran Vía"/>
    <x v="2"/>
    <n v="3"/>
    <n v="3"/>
  </r>
  <r>
    <s v="V000018"/>
    <s v="978-6-46434-564-5"/>
    <s v="En llamas"/>
    <s v="Suzanne Collins"/>
    <x v="8"/>
    <n v="11.92"/>
    <n v="1192"/>
    <n v="2"/>
    <n v="23.84"/>
    <x v="15"/>
    <x v="0"/>
    <x v="17"/>
    <x v="2"/>
    <x v="1"/>
    <s v="Tienda Online"/>
    <x v="3"/>
    <n v="4"/>
    <n v="4"/>
  </r>
  <r>
    <s v="V000019"/>
    <s v="978-6-10282-499-4"/>
    <s v="Patria"/>
    <s v="Fernando Aramburu"/>
    <x v="3"/>
    <n v="1.99"/>
    <n v="199"/>
    <n v="3"/>
    <n v="5.97"/>
    <x v="16"/>
    <x v="1"/>
    <x v="18"/>
    <x v="2"/>
    <x v="1"/>
    <s v="Tienda Online"/>
    <x v="0"/>
    <n v="2"/>
    <n v="2"/>
  </r>
  <r>
    <s v="V000020"/>
    <s v="978-1-68082-927-8"/>
    <s v="Náuseas"/>
    <s v="Jean-Paul Sartre"/>
    <x v="9"/>
    <n v="12.51"/>
    <n v="1251"/>
    <n v="2"/>
    <n v="25.02"/>
    <x v="17"/>
    <x v="2"/>
    <x v="19"/>
    <x v="2"/>
    <x v="1"/>
    <s v="Tienda Online"/>
    <x v="0"/>
    <n v="5"/>
    <n v="5"/>
  </r>
  <r>
    <s v="V000021"/>
    <s v="978-8-27342-840-9"/>
    <s v="Stardust"/>
    <s v="Neil Gaiman"/>
    <x v="2"/>
    <n v="1.59"/>
    <n v="159"/>
    <n v="1"/>
    <n v="1.59"/>
    <x v="18"/>
    <x v="0"/>
    <x v="20"/>
    <x v="0"/>
    <x v="0"/>
    <s v="Librería Central Madrid"/>
    <x v="3"/>
    <n v="4"/>
    <n v="4"/>
  </r>
  <r>
    <s v="V000022"/>
    <s v="978-9-44671-926-0"/>
    <s v="El Hobbit"/>
    <s v="J.R.R. Tolkien"/>
    <x v="2"/>
    <n v="14.36"/>
    <n v="1436"/>
    <n v="1"/>
    <n v="14.36"/>
    <x v="19"/>
    <x v="1"/>
    <x v="21"/>
    <x v="1"/>
    <x v="0"/>
    <s v="Librería Gran Vía"/>
    <x v="3"/>
    <n v="2"/>
    <n v="2"/>
  </r>
  <r>
    <s v="V000023"/>
    <s v="978-3-30032-482-2"/>
    <s v="Los hombres que no amaban a las mujeres"/>
    <s v="Stieg Larsson"/>
    <x v="1"/>
    <n v="19.690000000000001"/>
    <n v="1969"/>
    <n v="1"/>
    <n v="19.690000000000001"/>
    <x v="18"/>
    <x v="1"/>
    <x v="22"/>
    <x v="0"/>
    <x v="0"/>
    <s v="Librería Gran Vía"/>
    <x v="0"/>
    <n v="5"/>
    <n v="5"/>
  </r>
  <r>
    <s v="V000024"/>
    <s v="978-5-85674-296-1"/>
    <s v="Harry Potter y la cámara secreta"/>
    <s v="J.K. Rowling"/>
    <x v="8"/>
    <n v="1.59"/>
    <n v="159"/>
    <n v="2"/>
    <n v="3.18"/>
    <x v="20"/>
    <x v="0"/>
    <x v="23"/>
    <x v="0"/>
    <x v="0"/>
    <s v="Librería Valencia Centro"/>
    <x v="3"/>
    <n v="2"/>
    <n v="2"/>
  </r>
  <r>
    <s v="V000025"/>
    <s v="978-1-40512-987-1"/>
    <s v="Los juegos del hambre"/>
    <s v="Suzanne Collins"/>
    <x v="8"/>
    <n v="12.66"/>
    <n v="1266"/>
    <n v="1"/>
    <n v="12.66"/>
    <x v="21"/>
    <x v="2"/>
    <x v="24"/>
    <x v="1"/>
    <x v="1"/>
    <s v="Tienda Online"/>
    <x v="3"/>
    <n v="5"/>
    <n v="5"/>
  </r>
  <r>
    <s v="V000026"/>
    <s v="978-8-68800-243-6"/>
    <s v="El extranjero"/>
    <s v="Albert Camus"/>
    <x v="9"/>
    <n v="1.29"/>
    <n v="129"/>
    <n v="1"/>
    <n v="1.29"/>
    <x v="22"/>
    <x v="1"/>
    <x v="22"/>
    <x v="0"/>
    <x v="1"/>
    <s v="Tienda Online"/>
    <x v="2"/>
    <m/>
    <s v="Sin valoración"/>
  </r>
  <r>
    <s v="V000027"/>
    <s v="978-6-86484-508-5"/>
    <s v="Ficciones"/>
    <s v="Jorge Luis Borges"/>
    <x v="9"/>
    <n v="1.49"/>
    <n v="149"/>
    <n v="1"/>
    <n v="1.49"/>
    <x v="23"/>
    <x v="3"/>
    <x v="25"/>
    <x v="0"/>
    <x v="1"/>
    <s v="Tienda Online"/>
    <x v="1"/>
    <n v="4"/>
    <n v="4"/>
  </r>
  <r>
    <s v="V000028"/>
    <s v="978-0-87110-667-3"/>
    <s v="Charlie y la fábrica de chocolate"/>
    <s v="Roald Dahl"/>
    <x v="6"/>
    <n v="1.19"/>
    <n v="119"/>
    <n v="1"/>
    <n v="1.19"/>
    <x v="24"/>
    <x v="1"/>
    <x v="26"/>
    <x v="2"/>
    <x v="1"/>
    <s v="Tienda Online"/>
    <x v="3"/>
    <m/>
    <s v="Sin valoración"/>
  </r>
  <r>
    <s v="V000029"/>
    <s v="978-3-85880-708-0"/>
    <s v="Persépolis"/>
    <s v="Marjane Satrapi"/>
    <x v="10"/>
    <n v="17.489999999999998"/>
    <n v="1749"/>
    <n v="1"/>
    <n v="17.489999999999998"/>
    <x v="7"/>
    <x v="1"/>
    <x v="27"/>
    <x v="1"/>
    <x v="1"/>
    <s v="Tienda Online"/>
    <x v="0"/>
    <n v="5"/>
    <n v="5"/>
  </r>
  <r>
    <s v="V000030"/>
    <s v="978-2-18981-709-1"/>
    <s v="Una breve historia del tiempo"/>
    <s v="Stephen Hawking"/>
    <x v="11"/>
    <n v="1.69"/>
    <n v="169"/>
    <n v="3"/>
    <n v="5.07"/>
    <x v="25"/>
    <x v="2"/>
    <x v="28"/>
    <x v="1"/>
    <x v="1"/>
    <s v="Tienda Online"/>
    <x v="3"/>
    <n v="4"/>
    <n v="4"/>
  </r>
  <r>
    <s v="V000031"/>
    <s v="978-3-97782-833-5"/>
    <s v="V de Vendetta"/>
    <s v="Alan Moore"/>
    <x v="10"/>
    <n v="1.89"/>
    <n v="189"/>
    <n v="1"/>
    <n v="1.89"/>
    <x v="16"/>
    <x v="3"/>
    <x v="29"/>
    <x v="0"/>
    <x v="1"/>
    <s v="Tienda Online"/>
    <x v="2"/>
    <n v="3"/>
    <n v="3"/>
  </r>
  <r>
    <s v="V000032"/>
    <s v="978-8-44973-887-5"/>
    <s v="Ángeles y demonios"/>
    <s v="Dan Brown"/>
    <x v="1"/>
    <n v="17.75"/>
    <n v="1775"/>
    <n v="1"/>
    <n v="17.75"/>
    <x v="23"/>
    <x v="0"/>
    <x v="30"/>
    <x v="1"/>
    <x v="1"/>
    <s v="Tienda Online"/>
    <x v="4"/>
    <n v="5"/>
    <n v="5"/>
  </r>
  <r>
    <s v="V000033"/>
    <s v="978-3-50857-508-5"/>
    <s v="Piense y hágase rico"/>
    <s v="Napoleon Hill"/>
    <x v="5"/>
    <n v="1.39"/>
    <n v="139"/>
    <n v="1"/>
    <n v="1.39"/>
    <x v="26"/>
    <x v="1"/>
    <x v="31"/>
    <x v="1"/>
    <x v="1"/>
    <s v="Tienda Online"/>
    <x v="2"/>
    <n v="5"/>
    <n v="5"/>
  </r>
  <r>
    <s v="V000034"/>
    <s v="978-7-17100-789-1"/>
    <s v="Carrie"/>
    <s v="Stephen King"/>
    <x v="4"/>
    <n v="1.49"/>
    <n v="149"/>
    <n v="1"/>
    <n v="1.49"/>
    <x v="27"/>
    <x v="0"/>
    <x v="32"/>
    <x v="1"/>
    <x v="1"/>
    <s v="Tienda Online"/>
    <x v="1"/>
    <n v="4"/>
    <n v="4"/>
  </r>
  <r>
    <s v="V000035"/>
    <s v="978-6-38893-559-9"/>
    <s v="Dune"/>
    <s v="Frank Herbert"/>
    <x v="12"/>
    <n v="18.32"/>
    <n v="1832"/>
    <n v="2"/>
    <n v="36.64"/>
    <x v="18"/>
    <x v="0"/>
    <x v="33"/>
    <x v="2"/>
    <x v="1"/>
    <s v="Tienda Online"/>
    <x v="1"/>
    <n v="5"/>
    <n v="5"/>
  </r>
  <r>
    <s v="V000036"/>
    <s v="978-2-26828-775-7"/>
    <s v="Los cuatro acuerdos"/>
    <s v="Miguel Ruiz"/>
    <x v="0"/>
    <n v="1.29"/>
    <n v="129"/>
    <n v="1"/>
    <n v="1.29"/>
    <x v="12"/>
    <x v="2"/>
    <x v="34"/>
    <x v="1"/>
    <x v="0"/>
    <s v="Librería Valencia Centro"/>
    <x v="0"/>
    <n v="5"/>
    <n v="5"/>
  </r>
  <r>
    <s v="V000037"/>
    <s v="978-4-93748-619-9"/>
    <s v="Perdida"/>
    <s v="Gillian Flynn"/>
    <x v="1"/>
    <n v="18.149999999999999"/>
    <n v="1815"/>
    <n v="1"/>
    <n v="18.149999999999999"/>
    <x v="28"/>
    <x v="0"/>
    <x v="35"/>
    <x v="1"/>
    <x v="0"/>
    <s v="Librería Gran Vía"/>
    <x v="0"/>
    <n v="5"/>
    <n v="5"/>
  </r>
  <r>
    <s v="V000038"/>
    <s v="978-6-45093-167-3"/>
    <s v="Paula"/>
    <s v="Isabel Allende"/>
    <x v="13"/>
    <n v="1.59"/>
    <n v="159"/>
    <n v="1"/>
    <n v="1.59"/>
    <x v="29"/>
    <x v="0"/>
    <x v="36"/>
    <x v="1"/>
    <x v="0"/>
    <s v="Librería Sevilla Triana"/>
    <x v="4"/>
    <m/>
    <s v="Sin valoración"/>
  </r>
  <r>
    <s v="V000039"/>
    <s v="978-7-30289-294-4"/>
    <s v="Nada"/>
    <s v="Carmen Laforet"/>
    <x v="9"/>
    <n v="1.39"/>
    <n v="139"/>
    <n v="3"/>
    <n v="4.17"/>
    <x v="10"/>
    <x v="3"/>
    <x v="37"/>
    <x v="1"/>
    <x v="1"/>
    <s v="Tienda Online"/>
    <x v="1"/>
    <n v="4"/>
    <n v="4"/>
  </r>
  <r>
    <s v="V000040"/>
    <s v="978-8-79514-100-9"/>
    <s v="La chica en la telaraña"/>
    <s v="David Lagercrantz"/>
    <x v="1"/>
    <n v="15.21"/>
    <n v="1521"/>
    <n v="1"/>
    <n v="15.21"/>
    <x v="8"/>
    <x v="1"/>
    <x v="38"/>
    <x v="1"/>
    <x v="0"/>
    <s v="Librería Gran Vía"/>
    <x v="0"/>
    <n v="4"/>
    <n v="4"/>
  </r>
  <r>
    <s v="V000041"/>
    <s v="978-9-72493-614-8"/>
    <s v="El chef en casa"/>
    <s v="Jamie Oliver"/>
    <x v="14"/>
    <n v="1.99"/>
    <n v="199"/>
    <n v="3"/>
    <n v="5.97"/>
    <x v="30"/>
    <x v="2"/>
    <x v="39"/>
    <x v="1"/>
    <x v="0"/>
    <s v="Librería Sevilla Triana"/>
    <x v="2"/>
    <n v="5"/>
    <n v="5"/>
  </r>
  <r>
    <s v="V000042"/>
    <s v="978-8-68800-243-6"/>
    <s v="El extranjero"/>
    <s v="Albert Camus"/>
    <x v="9"/>
    <n v="10.96"/>
    <n v="1096"/>
    <n v="2"/>
    <n v="21.92"/>
    <x v="31"/>
    <x v="0"/>
    <x v="40"/>
    <x v="0"/>
    <x v="0"/>
    <s v="Librería Central Madrid"/>
    <x v="4"/>
    <n v="5"/>
    <n v="5"/>
  </r>
  <r>
    <s v="V000043"/>
    <s v="978-8-68800-243-6"/>
    <s v="El extranjero"/>
    <s v="Albert Camus"/>
    <x v="9"/>
    <n v="10.32"/>
    <n v="1032"/>
    <n v="2"/>
    <n v="20.64"/>
    <x v="32"/>
    <x v="2"/>
    <x v="29"/>
    <x v="2"/>
    <x v="1"/>
    <s v="Tienda Online"/>
    <x v="1"/>
    <n v="5"/>
    <n v="5"/>
  </r>
  <r>
    <s v="V000044"/>
    <s v="978-3-54118-204-1"/>
    <s v="Juego de Tronos"/>
    <s v="George R.R. Martin"/>
    <x v="2"/>
    <n v="1.99"/>
    <n v="199"/>
    <n v="1"/>
    <n v="1.99"/>
    <x v="17"/>
    <x v="3"/>
    <x v="41"/>
    <x v="1"/>
    <x v="1"/>
    <s v="Tienda Online"/>
    <x v="2"/>
    <n v="5"/>
    <n v="5"/>
  </r>
  <r>
    <s v="V000045"/>
    <s v="978-3-39256-242-1"/>
    <s v="El amor en los tiempos del cólera"/>
    <s v="Gabriel García Márquez"/>
    <x v="3"/>
    <n v="19.25"/>
    <n v="1925"/>
    <n v="2"/>
    <n v="38.5"/>
    <x v="33"/>
    <x v="3"/>
    <x v="42"/>
    <x v="2"/>
    <x v="1"/>
    <s v="Tienda Online"/>
    <x v="1"/>
    <n v="4"/>
    <n v="4"/>
  </r>
  <r>
    <s v="V000046"/>
    <s v="978-5-19287-626-3"/>
    <s v="Coraline"/>
    <s v="Neil Gaiman"/>
    <x v="8"/>
    <n v="15.29"/>
    <n v="1529"/>
    <n v="1"/>
    <n v="15.29"/>
    <x v="34"/>
    <x v="0"/>
    <x v="43"/>
    <x v="0"/>
    <x v="1"/>
    <s v="Tienda Online"/>
    <x v="1"/>
    <n v="4"/>
    <n v="4"/>
  </r>
  <r>
    <s v="V000047"/>
    <s v="978-4-99593-763-1"/>
    <s v="Crimen y castigo"/>
    <s v="Fiódor Dostoyevski"/>
    <x v="9"/>
    <n v="1.29"/>
    <n v="129"/>
    <n v="1"/>
    <n v="1.29"/>
    <x v="14"/>
    <x v="3"/>
    <x v="44"/>
    <x v="2"/>
    <x v="1"/>
    <s v="Tienda Online"/>
    <x v="0"/>
    <n v="4"/>
    <n v="4"/>
  </r>
  <r>
    <s v="V000048"/>
    <s v="978-2-58520-463-3"/>
    <s v="Sinsajo"/>
    <s v="Suzanne Collins"/>
    <x v="8"/>
    <n v="1.49"/>
    <n v="149"/>
    <n v="1"/>
    <n v="1.49"/>
    <x v="15"/>
    <x v="1"/>
    <x v="45"/>
    <x v="1"/>
    <x v="0"/>
    <s v="Librería Valencia Centro"/>
    <x v="0"/>
    <n v="4"/>
    <n v="4"/>
  </r>
  <r>
    <s v="V000049"/>
    <s v="978-0-96673-333-4"/>
    <s v="Harry Potter y el prisionero de Azkaban"/>
    <s v="J.K. Rowling"/>
    <x v="8"/>
    <n v="18.59"/>
    <n v="1859"/>
    <n v="2"/>
    <n v="37.18"/>
    <x v="35"/>
    <x v="3"/>
    <x v="46"/>
    <x v="0"/>
    <x v="1"/>
    <s v="Tienda Online"/>
    <x v="1"/>
    <n v="3"/>
    <n v="3"/>
  </r>
  <r>
    <s v="V000050"/>
    <s v="978-8-79514-100-9"/>
    <s v="La chica en la telaraña"/>
    <s v="David Lagercrantz"/>
    <x v="1"/>
    <n v="1.79"/>
    <n v="179"/>
    <n v="1"/>
    <n v="1.79"/>
    <x v="36"/>
    <x v="1"/>
    <x v="47"/>
    <x v="0"/>
    <x v="1"/>
    <s v="Tienda Online"/>
    <x v="1"/>
    <n v="1"/>
    <n v="1"/>
  </r>
  <r>
    <s v="V000051"/>
    <s v="978-9-51245-317-7"/>
    <s v="La sombra del viento"/>
    <s v="Carlos Ruiz Zafón"/>
    <x v="3"/>
    <n v="15.72"/>
    <n v="1572"/>
    <n v="4"/>
    <n v="62.88"/>
    <x v="37"/>
    <x v="2"/>
    <x v="48"/>
    <x v="0"/>
    <x v="0"/>
    <s v="Librería Central Madrid"/>
    <x v="4"/>
    <n v="5"/>
    <n v="5"/>
  </r>
  <r>
    <s v="V000052"/>
    <s v="978-0-62772-845-5"/>
    <s v="Drácula"/>
    <s v="Bram Stoker"/>
    <x v="4"/>
    <n v="1.29"/>
    <n v="129"/>
    <n v="2"/>
    <n v="2.58"/>
    <x v="10"/>
    <x v="0"/>
    <x v="49"/>
    <x v="1"/>
    <x v="1"/>
    <s v="Tienda Online"/>
    <x v="4"/>
    <n v="2"/>
    <n v="2"/>
  </r>
  <r>
    <s v="V000053"/>
    <s v="978-1-16175-981-1"/>
    <s v="Pedro Páramo"/>
    <s v="Juan Rulfo"/>
    <x v="9"/>
    <n v="10.32"/>
    <n v="1032"/>
    <n v="1"/>
    <n v="10.32"/>
    <x v="38"/>
    <x v="1"/>
    <x v="50"/>
    <x v="1"/>
    <x v="1"/>
    <s v="Tienda Online"/>
    <x v="2"/>
    <n v="4"/>
    <n v="4"/>
  </r>
  <r>
    <s v="V000054"/>
    <s v="978-4-93886-804-8"/>
    <s v="Guerra y paz"/>
    <s v="León Tolstói"/>
    <x v="9"/>
    <n v="26.14"/>
    <n v="2614"/>
    <n v="1"/>
    <n v="26.14"/>
    <x v="39"/>
    <x v="2"/>
    <x v="51"/>
    <x v="0"/>
    <x v="0"/>
    <s v="Librería Valencia Centro"/>
    <x v="1"/>
    <n v="4"/>
    <n v="4"/>
  </r>
  <r>
    <s v="V000055"/>
    <s v="978-9-93227-275-8"/>
    <s v="Los hermanos Karamázov"/>
    <s v="Fiódor Dostoyevski"/>
    <x v="9"/>
    <n v="17.010000000000002"/>
    <n v="1701"/>
    <n v="1"/>
    <n v="17.010000000000002"/>
    <x v="1"/>
    <x v="2"/>
    <x v="52"/>
    <x v="0"/>
    <x v="1"/>
    <s v="Tienda Online"/>
    <x v="0"/>
    <n v="4"/>
    <n v="4"/>
  </r>
  <r>
    <s v="V000056"/>
    <s v="978-3-97782-833-5"/>
    <s v="V de Vendetta"/>
    <s v="Alan Moore"/>
    <x v="10"/>
    <n v="16.059999999999999"/>
    <n v="1606"/>
    <n v="1"/>
    <n v="16.059999999999999"/>
    <x v="40"/>
    <x v="0"/>
    <x v="53"/>
    <x v="2"/>
    <x v="1"/>
    <s v="Tienda Online"/>
    <x v="2"/>
    <n v="2"/>
    <n v="2"/>
  </r>
  <r>
    <s v="V000057"/>
    <s v="978-3-50857-508-5"/>
    <s v="Piense y hágase rico"/>
    <s v="Napoleon Hill"/>
    <x v="5"/>
    <n v="15.29"/>
    <n v="1529"/>
    <n v="2"/>
    <n v="30.58"/>
    <x v="32"/>
    <x v="0"/>
    <x v="54"/>
    <x v="2"/>
    <x v="1"/>
    <s v="Tienda Online"/>
    <x v="1"/>
    <n v="5"/>
    <n v="5"/>
  </r>
  <r>
    <s v="V000058"/>
    <s v="978-8-79514-100-9"/>
    <s v="La chica en la telaraña"/>
    <s v="David Lagercrantz"/>
    <x v="1"/>
    <n v="16.11"/>
    <n v="1611"/>
    <n v="1"/>
    <n v="16.11"/>
    <x v="41"/>
    <x v="0"/>
    <x v="55"/>
    <x v="1"/>
    <x v="1"/>
    <s v="Tienda Online"/>
    <x v="4"/>
    <n v="5"/>
    <n v="5"/>
  </r>
  <r>
    <s v="V000059"/>
    <s v="978-7-19071-878-8"/>
    <s v="El poder del ahora"/>
    <s v="Eckhart Tolle"/>
    <x v="0"/>
    <n v="1.49"/>
    <n v="149"/>
    <n v="1"/>
    <n v="1.49"/>
    <x v="22"/>
    <x v="2"/>
    <x v="56"/>
    <x v="0"/>
    <x v="1"/>
    <s v="Tienda Online"/>
    <x v="1"/>
    <m/>
    <s v="Sin valoración"/>
  </r>
  <r>
    <s v="V000060"/>
    <s v="978-0-13905-195-3"/>
    <s v="Rebelión en la granja"/>
    <s v="George Orwell"/>
    <x v="3"/>
    <n v="13.75"/>
    <n v="1375"/>
    <n v="1"/>
    <n v="13.75"/>
    <x v="42"/>
    <x v="2"/>
    <x v="57"/>
    <x v="2"/>
    <x v="1"/>
    <s v="Tienda Online"/>
    <x v="0"/>
    <n v="5"/>
    <n v="5"/>
  </r>
  <r>
    <s v="V000061"/>
    <s v="978-7-10425-839-4"/>
    <s v="El paciente silencioso"/>
    <s v="Alex Michaelides"/>
    <x v="1"/>
    <n v="1.79"/>
    <n v="179"/>
    <n v="1"/>
    <n v="1.79"/>
    <x v="28"/>
    <x v="1"/>
    <x v="58"/>
    <x v="2"/>
    <x v="1"/>
    <s v="Tienda Online"/>
    <x v="0"/>
    <n v="5"/>
    <n v="5"/>
  </r>
  <r>
    <s v="V000062"/>
    <s v="978-8-21395-704-6"/>
    <s v="1984"/>
    <s v="George Orwell"/>
    <x v="12"/>
    <n v="15.65"/>
    <n v="1565"/>
    <n v="1"/>
    <n v="15.65"/>
    <x v="27"/>
    <x v="1"/>
    <x v="59"/>
    <x v="0"/>
    <x v="0"/>
    <s v="Librería Valencia Centro"/>
    <x v="0"/>
    <m/>
    <s v="Sin valoración"/>
  </r>
  <r>
    <s v="V000063"/>
    <s v="978-4-10851-877-2"/>
    <s v="El nombre del viento"/>
    <s v="Patrick Rothfuss"/>
    <x v="2"/>
    <n v="18.61"/>
    <n v="1861"/>
    <n v="3"/>
    <n v="55.83"/>
    <x v="27"/>
    <x v="1"/>
    <x v="60"/>
    <x v="0"/>
    <x v="0"/>
    <s v="Librería Barcelona Gòtic"/>
    <x v="0"/>
    <n v="4"/>
    <n v="4"/>
  </r>
  <r>
    <s v="V000064"/>
    <s v="978-3-76237-716-0"/>
    <s v="Fahrenheit 451"/>
    <s v="Ray Bradbury"/>
    <x v="12"/>
    <n v="12.51"/>
    <n v="1251"/>
    <n v="1"/>
    <n v="12.51"/>
    <x v="8"/>
    <x v="2"/>
    <x v="61"/>
    <x v="2"/>
    <x v="1"/>
    <s v="Tienda Online"/>
    <x v="2"/>
    <m/>
    <s v="Sin valoración"/>
  </r>
  <r>
    <s v="V000065"/>
    <s v="978-2-63269-597-7"/>
    <s v="La chica de nieve"/>
    <s v="Javier Castillo"/>
    <x v="1"/>
    <n v="19.84"/>
    <n v="1984"/>
    <n v="2"/>
    <n v="39.68"/>
    <x v="43"/>
    <x v="2"/>
    <x v="62"/>
    <x v="2"/>
    <x v="1"/>
    <s v="Tienda Online"/>
    <x v="2"/>
    <n v="3"/>
    <n v="3"/>
  </r>
  <r>
    <s v="V000066"/>
    <s v="978-7-19071-878-8"/>
    <s v="El poder del ahora"/>
    <s v="Eckhart Tolle"/>
    <x v="0"/>
    <n v="12.66"/>
    <n v="1266"/>
    <n v="1"/>
    <n v="12.66"/>
    <x v="12"/>
    <x v="1"/>
    <x v="63"/>
    <x v="2"/>
    <x v="1"/>
    <s v="Tienda Online"/>
    <x v="4"/>
    <n v="3"/>
    <n v="3"/>
  </r>
  <r>
    <s v="V000067"/>
    <s v="978-3-76237-716-0"/>
    <s v="Fahrenheit 451"/>
    <s v="Ray Bradbury"/>
    <x v="12"/>
    <n v="11.81"/>
    <n v="1181"/>
    <n v="1"/>
    <n v="11.81"/>
    <x v="44"/>
    <x v="0"/>
    <x v="64"/>
    <x v="1"/>
    <x v="0"/>
    <s v="Librería Barcelona Gòtic"/>
    <x v="2"/>
    <n v="4"/>
    <n v="4"/>
  </r>
  <r>
    <s v="V000068"/>
    <s v="978-2-46509-573-3"/>
    <s v="La peste"/>
    <s v="Albert Camus"/>
    <x v="9"/>
    <n v="13.41"/>
    <n v="1341"/>
    <n v="1"/>
    <n v="13.41"/>
    <x v="45"/>
    <x v="0"/>
    <x v="65"/>
    <x v="0"/>
    <x v="1"/>
    <s v="Tienda Online"/>
    <x v="2"/>
    <n v="5"/>
    <n v="5"/>
  </r>
  <r>
    <s v="V000069"/>
    <s v="978-1-42591-296-3"/>
    <s v="Frankenstein"/>
    <s v="Mary Shelley"/>
    <x v="4"/>
    <n v="1.19"/>
    <n v="119"/>
    <n v="3"/>
    <n v="3.57"/>
    <x v="46"/>
    <x v="0"/>
    <x v="66"/>
    <x v="2"/>
    <x v="1"/>
    <s v="Tienda Online"/>
    <x v="0"/>
    <n v="4"/>
    <n v="4"/>
  </r>
  <r>
    <s v="V000070"/>
    <s v="978-3-97782-833-5"/>
    <s v="V de Vendetta"/>
    <s v="Alan Moore"/>
    <x v="10"/>
    <n v="20.79"/>
    <n v="2079"/>
    <n v="1"/>
    <n v="20.79"/>
    <x v="39"/>
    <x v="1"/>
    <x v="67"/>
    <x v="2"/>
    <x v="1"/>
    <s v="Tienda Online"/>
    <x v="3"/>
    <n v="2"/>
    <n v="2"/>
  </r>
  <r>
    <s v="V000071"/>
    <s v="978-6-10282-499-4"/>
    <s v="Patria"/>
    <s v="Fernando Aramburu"/>
    <x v="3"/>
    <n v="16.91"/>
    <n v="1691"/>
    <n v="1"/>
    <n v="16.91"/>
    <x v="4"/>
    <x v="3"/>
    <x v="68"/>
    <x v="1"/>
    <x v="0"/>
    <s v="Librería Barcelona Gòtic"/>
    <x v="2"/>
    <n v="5"/>
    <n v="5"/>
  </r>
  <r>
    <s v="V000072"/>
    <s v="978-5-74042-119-1"/>
    <s v="Sapiens"/>
    <s v="Yuval Noah Harari"/>
    <x v="15"/>
    <n v="18.61"/>
    <n v="1861"/>
    <n v="1"/>
    <n v="18.61"/>
    <x v="47"/>
    <x v="1"/>
    <x v="69"/>
    <x v="2"/>
    <x v="1"/>
    <s v="Tienda Online"/>
    <x v="4"/>
    <n v="5"/>
    <n v="5"/>
  </r>
  <r>
    <s v="V000073"/>
    <s v="978-8-11504-796-1"/>
    <s v="El código Da Vinci"/>
    <s v="Dan Brown"/>
    <x v="1"/>
    <n v="17.75"/>
    <n v="1775"/>
    <n v="1"/>
    <n v="17.75"/>
    <x v="7"/>
    <x v="0"/>
    <x v="70"/>
    <x v="1"/>
    <x v="1"/>
    <s v="Tienda Online"/>
    <x v="2"/>
    <n v="5"/>
    <n v="5"/>
  </r>
  <r>
    <s v="V000074"/>
    <s v="978-9-18326-494-6"/>
    <s v="Romancero gitano"/>
    <s v="Federico García Lorca"/>
    <x v="7"/>
    <n v="11.99"/>
    <n v="1199"/>
    <n v="1"/>
    <n v="11.99"/>
    <x v="48"/>
    <x v="3"/>
    <x v="71"/>
    <x v="1"/>
    <x v="0"/>
    <s v="Librería Central Madrid"/>
    <x v="2"/>
    <n v="4"/>
    <n v="4"/>
  </r>
  <r>
    <s v="V000075"/>
    <s v="978-7-17100-789-1"/>
    <s v="Carrie"/>
    <s v="Stephen King"/>
    <x v="4"/>
    <n v="15.65"/>
    <n v="1565"/>
    <n v="1"/>
    <n v="15.65"/>
    <x v="49"/>
    <x v="3"/>
    <x v="72"/>
    <x v="1"/>
    <x v="0"/>
    <s v="Librería Barcelona Gòtic"/>
    <x v="1"/>
    <n v="4"/>
    <n v="4"/>
  </r>
  <r>
    <s v="V000076"/>
    <s v="978-5-50306-345-0"/>
    <s v="Homo Deus"/>
    <s v="Yuval Noah Harari"/>
    <x v="15"/>
    <n v="2.2999999999999998"/>
    <n v="230"/>
    <n v="3"/>
    <n v="6.8999999999999995"/>
    <x v="47"/>
    <x v="1"/>
    <x v="73"/>
    <x v="1"/>
    <x v="0"/>
    <s v="Librería Central Madrid"/>
    <x v="4"/>
    <m/>
    <s v="Sin valoración"/>
  </r>
  <r>
    <s v="V000077"/>
    <s v="978-0-51104-158-0"/>
    <s v="Manual de cocina fácil"/>
    <s v="Karlos Arguiñano"/>
    <x v="14"/>
    <n v="14.32"/>
    <n v="1432"/>
    <n v="1"/>
    <n v="14.32"/>
    <x v="6"/>
    <x v="2"/>
    <x v="74"/>
    <x v="2"/>
    <x v="1"/>
    <s v="Tienda Online"/>
    <x v="4"/>
    <m/>
    <s v="Sin valoración"/>
  </r>
  <r>
    <s v="V000078"/>
    <s v="978-9-93227-275-8"/>
    <s v="Los hermanos Karamázov"/>
    <s v="Fiódor Dostoyevski"/>
    <x v="9"/>
    <n v="1.89"/>
    <n v="189"/>
    <n v="1"/>
    <n v="1.89"/>
    <x v="27"/>
    <x v="1"/>
    <x v="75"/>
    <x v="0"/>
    <x v="1"/>
    <s v="Tienda Online"/>
    <x v="2"/>
    <n v="4"/>
    <n v="4"/>
  </r>
  <r>
    <s v="V000079"/>
    <s v="978-3-30032-482-2"/>
    <s v="Los hombres que no amaban a las mujeres"/>
    <s v="Stieg Larsson"/>
    <x v="1"/>
    <n v="15.21"/>
    <n v="1521"/>
    <n v="3"/>
    <n v="45.63"/>
    <x v="34"/>
    <x v="0"/>
    <x v="76"/>
    <x v="1"/>
    <x v="0"/>
    <s v="Librería Central Madrid"/>
    <x v="1"/>
    <n v="2"/>
    <n v="2"/>
  </r>
  <r>
    <s v="V000080"/>
    <s v="978-7-19071-878-8"/>
    <s v="El poder del ahora"/>
    <s v="Eckhart Tolle"/>
    <x v="0"/>
    <n v="1.49"/>
    <n v="149"/>
    <n v="1"/>
    <n v="1.49"/>
    <x v="6"/>
    <x v="0"/>
    <x v="77"/>
    <x v="0"/>
    <x v="1"/>
    <s v="Tienda Online"/>
    <x v="3"/>
    <n v="4"/>
    <n v="4"/>
  </r>
  <r>
    <s v="V000081"/>
    <s v="978-7-17100-789-1"/>
    <s v="Carrie"/>
    <s v="Stephen King"/>
    <x v="4"/>
    <n v="12.66"/>
    <n v="1266"/>
    <n v="2"/>
    <n v="25.32"/>
    <x v="50"/>
    <x v="0"/>
    <x v="78"/>
    <x v="1"/>
    <x v="1"/>
    <s v="Tienda Online"/>
    <x v="2"/>
    <n v="4"/>
    <n v="4"/>
  </r>
  <r>
    <s v="V000082"/>
    <s v="978-7-30289-294-4"/>
    <s v="Nada"/>
    <s v="Carmen Laforet"/>
    <x v="9"/>
    <n v="1.46"/>
    <n v="146"/>
    <n v="1"/>
    <n v="1.46"/>
    <x v="5"/>
    <x v="1"/>
    <x v="79"/>
    <x v="2"/>
    <x v="1"/>
    <s v="Tienda Online"/>
    <x v="3"/>
    <n v="3"/>
    <n v="3"/>
  </r>
  <r>
    <s v="V000083"/>
    <s v="978-5-85674-296-1"/>
    <s v="Harry Potter y la cámara secreta"/>
    <s v="J.K. Rowling"/>
    <x v="8"/>
    <n v="1.59"/>
    <n v="159"/>
    <n v="3"/>
    <n v="4.7700000000000005"/>
    <x v="15"/>
    <x v="1"/>
    <x v="80"/>
    <x v="2"/>
    <x v="1"/>
    <s v="Tienda Online"/>
    <x v="2"/>
    <n v="4"/>
    <n v="4"/>
  </r>
  <r>
    <s v="V000084"/>
    <s v="978-1-16630-767-8"/>
    <s v="Los pilares de la Tierra"/>
    <s v="Ken Follett"/>
    <x v="16"/>
    <n v="2.2999999999999998"/>
    <n v="230"/>
    <n v="1"/>
    <n v="2.2999999999999998"/>
    <x v="36"/>
    <x v="0"/>
    <x v="81"/>
    <x v="2"/>
    <x v="1"/>
    <s v="Tienda Online"/>
    <x v="4"/>
    <m/>
    <s v="Sin valoración"/>
  </r>
  <r>
    <s v="V000085"/>
    <s v="978-7-77839-562-1"/>
    <s v="El principito"/>
    <s v="Antoine de Saint-Exupéry"/>
    <x v="6"/>
    <n v="10.89"/>
    <n v="1089"/>
    <n v="2"/>
    <n v="21.78"/>
    <x v="11"/>
    <x v="0"/>
    <x v="82"/>
    <x v="2"/>
    <x v="1"/>
    <s v="Tienda Online"/>
    <x v="1"/>
    <n v="4"/>
    <n v="4"/>
  </r>
  <r>
    <s v="V000086"/>
    <s v="978-8-11504-796-1"/>
    <s v="El código Da Vinci"/>
    <s v="Dan Brown"/>
    <x v="1"/>
    <n v="1.69"/>
    <n v="169"/>
    <n v="1"/>
    <n v="1.69"/>
    <x v="10"/>
    <x v="3"/>
    <x v="83"/>
    <x v="0"/>
    <x v="1"/>
    <s v="Tienda Online"/>
    <x v="3"/>
    <n v="5"/>
    <n v="5"/>
  </r>
  <r>
    <s v="V000087"/>
    <s v="978-4-10851-877-2"/>
    <s v="El nombre del viento"/>
    <s v="Patrick Rothfuss"/>
    <x v="2"/>
    <n v="17.52"/>
    <n v="1752"/>
    <n v="3"/>
    <n v="52.56"/>
    <x v="28"/>
    <x v="1"/>
    <x v="84"/>
    <x v="2"/>
    <x v="1"/>
    <s v="Tienda Online"/>
    <x v="2"/>
    <n v="5"/>
    <n v="5"/>
  </r>
  <r>
    <s v="V000088"/>
    <s v="978-3-62923-222-9"/>
    <s v="El gen egoísta"/>
    <s v="Richard Dawkins"/>
    <x v="11"/>
    <n v="1.79"/>
    <n v="179"/>
    <n v="2"/>
    <n v="3.58"/>
    <x v="50"/>
    <x v="1"/>
    <x v="85"/>
    <x v="0"/>
    <x v="0"/>
    <s v="Librería Gran Vía"/>
    <x v="3"/>
    <n v="1"/>
    <n v="1"/>
  </r>
  <r>
    <s v="V000089"/>
    <s v="978-3-62565-160-2"/>
    <s v="El día que se perdió la cordura"/>
    <s v="Javier Castillo"/>
    <x v="1"/>
    <n v="20.79"/>
    <n v="2079"/>
    <n v="2"/>
    <n v="41.58"/>
    <x v="10"/>
    <x v="2"/>
    <x v="67"/>
    <x v="1"/>
    <x v="1"/>
    <s v="Tienda Online"/>
    <x v="0"/>
    <n v="5"/>
    <n v="5"/>
  </r>
  <r>
    <s v="V000090"/>
    <s v="978-6-54597-384-2"/>
    <s v="El temor de un hombre sabio"/>
    <s v="Patrick Rothfuss"/>
    <x v="2"/>
    <n v="2.4900000000000002"/>
    <n v="249"/>
    <n v="1"/>
    <n v="2.4900000000000002"/>
    <x v="36"/>
    <x v="2"/>
    <x v="86"/>
    <x v="2"/>
    <x v="1"/>
    <s v="Tienda Online"/>
    <x v="1"/>
    <n v="3"/>
    <n v="3"/>
  </r>
  <r>
    <s v="V000091"/>
    <s v="978-3-30032-482-2"/>
    <s v="Los hombres que no amaban a las mujeres"/>
    <s v="Stieg Larsson"/>
    <x v="1"/>
    <n v="19.690000000000001"/>
    <n v="1969"/>
    <n v="1"/>
    <n v="19.690000000000001"/>
    <x v="41"/>
    <x v="3"/>
    <x v="87"/>
    <x v="2"/>
    <x v="1"/>
    <s v="Tienda Online"/>
    <x v="0"/>
    <n v="5"/>
    <n v="5"/>
  </r>
  <r>
    <s v="V000092"/>
    <s v="978-4-93748-619-9"/>
    <s v="Perdida"/>
    <s v="Gillian Flynn"/>
    <x v="1"/>
    <n v="1.32"/>
    <n v="132"/>
    <n v="1"/>
    <n v="1.32"/>
    <x v="51"/>
    <x v="0"/>
    <x v="88"/>
    <x v="1"/>
    <x v="1"/>
    <s v="Tienda Online"/>
    <x v="3"/>
    <n v="4"/>
    <n v="4"/>
  </r>
  <r>
    <s v="V000093"/>
    <s v="978-2-18981-709-1"/>
    <s v="Una breve historia del tiempo"/>
    <s v="Stephen Hawking"/>
    <x v="11"/>
    <n v="18.59"/>
    <n v="1859"/>
    <n v="2"/>
    <n v="37.18"/>
    <x v="16"/>
    <x v="3"/>
    <x v="89"/>
    <x v="0"/>
    <x v="1"/>
    <s v="Tienda Online"/>
    <x v="1"/>
    <n v="5"/>
    <n v="5"/>
  </r>
  <r>
    <s v="V000094"/>
    <s v="978-9-38864-107-1"/>
    <s v="James y el melocotón gigante"/>
    <s v="Roald Dahl"/>
    <x v="6"/>
    <n v="1.0900000000000001"/>
    <n v="109"/>
    <n v="1"/>
    <n v="1.0900000000000001"/>
    <x v="52"/>
    <x v="2"/>
    <x v="90"/>
    <x v="0"/>
    <x v="0"/>
    <s v="Librería Sevilla Triana"/>
    <x v="4"/>
    <n v="4"/>
    <n v="4"/>
  </r>
  <r>
    <s v="V000095"/>
    <s v="978-8-11504-796-1"/>
    <s v="El código Da Vinci"/>
    <s v="Dan Brown"/>
    <x v="1"/>
    <n v="1.69"/>
    <n v="169"/>
    <n v="1"/>
    <n v="1.69"/>
    <x v="33"/>
    <x v="1"/>
    <x v="37"/>
    <x v="1"/>
    <x v="1"/>
    <s v="Tienda Online"/>
    <x v="2"/>
    <n v="2"/>
    <n v="2"/>
  </r>
  <r>
    <s v="V000096"/>
    <s v="978-2-18981-709-1"/>
    <s v="Una breve historia del tiempo"/>
    <s v="Stephen Hawking"/>
    <x v="11"/>
    <n v="13.52"/>
    <n v="1352"/>
    <n v="1"/>
    <n v="13.52"/>
    <x v="53"/>
    <x v="0"/>
    <x v="91"/>
    <x v="2"/>
    <x v="1"/>
    <s v="Tienda Online"/>
    <x v="1"/>
    <n v="5"/>
    <n v="5"/>
  </r>
  <r>
    <s v="V000097"/>
    <s v="978-3-50857-508-5"/>
    <s v="Piense y hágase rico"/>
    <s v="Napoleon Hill"/>
    <x v="5"/>
    <n v="1.46"/>
    <n v="146"/>
    <n v="1"/>
    <n v="1.46"/>
    <x v="16"/>
    <x v="2"/>
    <x v="92"/>
    <x v="2"/>
    <x v="1"/>
    <s v="Tienda Online"/>
    <x v="1"/>
    <n v="5"/>
    <n v="5"/>
  </r>
  <r>
    <s v="V000098"/>
    <s v="978-0-13905-195-3"/>
    <s v="Rebelión en la granja"/>
    <s v="George Orwell"/>
    <x v="3"/>
    <n v="13.12"/>
    <n v="1312"/>
    <n v="1"/>
    <n v="13.12"/>
    <x v="50"/>
    <x v="1"/>
    <x v="93"/>
    <x v="0"/>
    <x v="1"/>
    <s v="Tienda Online"/>
    <x v="2"/>
    <n v="4"/>
    <n v="4"/>
  </r>
  <r>
    <s v="V000099"/>
    <s v="978-6-94259-569-2"/>
    <s v="El juego del ángel"/>
    <s v="Carlos Ruiz Zafón"/>
    <x v="3"/>
    <n v="16.649999999999999"/>
    <n v="1665"/>
    <n v="1"/>
    <n v="16.649999999999999"/>
    <x v="42"/>
    <x v="1"/>
    <x v="94"/>
    <x v="0"/>
    <x v="1"/>
    <s v="Tienda Online"/>
    <x v="0"/>
    <n v="2"/>
    <n v="2"/>
  </r>
  <r>
    <s v="V000100"/>
    <s v="978-6-10282-499-4"/>
    <s v="Patria"/>
    <s v="Fernando Aramburu"/>
    <x v="3"/>
    <n v="16.91"/>
    <n v="1691"/>
    <n v="1"/>
    <n v="16.91"/>
    <x v="54"/>
    <x v="0"/>
    <x v="95"/>
    <x v="0"/>
    <x v="1"/>
    <s v="Tienda Online"/>
    <x v="4"/>
    <n v="5"/>
    <n v="5"/>
  </r>
  <r>
    <s v="V000101"/>
    <s v="978-6-34957-196-1"/>
    <s v="El resplandor"/>
    <s v="Stephen King"/>
    <x v="4"/>
    <n v="1.89"/>
    <n v="189"/>
    <n v="1"/>
    <n v="1.89"/>
    <x v="27"/>
    <x v="1"/>
    <x v="96"/>
    <x v="2"/>
    <x v="1"/>
    <s v="Tienda Online"/>
    <x v="0"/>
    <n v="5"/>
    <n v="5"/>
  </r>
  <r>
    <s v="V000102"/>
    <s v="978-7-19071-878-8"/>
    <s v="El poder del ahora"/>
    <s v="Eckhart Tolle"/>
    <x v="0"/>
    <n v="1.49"/>
    <n v="149"/>
    <n v="3"/>
    <n v="4.47"/>
    <x v="30"/>
    <x v="3"/>
    <x v="97"/>
    <x v="2"/>
    <x v="1"/>
    <s v="Tienda Online"/>
    <x v="0"/>
    <n v="4"/>
    <n v="4"/>
  </r>
  <r>
    <s v="V000103"/>
    <s v="978-0-51104-158-0"/>
    <s v="Manual de cocina fácil"/>
    <s v="Karlos Arguiñano"/>
    <x v="14"/>
    <n v="1.79"/>
    <n v="179"/>
    <n v="1"/>
    <n v="1.79"/>
    <x v="8"/>
    <x v="3"/>
    <x v="98"/>
    <x v="0"/>
    <x v="1"/>
    <s v="Tienda Online"/>
    <x v="2"/>
    <n v="4"/>
    <n v="4"/>
  </r>
  <r>
    <s v="V000104"/>
    <s v="978-3-39256-242-1"/>
    <s v="El amor en los tiempos del cólera"/>
    <s v="Gabriel García Márquez"/>
    <x v="3"/>
    <n v="1.4"/>
    <n v="140"/>
    <n v="1"/>
    <n v="1.4"/>
    <x v="23"/>
    <x v="3"/>
    <x v="99"/>
    <x v="0"/>
    <x v="1"/>
    <s v="Tienda Online"/>
    <x v="3"/>
    <m/>
    <s v="Sin valoración"/>
  </r>
  <r>
    <s v="V000105"/>
    <s v="978-6-45093-167-3"/>
    <s v="Paula"/>
    <s v="Isabel Allende"/>
    <x v="13"/>
    <n v="1.59"/>
    <n v="159"/>
    <n v="1"/>
    <n v="1.59"/>
    <x v="51"/>
    <x v="3"/>
    <x v="100"/>
    <x v="2"/>
    <x v="1"/>
    <s v="Tienda Online"/>
    <x v="2"/>
    <n v="4"/>
    <n v="4"/>
  </r>
  <r>
    <s v="V000106"/>
    <s v="978-2-26828-775-7"/>
    <s v="Los cuatro acuerdos"/>
    <s v="Miguel Ruiz"/>
    <x v="0"/>
    <n v="13.55"/>
    <n v="1355"/>
    <n v="1"/>
    <n v="13.55"/>
    <x v="55"/>
    <x v="2"/>
    <x v="101"/>
    <x v="1"/>
    <x v="1"/>
    <s v="Tienda Online"/>
    <x v="3"/>
    <n v="5"/>
    <n v="5"/>
  </r>
  <r>
    <s v="V000107"/>
    <s v="978-0-40007-169-0"/>
    <s v="El Principito ilustrado"/>
    <s v="Antoine de Saint-Exupéry"/>
    <x v="6"/>
    <n v="17.489999999999998"/>
    <n v="1749"/>
    <n v="1"/>
    <n v="17.489999999999998"/>
    <x v="56"/>
    <x v="3"/>
    <x v="102"/>
    <x v="1"/>
    <x v="0"/>
    <s v="Librería Gran Vía"/>
    <x v="4"/>
    <n v="4"/>
    <n v="4"/>
  </r>
  <r>
    <s v="V000108"/>
    <s v="978-0-22224-871-3"/>
    <s v="Un mundo sin fin"/>
    <s v="Ken Follett"/>
    <x v="16"/>
    <n v="2.29"/>
    <n v="229"/>
    <n v="1"/>
    <n v="2.29"/>
    <x v="44"/>
    <x v="3"/>
    <x v="103"/>
    <x v="1"/>
    <x v="1"/>
    <s v="Tienda Online"/>
    <x v="0"/>
    <n v="5"/>
    <n v="5"/>
  </r>
  <r>
    <s v="V000109"/>
    <s v="978-5-74042-119-1"/>
    <s v="Sapiens"/>
    <s v="Yuval Noah Harari"/>
    <x v="15"/>
    <n v="2.19"/>
    <n v="219"/>
    <n v="2"/>
    <n v="4.38"/>
    <x v="57"/>
    <x v="2"/>
    <x v="104"/>
    <x v="0"/>
    <x v="0"/>
    <s v="Librería Valencia Centro"/>
    <x v="3"/>
    <m/>
    <s v="Sin valoración"/>
  </r>
  <r>
    <s v="V000110"/>
    <s v="978-0-40007-169-0"/>
    <s v="El Principito ilustrado"/>
    <s v="Antoine de Saint-Exupéry"/>
    <x v="6"/>
    <n v="1.59"/>
    <n v="159"/>
    <n v="1"/>
    <n v="1.59"/>
    <x v="58"/>
    <x v="3"/>
    <x v="105"/>
    <x v="1"/>
    <x v="1"/>
    <s v="Tienda Online"/>
    <x v="1"/>
    <m/>
    <s v="Sin valoración"/>
  </r>
  <r>
    <s v="V000111"/>
    <s v="978-8-44438-864-9"/>
    <s v="Rayuela"/>
    <s v="Julio Cortázar"/>
    <x v="9"/>
    <n v="1.69"/>
    <n v="169"/>
    <n v="1"/>
    <n v="1.69"/>
    <x v="18"/>
    <x v="0"/>
    <x v="106"/>
    <x v="0"/>
    <x v="1"/>
    <s v="Tienda Online"/>
    <x v="0"/>
    <n v="5"/>
    <n v="5"/>
  </r>
  <r>
    <s v="V000112"/>
    <s v="978-8-44973-887-5"/>
    <s v="Ángeles y demonios"/>
    <s v="Dan Brown"/>
    <x v="1"/>
    <n v="13.52"/>
    <n v="1352"/>
    <n v="2"/>
    <n v="27.04"/>
    <x v="39"/>
    <x v="0"/>
    <x v="107"/>
    <x v="2"/>
    <x v="1"/>
    <s v="Tienda Online"/>
    <x v="2"/>
    <n v="5"/>
    <n v="5"/>
  </r>
  <r>
    <s v="V000113"/>
    <s v="978-6-86484-508-5"/>
    <s v="Ficciones"/>
    <s v="Jorge Luis Borges"/>
    <x v="9"/>
    <n v="15.65"/>
    <n v="1565"/>
    <n v="3"/>
    <n v="46.95"/>
    <x v="38"/>
    <x v="3"/>
    <x v="108"/>
    <x v="0"/>
    <x v="1"/>
    <s v="Tienda Online"/>
    <x v="2"/>
    <n v="5"/>
    <n v="5"/>
  </r>
  <r>
    <s v="V000114"/>
    <s v="978-9-71953-348-7"/>
    <s v="It"/>
    <s v="Stephen King"/>
    <x v="4"/>
    <n v="18.32"/>
    <n v="1832"/>
    <n v="2"/>
    <n v="36.64"/>
    <x v="59"/>
    <x v="0"/>
    <x v="109"/>
    <x v="0"/>
    <x v="0"/>
    <s v="Librería Gran Vía"/>
    <x v="2"/>
    <n v="4"/>
    <n v="4"/>
  </r>
  <r>
    <s v="V000115"/>
    <s v="978-7-77839-562-1"/>
    <s v="El principito"/>
    <s v="Antoine de Saint-Exupéry"/>
    <x v="6"/>
    <n v="0.99"/>
    <n v="99"/>
    <n v="1"/>
    <n v="0.99"/>
    <x v="52"/>
    <x v="1"/>
    <x v="110"/>
    <x v="1"/>
    <x v="1"/>
    <s v="Tienda Online"/>
    <x v="2"/>
    <n v="5"/>
    <n v="5"/>
  </r>
  <r>
    <s v="V000116"/>
    <s v="978-8-27342-840-9"/>
    <s v="Stardust"/>
    <s v="Neil Gaiman"/>
    <x v="2"/>
    <n v="1.59"/>
    <n v="159"/>
    <n v="2"/>
    <n v="3.18"/>
    <x v="25"/>
    <x v="3"/>
    <x v="60"/>
    <x v="0"/>
    <x v="0"/>
    <s v="Librería Valencia Centro"/>
    <x v="1"/>
    <n v="4"/>
    <n v="4"/>
  </r>
  <r>
    <s v="V000117"/>
    <s v="978-3-97782-833-5"/>
    <s v="V de Vendetta"/>
    <s v="Alan Moore"/>
    <x v="10"/>
    <n v="1.89"/>
    <n v="189"/>
    <n v="1"/>
    <n v="1.89"/>
    <x v="6"/>
    <x v="0"/>
    <x v="111"/>
    <x v="0"/>
    <x v="0"/>
    <s v="Librería Central Madrid"/>
    <x v="4"/>
    <n v="5"/>
    <n v="5"/>
  </r>
  <r>
    <s v="V000118"/>
    <s v="978-2-63269-597-7"/>
    <s v="La chica de nieve"/>
    <s v="Javier Castillo"/>
    <x v="1"/>
    <n v="19.84"/>
    <n v="1984"/>
    <n v="1"/>
    <n v="19.84"/>
    <x v="13"/>
    <x v="3"/>
    <x v="112"/>
    <x v="0"/>
    <x v="0"/>
    <s v="Librería Barcelona Gòtic"/>
    <x v="3"/>
    <n v="5"/>
    <n v="5"/>
  </r>
  <r>
    <s v="V000119"/>
    <s v="978-6-46434-564-5"/>
    <s v="En llamas"/>
    <s v="Suzanne Collins"/>
    <x v="8"/>
    <n v="1.49"/>
    <n v="149"/>
    <n v="2"/>
    <n v="2.98"/>
    <x v="8"/>
    <x v="3"/>
    <x v="113"/>
    <x v="0"/>
    <x v="1"/>
    <s v="Tienda Online"/>
    <x v="2"/>
    <n v="5"/>
    <n v="5"/>
  </r>
  <r>
    <s v="V000120"/>
    <s v="978-9-65461-316-8"/>
    <s v="Padre rico, padre pobre"/>
    <s v="Robert Kiyosaki"/>
    <x v="5"/>
    <n v="17.75"/>
    <n v="1775"/>
    <n v="1"/>
    <n v="17.75"/>
    <x v="17"/>
    <x v="3"/>
    <x v="114"/>
    <x v="2"/>
    <x v="1"/>
    <s v="Tienda Online"/>
    <x v="4"/>
    <n v="4"/>
    <n v="4"/>
  </r>
  <r>
    <s v="V000121"/>
    <s v="978-3-62565-160-2"/>
    <s v="El día que se perdió la cordura"/>
    <s v="Javier Castillo"/>
    <x v="1"/>
    <n v="1.89"/>
    <n v="189"/>
    <n v="1"/>
    <n v="1.89"/>
    <x v="33"/>
    <x v="3"/>
    <x v="115"/>
    <x v="0"/>
    <x v="1"/>
    <s v="Tienda Online"/>
    <x v="0"/>
    <n v="5"/>
    <n v="5"/>
  </r>
  <r>
    <s v="V000122"/>
    <s v="978-3-99733-432-0"/>
    <s v="Don Quijote de la Mancha"/>
    <s v="Miguel de Cervantes"/>
    <x v="9"/>
    <n v="1.99"/>
    <n v="199"/>
    <n v="1"/>
    <n v="1.99"/>
    <x v="60"/>
    <x v="1"/>
    <x v="116"/>
    <x v="0"/>
    <x v="1"/>
    <s v="Tienda Online"/>
    <x v="3"/>
    <n v="4"/>
    <n v="4"/>
  </r>
  <r>
    <s v="V000123"/>
    <s v="978-3-62565-160-2"/>
    <s v="El día que se perdió la cordura"/>
    <s v="Javier Castillo"/>
    <x v="1"/>
    <n v="1.89"/>
    <n v="189"/>
    <n v="1"/>
    <n v="1.89"/>
    <x v="60"/>
    <x v="3"/>
    <x v="117"/>
    <x v="1"/>
    <x v="1"/>
    <s v="Tienda Online"/>
    <x v="0"/>
    <n v="3"/>
    <n v="3"/>
  </r>
  <r>
    <s v="V000124"/>
    <s v="978-3-31417-573-6"/>
    <s v="Ana Karenina"/>
    <s v="León Tolstói"/>
    <x v="9"/>
    <n v="18.59"/>
    <n v="1859"/>
    <n v="1"/>
    <n v="18.59"/>
    <x v="55"/>
    <x v="3"/>
    <x v="118"/>
    <x v="2"/>
    <x v="1"/>
    <s v="Tienda Online"/>
    <x v="2"/>
    <n v="5"/>
    <n v="5"/>
  </r>
  <r>
    <s v="V000125"/>
    <s v="978-8-27342-840-9"/>
    <s v="Stardust"/>
    <s v="Neil Gaiman"/>
    <x v="2"/>
    <n v="13.52"/>
    <n v="1352"/>
    <n v="1"/>
    <n v="13.52"/>
    <x v="53"/>
    <x v="3"/>
    <x v="119"/>
    <x v="2"/>
    <x v="1"/>
    <s v="Tienda Online"/>
    <x v="1"/>
    <n v="5"/>
    <n v="5"/>
  </r>
  <r>
    <s v="V000126"/>
    <s v="978-6-38893-559-9"/>
    <s v="Dune"/>
    <s v="Frank Herbert"/>
    <x v="12"/>
    <n v="24.04"/>
    <n v="2404"/>
    <n v="1"/>
    <n v="24.04"/>
    <x v="45"/>
    <x v="1"/>
    <x v="120"/>
    <x v="1"/>
    <x v="1"/>
    <s v="Tienda Online"/>
    <x v="0"/>
    <n v="4"/>
    <n v="4"/>
  </r>
  <r>
    <s v="V000127"/>
    <s v="978-0-13905-195-3"/>
    <s v="Rebelión en la granja"/>
    <s v="George Orwell"/>
    <x v="3"/>
    <n v="13.75"/>
    <n v="1375"/>
    <n v="2"/>
    <n v="27.5"/>
    <x v="5"/>
    <x v="1"/>
    <x v="121"/>
    <x v="1"/>
    <x v="0"/>
    <s v="Librería Gran Vía"/>
    <x v="3"/>
    <n v="4"/>
    <n v="4"/>
  </r>
  <r>
    <s v="V000128"/>
    <s v="978-9-93227-275-8"/>
    <s v="Los hermanos Karamázov"/>
    <s v="Fiódor Dostoyevski"/>
    <x v="9"/>
    <n v="15.12"/>
    <n v="1512"/>
    <n v="3"/>
    <n v="45.36"/>
    <x v="38"/>
    <x v="3"/>
    <x v="122"/>
    <x v="0"/>
    <x v="1"/>
    <s v="Tienda Online"/>
    <x v="2"/>
    <n v="5"/>
    <n v="5"/>
  </r>
  <r>
    <s v="V000129"/>
    <s v="978-2-46509-573-3"/>
    <s v="La peste"/>
    <s v="Albert Camus"/>
    <x v="9"/>
    <n v="13.41"/>
    <n v="1341"/>
    <n v="2"/>
    <n v="26.82"/>
    <x v="34"/>
    <x v="2"/>
    <x v="123"/>
    <x v="0"/>
    <x v="0"/>
    <s v="Librería Central Madrid"/>
    <x v="1"/>
    <n v="5"/>
    <n v="5"/>
  </r>
  <r>
    <s v="V000130"/>
    <s v="978-6-54597-384-2"/>
    <s v="El temor de un hombre sabio"/>
    <s v="Patrick Rothfuss"/>
    <x v="2"/>
    <n v="27.39"/>
    <n v="2739"/>
    <n v="1"/>
    <n v="27.39"/>
    <x v="1"/>
    <x v="1"/>
    <x v="124"/>
    <x v="0"/>
    <x v="1"/>
    <s v="Tienda Online"/>
    <x v="3"/>
    <n v="3"/>
    <n v="3"/>
  </r>
  <r>
    <s v="V000131"/>
    <s v="978-8-36062-833-8"/>
    <s v="Crónicas marcianas"/>
    <s v="Ray Bradbury"/>
    <x v="12"/>
    <n v="1.52"/>
    <n v="152"/>
    <n v="1"/>
    <n v="1.52"/>
    <x v="47"/>
    <x v="0"/>
    <x v="125"/>
    <x v="0"/>
    <x v="0"/>
    <s v="Librería Barcelona Gòtic"/>
    <x v="0"/>
    <n v="3"/>
    <n v="3"/>
  </r>
  <r>
    <s v="V000132"/>
    <s v="978-8-31643-371-8"/>
    <s v="Hábitos atómicos"/>
    <s v="James Clear"/>
    <x v="0"/>
    <n v="1.89"/>
    <n v="189"/>
    <n v="1"/>
    <n v="1.89"/>
    <x v="34"/>
    <x v="2"/>
    <x v="126"/>
    <x v="1"/>
    <x v="1"/>
    <s v="Tienda Online"/>
    <x v="3"/>
    <n v="5"/>
    <n v="5"/>
  </r>
  <r>
    <s v="V000133"/>
    <s v="978-7-17100-789-1"/>
    <s v="Carrie"/>
    <s v="Stephen King"/>
    <x v="4"/>
    <n v="1.49"/>
    <n v="149"/>
    <n v="2"/>
    <n v="2.98"/>
    <x v="36"/>
    <x v="3"/>
    <x v="81"/>
    <x v="0"/>
    <x v="0"/>
    <s v="Librería Valencia Centro"/>
    <x v="3"/>
    <m/>
    <s v="Sin valoración"/>
  </r>
  <r>
    <s v="V000134"/>
    <s v="978-9-71348-641-4"/>
    <s v="Veinte poemas de amor"/>
    <s v="Pablo Neruda"/>
    <x v="7"/>
    <n v="7.92"/>
    <n v="792"/>
    <n v="4"/>
    <n v="31.68"/>
    <x v="7"/>
    <x v="1"/>
    <x v="30"/>
    <x v="1"/>
    <x v="0"/>
    <s v="Librería Central Madrid"/>
    <x v="1"/>
    <n v="5"/>
    <n v="5"/>
  </r>
  <r>
    <s v="V000135"/>
    <s v="978-3-97782-833-5"/>
    <s v="V de Vendetta"/>
    <s v="Alan Moore"/>
    <x v="10"/>
    <n v="17.010000000000002"/>
    <n v="1701"/>
    <n v="1"/>
    <n v="17.010000000000002"/>
    <x v="45"/>
    <x v="1"/>
    <x v="127"/>
    <x v="2"/>
    <x v="1"/>
    <s v="Tienda Online"/>
    <x v="0"/>
    <m/>
    <s v="Sin valoración"/>
  </r>
  <r>
    <s v="V000136"/>
    <s v="978-3-76237-716-0"/>
    <s v="Fahrenheit 451"/>
    <s v="Ray Bradbury"/>
    <x v="12"/>
    <n v="11.81"/>
    <n v="1181"/>
    <n v="2"/>
    <n v="23.62"/>
    <x v="31"/>
    <x v="3"/>
    <x v="128"/>
    <x v="2"/>
    <x v="1"/>
    <s v="Tienda Online"/>
    <x v="1"/>
    <n v="4"/>
    <n v="4"/>
  </r>
  <r>
    <s v="V000137"/>
    <s v="978-8-21395-704-6"/>
    <s v="1984"/>
    <s v="George Orwell"/>
    <x v="12"/>
    <n v="15.65"/>
    <n v="1565"/>
    <n v="1"/>
    <n v="15.65"/>
    <x v="34"/>
    <x v="1"/>
    <x v="129"/>
    <x v="2"/>
    <x v="1"/>
    <s v="Tienda Online"/>
    <x v="0"/>
    <n v="4"/>
    <n v="4"/>
  </r>
  <r>
    <s v="V000138"/>
    <s v="978-6-54597-384-2"/>
    <s v="El temor de un hombre sabio"/>
    <s v="Patrick Rothfuss"/>
    <x v="2"/>
    <n v="26.14"/>
    <n v="2614"/>
    <n v="1"/>
    <n v="26.14"/>
    <x v="3"/>
    <x v="1"/>
    <x v="130"/>
    <x v="2"/>
    <x v="1"/>
    <s v="Tienda Online"/>
    <x v="2"/>
    <n v="4"/>
    <n v="4"/>
  </r>
  <r>
    <s v="V000139"/>
    <s v="978-8-33416-619-1"/>
    <s v="La chica del tren"/>
    <s v="Paula Hawkins"/>
    <x v="1"/>
    <n v="14.31"/>
    <n v="1431"/>
    <n v="1"/>
    <n v="14.31"/>
    <x v="6"/>
    <x v="3"/>
    <x v="131"/>
    <x v="1"/>
    <x v="0"/>
    <s v="Librería Central Madrid"/>
    <x v="0"/>
    <n v="2"/>
    <n v="2"/>
  </r>
  <r>
    <s v="V000140"/>
    <s v="978-8-36062-833-8"/>
    <s v="Crónicas marcianas"/>
    <s v="Ray Bradbury"/>
    <x v="12"/>
    <n v="1.52"/>
    <n v="152"/>
    <n v="1"/>
    <n v="1.52"/>
    <x v="19"/>
    <x v="2"/>
    <x v="132"/>
    <x v="0"/>
    <x v="1"/>
    <s v="Tienda Online"/>
    <x v="2"/>
    <n v="3"/>
    <n v="3"/>
  </r>
  <r>
    <s v="V000141"/>
    <s v="978-3-97782-833-5"/>
    <s v="V de Vendetta"/>
    <s v="Alan Moore"/>
    <x v="10"/>
    <n v="1.89"/>
    <n v="189"/>
    <n v="1"/>
    <n v="1.89"/>
    <x v="30"/>
    <x v="3"/>
    <x v="133"/>
    <x v="2"/>
    <x v="1"/>
    <s v="Tienda Online"/>
    <x v="3"/>
    <n v="4"/>
    <n v="4"/>
  </r>
  <r>
    <s v="V000142"/>
    <s v="978-9-71348-641-4"/>
    <s v="Veinte poemas de amor"/>
    <s v="Pablo Neruda"/>
    <x v="7"/>
    <n v="0.99"/>
    <n v="99"/>
    <n v="1"/>
    <n v="0.99"/>
    <x v="41"/>
    <x v="2"/>
    <x v="134"/>
    <x v="1"/>
    <x v="0"/>
    <s v="Librería Central Madrid"/>
    <x v="0"/>
    <n v="5"/>
    <n v="5"/>
  </r>
  <r>
    <s v="V000143"/>
    <s v="978-6-46434-564-5"/>
    <s v="En llamas"/>
    <s v="Suzanne Collins"/>
    <x v="8"/>
    <n v="15.65"/>
    <n v="1565"/>
    <n v="1"/>
    <n v="15.65"/>
    <x v="9"/>
    <x v="2"/>
    <x v="135"/>
    <x v="0"/>
    <x v="1"/>
    <s v="Tienda Online"/>
    <x v="2"/>
    <n v="5"/>
    <n v="5"/>
  </r>
  <r>
    <s v="V000144"/>
    <s v="978-8-11504-796-1"/>
    <s v="El código Da Vinci"/>
    <s v="Dan Brown"/>
    <x v="1"/>
    <n v="1.69"/>
    <n v="169"/>
    <n v="3"/>
    <n v="5.07"/>
    <x v="30"/>
    <x v="2"/>
    <x v="136"/>
    <x v="1"/>
    <x v="0"/>
    <s v="Librería Central Madrid"/>
    <x v="2"/>
    <n v="5"/>
    <n v="5"/>
  </r>
  <r>
    <s v="V000145"/>
    <s v="978-9-20745-529-9"/>
    <s v="Watchmen"/>
    <s v="Alan Moore"/>
    <x v="10"/>
    <n v="2.2999999999999998"/>
    <n v="230"/>
    <n v="2"/>
    <n v="4.5999999999999996"/>
    <x v="2"/>
    <x v="0"/>
    <x v="137"/>
    <x v="0"/>
    <x v="0"/>
    <s v="Librería Gran Vía"/>
    <x v="3"/>
    <n v="5"/>
    <n v="5"/>
  </r>
  <r>
    <s v="V000146"/>
    <s v="978-8-21395-704-6"/>
    <s v="1984"/>
    <s v="George Orwell"/>
    <x v="12"/>
    <n v="13.41"/>
    <n v="1341"/>
    <n v="1"/>
    <n v="13.41"/>
    <x v="14"/>
    <x v="0"/>
    <x v="138"/>
    <x v="1"/>
    <x v="1"/>
    <s v="Tienda Online"/>
    <x v="0"/>
    <n v="3"/>
    <n v="3"/>
  </r>
  <r>
    <s v="V000147"/>
    <s v="978-5-19287-626-3"/>
    <s v="Coraline"/>
    <s v="Neil Gaiman"/>
    <x v="8"/>
    <n v="12.51"/>
    <n v="1251"/>
    <n v="1"/>
    <n v="12.51"/>
    <x v="61"/>
    <x v="2"/>
    <x v="139"/>
    <x v="2"/>
    <x v="1"/>
    <s v="Tienda Online"/>
    <x v="1"/>
    <n v="3"/>
    <n v="3"/>
  </r>
  <r>
    <s v="V000148"/>
    <s v="978-4-99593-763-1"/>
    <s v="Crimen y castigo"/>
    <s v="Fiódor Dostoyevski"/>
    <x v="9"/>
    <n v="14.19"/>
    <n v="1419"/>
    <n v="1"/>
    <n v="14.19"/>
    <x v="54"/>
    <x v="3"/>
    <x v="140"/>
    <x v="2"/>
    <x v="1"/>
    <s v="Tienda Online"/>
    <x v="3"/>
    <n v="5"/>
    <n v="5"/>
  </r>
  <r>
    <s v="V000149"/>
    <s v="978-9-65461-316-8"/>
    <s v="Padre rico, padre pobre"/>
    <s v="Robert Kiyosaki"/>
    <x v="5"/>
    <n v="15.21"/>
    <n v="1521"/>
    <n v="1"/>
    <n v="15.21"/>
    <x v="18"/>
    <x v="3"/>
    <x v="71"/>
    <x v="2"/>
    <x v="1"/>
    <s v="Tienda Online"/>
    <x v="0"/>
    <n v="2"/>
    <n v="2"/>
  </r>
  <r>
    <s v="V000150"/>
    <s v="978-4-93748-619-9"/>
    <s v="Perdida"/>
    <s v="Gillian Flynn"/>
    <x v="1"/>
    <n v="14.03"/>
    <n v="1403"/>
    <n v="2"/>
    <n v="28.06"/>
    <x v="12"/>
    <x v="3"/>
    <x v="141"/>
    <x v="0"/>
    <x v="1"/>
    <s v="Tienda Online"/>
    <x v="2"/>
    <n v="5"/>
    <n v="5"/>
  </r>
  <r>
    <s v="V000151"/>
    <s v="978-9-51245-317-7"/>
    <s v="La sombra del viento"/>
    <s v="Carlos Ruiz Zafón"/>
    <x v="3"/>
    <n v="16.649999999999999"/>
    <n v="1665"/>
    <n v="3"/>
    <n v="49.949999999999996"/>
    <x v="57"/>
    <x v="0"/>
    <x v="142"/>
    <x v="1"/>
    <x v="1"/>
    <s v="Tienda Online"/>
    <x v="4"/>
    <n v="3"/>
    <n v="3"/>
  </r>
  <r>
    <s v="V000152"/>
    <s v="978-8-27342-840-9"/>
    <s v="Stardust"/>
    <s v="Neil Gaiman"/>
    <x v="2"/>
    <n v="12.72"/>
    <n v="1272"/>
    <n v="1"/>
    <n v="12.72"/>
    <x v="50"/>
    <x v="2"/>
    <x v="99"/>
    <x v="2"/>
    <x v="1"/>
    <s v="Tienda Online"/>
    <x v="2"/>
    <n v="4"/>
    <n v="4"/>
  </r>
  <r>
    <s v="V000153"/>
    <s v="978-5-50306-345-0"/>
    <s v="Homo Deus"/>
    <s v="Yuval Noah Harari"/>
    <x v="15"/>
    <n v="2.19"/>
    <n v="219"/>
    <n v="1"/>
    <n v="2.19"/>
    <x v="43"/>
    <x v="0"/>
    <x v="143"/>
    <x v="1"/>
    <x v="1"/>
    <s v="Tienda Online"/>
    <x v="1"/>
    <n v="5"/>
    <n v="5"/>
  </r>
  <r>
    <s v="V000154"/>
    <s v="978-0-87110-667-3"/>
    <s v="Charlie y la fábrica de chocolate"/>
    <s v="Roald Dahl"/>
    <x v="6"/>
    <n v="1.19"/>
    <n v="119"/>
    <n v="1"/>
    <n v="1.19"/>
    <x v="62"/>
    <x v="3"/>
    <x v="8"/>
    <x v="1"/>
    <x v="1"/>
    <s v="Tienda Online"/>
    <x v="3"/>
    <n v="5"/>
    <n v="5"/>
  </r>
  <r>
    <s v="V000155"/>
    <s v="978-4-93886-804-8"/>
    <s v="Guerra y paz"/>
    <s v="León Tolstói"/>
    <x v="9"/>
    <n v="2.4900000000000002"/>
    <n v="249"/>
    <n v="2"/>
    <n v="4.9800000000000004"/>
    <x v="54"/>
    <x v="1"/>
    <x v="144"/>
    <x v="0"/>
    <x v="0"/>
    <s v="Librería Sevilla Triana"/>
    <x v="0"/>
    <m/>
    <s v="Sin valoración"/>
  </r>
  <r>
    <s v="V000156"/>
    <s v="978-5-50306-345-0"/>
    <s v="Homo Deus"/>
    <s v="Yuval Noah Harari"/>
    <x v="15"/>
    <n v="19.71"/>
    <n v="1971"/>
    <n v="2"/>
    <n v="39.42"/>
    <x v="22"/>
    <x v="2"/>
    <x v="145"/>
    <x v="2"/>
    <x v="1"/>
    <s v="Tienda Online"/>
    <x v="0"/>
    <m/>
    <s v="Sin valoración"/>
  </r>
  <r>
    <s v="V000157"/>
    <s v="978-6-56438-533-6"/>
    <s v="Misery"/>
    <s v="Stephen King"/>
    <x v="4"/>
    <n v="17.75"/>
    <n v="1775"/>
    <n v="1"/>
    <n v="17.75"/>
    <x v="36"/>
    <x v="0"/>
    <x v="146"/>
    <x v="1"/>
    <x v="1"/>
    <s v="Tienda Online"/>
    <x v="3"/>
    <n v="3"/>
    <n v="3"/>
  </r>
  <r>
    <s v="V000158"/>
    <s v="978-2-46509-573-3"/>
    <s v="La peste"/>
    <s v="Albert Camus"/>
    <x v="9"/>
    <n v="12.66"/>
    <n v="1266"/>
    <n v="1"/>
    <n v="12.66"/>
    <x v="5"/>
    <x v="3"/>
    <x v="41"/>
    <x v="1"/>
    <x v="1"/>
    <s v="Tienda Online"/>
    <x v="4"/>
    <n v="4"/>
    <n v="4"/>
  </r>
  <r>
    <s v="V000159"/>
    <s v="978-6-38893-559-9"/>
    <s v="Dune"/>
    <s v="Frank Herbert"/>
    <x v="12"/>
    <n v="24.04"/>
    <n v="2404"/>
    <n v="1"/>
    <n v="24.04"/>
    <x v="63"/>
    <x v="3"/>
    <x v="85"/>
    <x v="2"/>
    <x v="1"/>
    <s v="Tienda Online"/>
    <x v="4"/>
    <n v="5"/>
    <n v="5"/>
  </r>
  <r>
    <s v="V000160"/>
    <s v="978-7-80284-227-6"/>
    <s v="El Señor de los Anillos"/>
    <s v="J.R.R. Tolkien"/>
    <x v="2"/>
    <n v="32.89"/>
    <n v="3289"/>
    <n v="2"/>
    <n v="65.78"/>
    <x v="0"/>
    <x v="1"/>
    <x v="147"/>
    <x v="2"/>
    <x v="1"/>
    <s v="Tienda Online"/>
    <x v="1"/>
    <n v="5"/>
    <n v="5"/>
  </r>
  <r>
    <s v="V000161"/>
    <s v="978-3-39451-165-5"/>
    <s v="Matilda"/>
    <s v="Roald Dahl"/>
    <x v="6"/>
    <n v="9.52"/>
    <n v="952"/>
    <n v="2"/>
    <n v="19.04"/>
    <x v="52"/>
    <x v="1"/>
    <x v="148"/>
    <x v="1"/>
    <x v="0"/>
    <s v="Librería Sevilla Triana"/>
    <x v="3"/>
    <n v="3"/>
    <n v="3"/>
  </r>
  <r>
    <s v="V000162"/>
    <s v="978-9-72493-614-8"/>
    <s v="El chef en casa"/>
    <s v="Jamie Oliver"/>
    <x v="14"/>
    <n v="1.99"/>
    <n v="199"/>
    <n v="1"/>
    <n v="1.99"/>
    <x v="14"/>
    <x v="2"/>
    <x v="149"/>
    <x v="0"/>
    <x v="1"/>
    <s v="Tienda Online"/>
    <x v="0"/>
    <n v="3"/>
    <n v="3"/>
  </r>
  <r>
    <s v="V000163"/>
    <s v="978-1-40512-987-1"/>
    <s v="Los juegos del hambre"/>
    <s v="Suzanne Collins"/>
    <x v="8"/>
    <n v="1.49"/>
    <n v="149"/>
    <n v="1"/>
    <n v="1.49"/>
    <x v="64"/>
    <x v="1"/>
    <x v="150"/>
    <x v="0"/>
    <x v="1"/>
    <s v="Tienda Online"/>
    <x v="1"/>
    <n v="3"/>
    <n v="3"/>
  </r>
  <r>
    <s v="V000164"/>
    <s v="978-3-76237-716-0"/>
    <s v="Fahrenheit 451"/>
    <s v="Ray Bradbury"/>
    <x v="12"/>
    <n v="15.29"/>
    <n v="1529"/>
    <n v="2"/>
    <n v="30.58"/>
    <x v="6"/>
    <x v="1"/>
    <x v="151"/>
    <x v="0"/>
    <x v="1"/>
    <s v="Tienda Online"/>
    <x v="2"/>
    <n v="5"/>
    <n v="5"/>
  </r>
  <r>
    <s v="V000165"/>
    <s v="978-0-96673-333-4"/>
    <s v="Harry Potter y el prisionero de Azkaban"/>
    <s v="J.K. Rowling"/>
    <x v="8"/>
    <n v="18.59"/>
    <n v="1859"/>
    <n v="1"/>
    <n v="18.59"/>
    <x v="61"/>
    <x v="1"/>
    <x v="152"/>
    <x v="1"/>
    <x v="0"/>
    <s v="Librería Gran Vía"/>
    <x v="2"/>
    <n v="5"/>
    <n v="5"/>
  </r>
  <r>
    <s v="V000166"/>
    <s v="978-2-92240-263-6"/>
    <s v="La casa de Bernarda Alba"/>
    <s v="Federico García Lorca"/>
    <x v="17"/>
    <n v="7.92"/>
    <n v="792"/>
    <n v="2"/>
    <n v="15.84"/>
    <x v="40"/>
    <x v="0"/>
    <x v="153"/>
    <x v="1"/>
    <x v="0"/>
    <s v="Librería Valencia Centro"/>
    <x v="3"/>
    <n v="4"/>
    <n v="4"/>
  </r>
  <r>
    <s v="V000167"/>
    <s v="978-7-10425-839-4"/>
    <s v="El paciente silencioso"/>
    <s v="Alex Michaelides"/>
    <x v="1"/>
    <n v="1.79"/>
    <n v="179"/>
    <n v="1"/>
    <n v="1.79"/>
    <x v="47"/>
    <x v="0"/>
    <x v="142"/>
    <x v="2"/>
    <x v="1"/>
    <s v="Tienda Online"/>
    <x v="2"/>
    <n v="5"/>
    <n v="5"/>
  </r>
  <r>
    <s v="V000168"/>
    <s v="978-9-78522-423-4"/>
    <s v="Maus"/>
    <s v="Art Spiegelman"/>
    <x v="10"/>
    <n v="13.52"/>
    <n v="1352"/>
    <n v="1"/>
    <n v="13.52"/>
    <x v="44"/>
    <x v="2"/>
    <x v="154"/>
    <x v="2"/>
    <x v="1"/>
    <s v="Tienda Online"/>
    <x v="0"/>
    <n v="4"/>
    <n v="4"/>
  </r>
  <r>
    <s v="V000169"/>
    <s v="978-9-38864-107-1"/>
    <s v="James y el melocotón gigante"/>
    <s v="Roald Dahl"/>
    <x v="6"/>
    <n v="1.0900000000000001"/>
    <n v="109"/>
    <n v="1"/>
    <n v="1.0900000000000001"/>
    <x v="9"/>
    <x v="2"/>
    <x v="155"/>
    <x v="1"/>
    <x v="0"/>
    <s v="Librería Valencia Centro"/>
    <x v="2"/>
    <n v="5"/>
    <n v="5"/>
  </r>
  <r>
    <s v="V000170"/>
    <s v="978-0-87110-667-3"/>
    <s v="Charlie y la fábrica de chocolate"/>
    <s v="Roald Dahl"/>
    <x v="6"/>
    <n v="9.52"/>
    <n v="952"/>
    <n v="1"/>
    <n v="9.52"/>
    <x v="52"/>
    <x v="2"/>
    <x v="156"/>
    <x v="1"/>
    <x v="0"/>
    <s v="Librería Gran Vía"/>
    <x v="0"/>
    <n v="3"/>
    <n v="3"/>
  </r>
  <r>
    <s v="V000171"/>
    <s v="978-7-47388-533-8"/>
    <s v="Los besos"/>
    <s v="Manuel Vilas"/>
    <x v="3"/>
    <n v="16.059999999999999"/>
    <n v="1606"/>
    <n v="1"/>
    <n v="16.059999999999999"/>
    <x v="19"/>
    <x v="1"/>
    <x v="128"/>
    <x v="2"/>
    <x v="1"/>
    <s v="Tienda Online"/>
    <x v="2"/>
    <n v="3"/>
    <n v="3"/>
  </r>
  <r>
    <s v="V000172"/>
    <s v="978-8-27342-840-9"/>
    <s v="Stardust"/>
    <s v="Neil Gaiman"/>
    <x v="2"/>
    <n v="1.59"/>
    <n v="159"/>
    <n v="2"/>
    <n v="3.18"/>
    <x v="59"/>
    <x v="3"/>
    <x v="157"/>
    <x v="1"/>
    <x v="0"/>
    <s v="Librería Central Madrid"/>
    <x v="1"/>
    <n v="5"/>
    <n v="5"/>
  </r>
  <r>
    <s v="V000173"/>
    <s v="978-1-40512-987-1"/>
    <s v="Los juegos del hambre"/>
    <s v="Suzanne Collins"/>
    <x v="8"/>
    <n v="1.49"/>
    <n v="149"/>
    <n v="2"/>
    <n v="2.98"/>
    <x v="58"/>
    <x v="3"/>
    <x v="130"/>
    <x v="1"/>
    <x v="0"/>
    <s v="Librería Central Madrid"/>
    <x v="3"/>
    <n v="5"/>
    <n v="5"/>
  </r>
  <r>
    <s v="V000174"/>
    <s v="978-3-62923-222-9"/>
    <s v="El gen egoísta"/>
    <s v="Richard Dawkins"/>
    <x v="11"/>
    <n v="1.79"/>
    <n v="179"/>
    <n v="1"/>
    <n v="1.79"/>
    <x v="29"/>
    <x v="1"/>
    <x v="158"/>
    <x v="2"/>
    <x v="1"/>
    <s v="Tienda Online"/>
    <x v="3"/>
    <n v="5"/>
    <n v="5"/>
  </r>
  <r>
    <s v="V000175"/>
    <s v="978-6-38893-559-9"/>
    <s v="Dune"/>
    <s v="Frank Herbert"/>
    <x v="12"/>
    <n v="24.04"/>
    <n v="2404"/>
    <n v="2"/>
    <n v="48.08"/>
    <x v="17"/>
    <x v="3"/>
    <x v="159"/>
    <x v="0"/>
    <x v="0"/>
    <s v="Librería Central Madrid"/>
    <x v="1"/>
    <n v="5"/>
    <n v="5"/>
  </r>
  <r>
    <s v="V000176"/>
    <s v="978-0-22224-871-3"/>
    <s v="Un mundo sin fin"/>
    <s v="Ken Follett"/>
    <x v="16"/>
    <n v="19.46"/>
    <n v="1946"/>
    <n v="3"/>
    <n v="58.38"/>
    <x v="25"/>
    <x v="0"/>
    <x v="160"/>
    <x v="1"/>
    <x v="1"/>
    <s v="Tienda Online"/>
    <x v="2"/>
    <n v="3"/>
    <n v="3"/>
  </r>
  <r>
    <s v="V000177"/>
    <s v="978-6-10282-499-4"/>
    <s v="Patria"/>
    <s v="Fernando Aramburu"/>
    <x v="3"/>
    <n v="1.99"/>
    <n v="199"/>
    <n v="2"/>
    <n v="3.98"/>
    <x v="51"/>
    <x v="1"/>
    <x v="161"/>
    <x v="2"/>
    <x v="1"/>
    <s v="Tienda Online"/>
    <x v="0"/>
    <m/>
    <s v="Sin valoración"/>
  </r>
  <r>
    <s v="V000178"/>
    <s v="978-8-44973-887-5"/>
    <s v="Ángeles y demonios"/>
    <s v="Dan Brown"/>
    <x v="1"/>
    <n v="15.21"/>
    <n v="1521"/>
    <n v="2"/>
    <n v="30.42"/>
    <x v="2"/>
    <x v="0"/>
    <x v="162"/>
    <x v="2"/>
    <x v="1"/>
    <s v="Tienda Online"/>
    <x v="3"/>
    <n v="4"/>
    <n v="4"/>
  </r>
  <r>
    <s v="V000179"/>
    <s v="978-8-36062-833-8"/>
    <s v="Crónicas marcianas"/>
    <s v="Ray Bradbury"/>
    <x v="12"/>
    <n v="15.96"/>
    <n v="1596"/>
    <n v="1"/>
    <n v="15.96"/>
    <x v="4"/>
    <x v="3"/>
    <x v="163"/>
    <x v="0"/>
    <x v="0"/>
    <s v="Librería Valencia Centro"/>
    <x v="0"/>
    <n v="5"/>
    <n v="5"/>
  </r>
  <r>
    <s v="V000180"/>
    <s v="978-8-44438-864-9"/>
    <s v="Rayuela"/>
    <s v="Julio Cortázar"/>
    <x v="9"/>
    <n v="13.52"/>
    <n v="1352"/>
    <n v="1"/>
    <n v="13.52"/>
    <x v="22"/>
    <x v="2"/>
    <x v="164"/>
    <x v="1"/>
    <x v="1"/>
    <s v="Tienda Online"/>
    <x v="4"/>
    <n v="4"/>
    <n v="4"/>
  </r>
  <r>
    <s v="V000181"/>
    <s v="978-3-14207-924-5"/>
    <s v="La casa de los espíritus"/>
    <s v="Isabel Allende"/>
    <x v="3"/>
    <n v="1.79"/>
    <n v="179"/>
    <n v="2"/>
    <n v="3.58"/>
    <x v="40"/>
    <x v="3"/>
    <x v="165"/>
    <x v="1"/>
    <x v="0"/>
    <s v="Librería Barcelona Gòtic"/>
    <x v="0"/>
    <n v="2"/>
    <n v="2"/>
  </r>
  <r>
    <s v="V000182"/>
    <s v="978-1-42591-296-3"/>
    <s v="Frankenstein"/>
    <s v="Mary Shelley"/>
    <x v="4"/>
    <n v="13.09"/>
    <n v="1309"/>
    <n v="1"/>
    <n v="13.09"/>
    <x v="55"/>
    <x v="3"/>
    <x v="121"/>
    <x v="1"/>
    <x v="1"/>
    <s v="Tienda Online"/>
    <x v="4"/>
    <m/>
    <s v="Sin valoración"/>
  </r>
  <r>
    <s v="V000183"/>
    <s v="978-3-99733-432-0"/>
    <s v="Don Quijote de la Mancha"/>
    <s v="Miguel de Cervantes"/>
    <x v="9"/>
    <n v="17.91"/>
    <n v="1791"/>
    <n v="1"/>
    <n v="17.91"/>
    <x v="53"/>
    <x v="2"/>
    <x v="166"/>
    <x v="1"/>
    <x v="1"/>
    <s v="Tienda Online"/>
    <x v="2"/>
    <n v="3"/>
    <n v="3"/>
  </r>
  <r>
    <s v="V000184"/>
    <s v="978-6-86484-508-5"/>
    <s v="Ficciones"/>
    <s v="Jorge Luis Borges"/>
    <x v="9"/>
    <n v="1.49"/>
    <n v="149"/>
    <n v="1"/>
    <n v="1.49"/>
    <x v="28"/>
    <x v="1"/>
    <x v="167"/>
    <x v="1"/>
    <x v="1"/>
    <s v="Tienda Online"/>
    <x v="1"/>
    <n v="5"/>
    <n v="5"/>
  </r>
  <r>
    <s v="V000185"/>
    <s v="978-8-21395-704-6"/>
    <s v="1984"/>
    <s v="George Orwell"/>
    <x v="12"/>
    <n v="1.49"/>
    <n v="149"/>
    <n v="1"/>
    <n v="1.49"/>
    <x v="17"/>
    <x v="2"/>
    <x v="168"/>
    <x v="2"/>
    <x v="1"/>
    <s v="Tienda Online"/>
    <x v="4"/>
    <n v="4"/>
    <n v="4"/>
  </r>
  <r>
    <s v="V000186"/>
    <s v="978-4-93886-804-8"/>
    <s v="Guerra y paz"/>
    <s v="León Tolstói"/>
    <x v="9"/>
    <n v="27.39"/>
    <n v="2739"/>
    <n v="1"/>
    <n v="27.39"/>
    <x v="13"/>
    <x v="1"/>
    <x v="169"/>
    <x v="1"/>
    <x v="1"/>
    <s v="Tienda Online"/>
    <x v="2"/>
    <n v="5"/>
    <n v="5"/>
  </r>
  <r>
    <s v="V000187"/>
    <s v="978-3-31417-573-6"/>
    <s v="Ana Karenina"/>
    <s v="León Tolstói"/>
    <x v="9"/>
    <n v="15.21"/>
    <n v="1521"/>
    <n v="1"/>
    <n v="15.21"/>
    <x v="45"/>
    <x v="3"/>
    <x v="170"/>
    <x v="2"/>
    <x v="1"/>
    <s v="Tienda Online"/>
    <x v="2"/>
    <n v="4"/>
    <n v="4"/>
  </r>
  <r>
    <s v="V000188"/>
    <s v="978-3-84364-180-1"/>
    <s v="21 lecciones para el siglo XXI"/>
    <s v="Yuval Noah Harari"/>
    <x v="15"/>
    <n v="1.99"/>
    <n v="199"/>
    <n v="1"/>
    <n v="1.99"/>
    <x v="53"/>
    <x v="3"/>
    <x v="171"/>
    <x v="2"/>
    <x v="1"/>
    <s v="Tienda Online"/>
    <x v="1"/>
    <n v="5"/>
    <n v="5"/>
  </r>
  <r>
    <s v="V000189"/>
    <s v="978-3-84364-180-1"/>
    <s v="21 lecciones para el siglo XXI"/>
    <s v="Yuval Noah Harari"/>
    <x v="15"/>
    <n v="1.99"/>
    <n v="199"/>
    <n v="1"/>
    <n v="1.99"/>
    <x v="45"/>
    <x v="2"/>
    <x v="172"/>
    <x v="0"/>
    <x v="1"/>
    <s v="Tienda Online"/>
    <x v="3"/>
    <n v="3"/>
    <n v="3"/>
  </r>
  <r>
    <s v="V000190"/>
    <s v="978-9-78522-423-4"/>
    <s v="Maus"/>
    <s v="Art Spiegelman"/>
    <x v="10"/>
    <n v="14.36"/>
    <n v="1436"/>
    <n v="1"/>
    <n v="14.36"/>
    <x v="34"/>
    <x v="0"/>
    <x v="173"/>
    <x v="1"/>
    <x v="1"/>
    <s v="Tienda Online"/>
    <x v="2"/>
    <n v="5"/>
    <n v="5"/>
  </r>
  <r>
    <s v="V000191"/>
    <s v="978-8-44973-887-5"/>
    <s v="Ángeles y demonios"/>
    <s v="Dan Brown"/>
    <x v="1"/>
    <n v="17.75"/>
    <n v="1775"/>
    <n v="2"/>
    <n v="35.5"/>
    <x v="29"/>
    <x v="1"/>
    <x v="174"/>
    <x v="2"/>
    <x v="1"/>
    <s v="Tienda Online"/>
    <x v="3"/>
    <n v="2"/>
    <n v="2"/>
  </r>
  <r>
    <s v="V000192"/>
    <s v="978-0-13905-195-3"/>
    <s v="Rebelión en la granja"/>
    <s v="George Orwell"/>
    <x v="3"/>
    <n v="1.25"/>
    <n v="125"/>
    <n v="2"/>
    <n v="2.5"/>
    <x v="33"/>
    <x v="2"/>
    <x v="175"/>
    <x v="2"/>
    <x v="1"/>
    <s v="Tienda Online"/>
    <x v="2"/>
    <m/>
    <s v="Sin valoración"/>
  </r>
  <r>
    <s v="V000193"/>
    <s v="978-5-85674-296-1"/>
    <s v="Harry Potter y la cámara secreta"/>
    <s v="J.K. Rowling"/>
    <x v="8"/>
    <n v="1.59"/>
    <n v="159"/>
    <n v="1"/>
    <n v="1.59"/>
    <x v="8"/>
    <x v="0"/>
    <x v="176"/>
    <x v="2"/>
    <x v="1"/>
    <s v="Tienda Online"/>
    <x v="0"/>
    <n v="4"/>
    <n v="4"/>
  </r>
  <r>
    <s v="V000194"/>
    <s v="978-6-38893-559-9"/>
    <s v="Dune"/>
    <s v="Frank Herbert"/>
    <x v="12"/>
    <n v="18.32"/>
    <n v="1832"/>
    <n v="1"/>
    <n v="18.32"/>
    <x v="65"/>
    <x v="0"/>
    <x v="177"/>
    <x v="2"/>
    <x v="1"/>
    <s v="Tienda Online"/>
    <x v="0"/>
    <n v="2"/>
    <n v="2"/>
  </r>
  <r>
    <s v="V000195"/>
    <s v="978-1-16630-767-8"/>
    <s v="Los pilares de la Tierra"/>
    <s v="Ken Follett"/>
    <x v="16"/>
    <n v="2.19"/>
    <n v="219"/>
    <n v="1"/>
    <n v="2.19"/>
    <x v="57"/>
    <x v="2"/>
    <x v="47"/>
    <x v="2"/>
    <x v="1"/>
    <s v="Tienda Online"/>
    <x v="2"/>
    <n v="4"/>
    <n v="4"/>
  </r>
  <r>
    <s v="V000196"/>
    <s v="978-4-97684-597-3"/>
    <s v="American Gods"/>
    <s v="Neil Gaiman"/>
    <x v="2"/>
    <n v="1.99"/>
    <n v="199"/>
    <n v="1"/>
    <n v="1.99"/>
    <x v="48"/>
    <x v="1"/>
    <x v="178"/>
    <x v="1"/>
    <x v="1"/>
    <s v="Tienda Online"/>
    <x v="1"/>
    <n v="4"/>
    <n v="4"/>
  </r>
  <r>
    <s v="V000197"/>
    <s v="978-0-51104-158-0"/>
    <s v="Manual de cocina fácil"/>
    <s v="Karlos Arguiñano"/>
    <x v="14"/>
    <n v="19.690000000000001"/>
    <n v="1969"/>
    <n v="2"/>
    <n v="39.380000000000003"/>
    <x v="37"/>
    <x v="0"/>
    <x v="179"/>
    <x v="1"/>
    <x v="1"/>
    <s v="Tienda Online"/>
    <x v="0"/>
    <n v="5"/>
    <n v="5"/>
  </r>
  <r>
    <s v="V000198"/>
    <s v="978-6-34957-196-1"/>
    <s v="El resplandor"/>
    <s v="Stephen King"/>
    <x v="4"/>
    <n v="17.010000000000002"/>
    <n v="1701"/>
    <n v="1"/>
    <n v="17.010000000000002"/>
    <x v="33"/>
    <x v="2"/>
    <x v="180"/>
    <x v="2"/>
    <x v="1"/>
    <s v="Tienda Online"/>
    <x v="1"/>
    <n v="5"/>
    <n v="5"/>
  </r>
  <r>
    <s v="V000199"/>
    <s v="978-1-42591-296-3"/>
    <s v="Frankenstein"/>
    <s v="Mary Shelley"/>
    <x v="4"/>
    <n v="1.19"/>
    <n v="119"/>
    <n v="1"/>
    <n v="1.19"/>
    <x v="22"/>
    <x v="3"/>
    <x v="76"/>
    <x v="0"/>
    <x v="1"/>
    <s v="Tienda Online"/>
    <x v="3"/>
    <n v="5"/>
    <n v="5"/>
  </r>
  <r>
    <s v="V000200"/>
    <s v="978-9-18326-494-6"/>
    <s v="Romancero gitano"/>
    <s v="Federico García Lorca"/>
    <x v="7"/>
    <n v="9.81"/>
    <n v="981"/>
    <n v="1"/>
    <n v="9.81"/>
    <x v="40"/>
    <x v="1"/>
    <x v="181"/>
    <x v="2"/>
    <x v="1"/>
    <s v="Tienda Online"/>
    <x v="1"/>
    <n v="4"/>
    <n v="4"/>
  </r>
  <r>
    <s v="V000201"/>
    <s v="978-3-28131-621-7"/>
    <s v="El Aleph"/>
    <s v="Jorge Luis Borges"/>
    <x v="9"/>
    <n v="1.39"/>
    <n v="139"/>
    <n v="1"/>
    <n v="1.39"/>
    <x v="48"/>
    <x v="2"/>
    <x v="182"/>
    <x v="1"/>
    <x v="0"/>
    <s v="Librería Central Madrid"/>
    <x v="3"/>
    <n v="4"/>
    <n v="4"/>
  </r>
  <r>
    <s v="V000202"/>
    <s v="978-9-51245-317-7"/>
    <s v="La sombra del viento"/>
    <s v="Carlos Ruiz Zafón"/>
    <x v="3"/>
    <n v="16.649999999999999"/>
    <n v="1665"/>
    <n v="1"/>
    <n v="16.649999999999999"/>
    <x v="14"/>
    <x v="2"/>
    <x v="183"/>
    <x v="2"/>
    <x v="1"/>
    <s v="Tienda Online"/>
    <x v="1"/>
    <n v="5"/>
    <n v="5"/>
  </r>
  <r>
    <s v="V000203"/>
    <s v="978-3-76237-716-0"/>
    <s v="Fahrenheit 451"/>
    <s v="Ray Bradbury"/>
    <x v="12"/>
    <n v="11.12"/>
    <n v="1112"/>
    <n v="1"/>
    <n v="11.12"/>
    <x v="40"/>
    <x v="2"/>
    <x v="184"/>
    <x v="2"/>
    <x v="1"/>
    <s v="Tienda Online"/>
    <x v="4"/>
    <n v="1"/>
    <n v="1"/>
  </r>
  <r>
    <s v="V000204"/>
    <s v="978-2-17455-620-1"/>
    <s v="Cosmos"/>
    <s v="Carl Sagan"/>
    <x v="11"/>
    <n v="17.010000000000002"/>
    <n v="1701"/>
    <n v="1"/>
    <n v="17.010000000000002"/>
    <x v="55"/>
    <x v="1"/>
    <x v="185"/>
    <x v="1"/>
    <x v="1"/>
    <s v="Tienda Online"/>
    <x v="4"/>
    <n v="3"/>
    <n v="3"/>
  </r>
  <r>
    <s v="V000205"/>
    <s v="978-2-18981-709-1"/>
    <s v="Una breve historia del tiempo"/>
    <s v="Stephen Hawking"/>
    <x v="11"/>
    <n v="1.69"/>
    <n v="169"/>
    <n v="1"/>
    <n v="1.69"/>
    <x v="66"/>
    <x v="3"/>
    <x v="186"/>
    <x v="2"/>
    <x v="1"/>
    <s v="Tienda Online"/>
    <x v="0"/>
    <n v="3"/>
    <n v="3"/>
  </r>
  <r>
    <s v="V000206"/>
    <s v="978-8-68800-243-6"/>
    <s v="El extranjero"/>
    <s v="Albert Camus"/>
    <x v="9"/>
    <n v="10.32"/>
    <n v="1032"/>
    <n v="1"/>
    <n v="10.32"/>
    <x v="39"/>
    <x v="3"/>
    <x v="187"/>
    <x v="2"/>
    <x v="1"/>
    <s v="Tienda Online"/>
    <x v="4"/>
    <n v="4"/>
    <n v="4"/>
  </r>
  <r>
    <s v="V000207"/>
    <s v="978-4-99593-763-1"/>
    <s v="Crimen y castigo"/>
    <s v="Fiódor Dostoyevski"/>
    <x v="9"/>
    <n v="1.29"/>
    <n v="129"/>
    <n v="1"/>
    <n v="1.29"/>
    <x v="6"/>
    <x v="0"/>
    <x v="31"/>
    <x v="2"/>
    <x v="1"/>
    <s v="Tienda Online"/>
    <x v="4"/>
    <n v="5"/>
    <n v="5"/>
  </r>
  <r>
    <s v="V000208"/>
    <s v="978-7-77839-562-1"/>
    <s v="El principito"/>
    <s v="Antoine de Saint-Exupéry"/>
    <x v="6"/>
    <n v="0.99"/>
    <n v="99"/>
    <n v="1"/>
    <n v="0.99"/>
    <x v="11"/>
    <x v="2"/>
    <x v="188"/>
    <x v="2"/>
    <x v="1"/>
    <s v="Tienda Online"/>
    <x v="2"/>
    <n v="5"/>
    <n v="5"/>
  </r>
  <r>
    <s v="V000209"/>
    <s v="978-0-62772-845-5"/>
    <s v="Drácula"/>
    <s v="Bram Stoker"/>
    <x v="4"/>
    <n v="10.96"/>
    <n v="1096"/>
    <n v="1"/>
    <n v="10.96"/>
    <x v="0"/>
    <x v="3"/>
    <x v="189"/>
    <x v="0"/>
    <x v="0"/>
    <s v="Librería Sevilla Triana"/>
    <x v="0"/>
    <n v="5"/>
    <n v="5"/>
  </r>
  <r>
    <s v="V000210"/>
    <s v="978-9-20745-529-9"/>
    <s v="Watchmen"/>
    <s v="Alan Moore"/>
    <x v="10"/>
    <n v="19.71"/>
    <n v="1971"/>
    <n v="1"/>
    <n v="19.71"/>
    <x v="13"/>
    <x v="0"/>
    <x v="190"/>
    <x v="1"/>
    <x v="1"/>
    <s v="Tienda Online"/>
    <x v="2"/>
    <n v="3"/>
    <n v="3"/>
  </r>
  <r>
    <s v="V000211"/>
    <s v="978-7-19071-878-8"/>
    <s v="El poder del ahora"/>
    <s v="Eckhart Tolle"/>
    <x v="0"/>
    <n v="1.49"/>
    <n v="149"/>
    <n v="2"/>
    <n v="2.98"/>
    <x v="38"/>
    <x v="2"/>
    <x v="83"/>
    <x v="0"/>
    <x v="1"/>
    <s v="Tienda Online"/>
    <x v="1"/>
    <n v="3"/>
    <n v="3"/>
  </r>
  <r>
    <s v="V000212"/>
    <s v="978-8-31643-371-8"/>
    <s v="Hábitos atómicos"/>
    <s v="James Clear"/>
    <x v="0"/>
    <n v="20.79"/>
    <n v="2079"/>
    <n v="1"/>
    <n v="20.79"/>
    <x v="67"/>
    <x v="3"/>
    <x v="191"/>
    <x v="0"/>
    <x v="0"/>
    <s v="Librería Central Madrid"/>
    <x v="3"/>
    <m/>
    <s v="Sin valoración"/>
  </r>
  <r>
    <s v="V000213"/>
    <s v="978-8-36062-833-8"/>
    <s v="Crónicas marcianas"/>
    <s v="Ray Bradbury"/>
    <x v="12"/>
    <n v="16.72"/>
    <n v="1672"/>
    <n v="3"/>
    <n v="50.16"/>
    <x v="66"/>
    <x v="0"/>
    <x v="192"/>
    <x v="1"/>
    <x v="1"/>
    <s v="Tienda Online"/>
    <x v="0"/>
    <n v="5"/>
    <n v="5"/>
  </r>
  <r>
    <s v="V000214"/>
    <s v="978-7-80284-227-6"/>
    <s v="El Señor de los Anillos"/>
    <s v="J.R.R. Tolkien"/>
    <x v="2"/>
    <n v="2.99"/>
    <n v="299"/>
    <n v="1"/>
    <n v="2.99"/>
    <x v="68"/>
    <x v="2"/>
    <x v="193"/>
    <x v="0"/>
    <x v="0"/>
    <s v="Librería Gran Vía"/>
    <x v="3"/>
    <n v="4"/>
    <n v="4"/>
  </r>
  <r>
    <s v="V000215"/>
    <s v="978-6-54597-384-2"/>
    <s v="El temor de un hombre sabio"/>
    <s v="Patrick Rothfuss"/>
    <x v="2"/>
    <n v="22.41"/>
    <n v="2241"/>
    <n v="1"/>
    <n v="22.41"/>
    <x v="53"/>
    <x v="0"/>
    <x v="194"/>
    <x v="0"/>
    <x v="1"/>
    <s v="Tienda Online"/>
    <x v="1"/>
    <n v="5"/>
    <n v="5"/>
  </r>
  <r>
    <s v="V000216"/>
    <s v="978-9-71953-348-7"/>
    <s v="It"/>
    <s v="Stephen King"/>
    <x v="4"/>
    <n v="18.32"/>
    <n v="1832"/>
    <n v="2"/>
    <n v="36.64"/>
    <x v="33"/>
    <x v="1"/>
    <x v="195"/>
    <x v="1"/>
    <x v="1"/>
    <s v="Tienda Online"/>
    <x v="0"/>
    <n v="4"/>
    <n v="4"/>
  </r>
  <r>
    <s v="V000217"/>
    <s v="978-0-13905-195-3"/>
    <s v="Rebelión en la granja"/>
    <s v="George Orwell"/>
    <x v="3"/>
    <n v="13.75"/>
    <n v="1375"/>
    <n v="1"/>
    <n v="13.75"/>
    <x v="33"/>
    <x v="1"/>
    <x v="196"/>
    <x v="2"/>
    <x v="1"/>
    <s v="Tienda Online"/>
    <x v="3"/>
    <n v="5"/>
    <n v="5"/>
  </r>
  <r>
    <s v="V000218"/>
    <s v="978-8-44973-887-5"/>
    <s v="Ángeles y demonios"/>
    <s v="Dan Brown"/>
    <x v="1"/>
    <n v="14.36"/>
    <n v="1436"/>
    <n v="1"/>
    <n v="14.36"/>
    <x v="10"/>
    <x v="0"/>
    <x v="197"/>
    <x v="0"/>
    <x v="0"/>
    <s v="Librería Barcelona Gòtic"/>
    <x v="1"/>
    <n v="5"/>
    <n v="5"/>
  </r>
  <r>
    <s v="V000219"/>
    <s v="978-3-97782-833-5"/>
    <s v="V de Vendetta"/>
    <s v="Alan Moore"/>
    <x v="10"/>
    <n v="1.89"/>
    <n v="189"/>
    <n v="1"/>
    <n v="1.89"/>
    <x v="55"/>
    <x v="0"/>
    <x v="198"/>
    <x v="1"/>
    <x v="1"/>
    <s v="Tienda Online"/>
    <x v="1"/>
    <n v="5"/>
    <n v="5"/>
  </r>
  <r>
    <s v="V000220"/>
    <s v="978-7-19071-878-8"/>
    <s v="El poder del ahora"/>
    <s v="Eckhart Tolle"/>
    <x v="0"/>
    <n v="15.65"/>
    <n v="1565"/>
    <n v="2"/>
    <n v="31.3"/>
    <x v="57"/>
    <x v="3"/>
    <x v="87"/>
    <x v="1"/>
    <x v="0"/>
    <s v="Librería Gran Vía"/>
    <x v="2"/>
    <m/>
    <s v="Sin valoración"/>
  </r>
  <r>
    <s v="V000221"/>
    <s v="978-3-97782-833-5"/>
    <s v="V de Vendetta"/>
    <s v="Alan Moore"/>
    <x v="10"/>
    <n v="20.79"/>
    <n v="2079"/>
    <n v="1"/>
    <n v="20.79"/>
    <x v="48"/>
    <x v="2"/>
    <x v="24"/>
    <x v="0"/>
    <x v="0"/>
    <s v="Librería Barcelona Gòtic"/>
    <x v="3"/>
    <m/>
    <s v="Sin valoración"/>
  </r>
  <r>
    <s v="V000222"/>
    <s v="978-9-71348-641-4"/>
    <s v="Veinte poemas de amor"/>
    <s v="Pablo Neruda"/>
    <x v="7"/>
    <n v="1.04"/>
    <n v="104"/>
    <n v="1"/>
    <n v="1.04"/>
    <x v="65"/>
    <x v="3"/>
    <x v="172"/>
    <x v="1"/>
    <x v="0"/>
    <s v="Librería Valencia Centro"/>
    <x v="4"/>
    <n v="4"/>
    <n v="4"/>
  </r>
  <r>
    <s v="V000223"/>
    <s v="978-9-20745-529-9"/>
    <s v="Watchmen"/>
    <s v="Alan Moore"/>
    <x v="10"/>
    <n v="2.19"/>
    <n v="219"/>
    <n v="1"/>
    <n v="2.19"/>
    <x v="33"/>
    <x v="3"/>
    <x v="199"/>
    <x v="1"/>
    <x v="0"/>
    <s v="Librería Gran Vía"/>
    <x v="1"/>
    <n v="5"/>
    <n v="5"/>
  </r>
  <r>
    <s v="V000224"/>
    <s v="978-4-99593-763-1"/>
    <s v="Crimen y castigo"/>
    <s v="Fiódor Dostoyevski"/>
    <x v="9"/>
    <n v="1.29"/>
    <n v="129"/>
    <n v="1"/>
    <n v="1.29"/>
    <x v="33"/>
    <x v="2"/>
    <x v="200"/>
    <x v="0"/>
    <x v="0"/>
    <s v="Librería Barcelona Gòtic"/>
    <x v="3"/>
    <n v="4"/>
    <n v="4"/>
  </r>
  <r>
    <s v="V000225"/>
    <s v="978-9-38864-107-1"/>
    <s v="James y el melocotón gigante"/>
    <s v="Roald Dahl"/>
    <x v="6"/>
    <n v="1.0900000000000001"/>
    <n v="109"/>
    <n v="1"/>
    <n v="1.0900000000000001"/>
    <x v="11"/>
    <x v="0"/>
    <x v="201"/>
    <x v="1"/>
    <x v="0"/>
    <s v="Librería Barcelona Gòtic"/>
    <x v="3"/>
    <m/>
    <s v="Sin valoración"/>
  </r>
  <r>
    <s v="V000226"/>
    <s v="978-3-30032-482-2"/>
    <s v="Los hombres que no amaban a las mujeres"/>
    <s v="Stieg Larsson"/>
    <x v="1"/>
    <n v="14.32"/>
    <n v="1432"/>
    <n v="1"/>
    <n v="14.32"/>
    <x v="16"/>
    <x v="0"/>
    <x v="195"/>
    <x v="0"/>
    <x v="1"/>
    <s v="Tienda Online"/>
    <x v="3"/>
    <n v="4"/>
    <n v="4"/>
  </r>
  <r>
    <s v="V000227"/>
    <s v="978-8-21395-704-6"/>
    <s v="1984"/>
    <s v="George Orwell"/>
    <x v="12"/>
    <n v="11.92"/>
    <n v="1192"/>
    <n v="1"/>
    <n v="11.92"/>
    <x v="13"/>
    <x v="0"/>
    <x v="81"/>
    <x v="0"/>
    <x v="1"/>
    <s v="Tienda Online"/>
    <x v="2"/>
    <n v="3"/>
    <n v="3"/>
  </r>
  <r>
    <s v="V000228"/>
    <s v="978-3-62923-222-9"/>
    <s v="El gen egoísta"/>
    <s v="Richard Dawkins"/>
    <x v="11"/>
    <n v="1.79"/>
    <n v="179"/>
    <n v="1"/>
    <n v="1.79"/>
    <x v="2"/>
    <x v="3"/>
    <x v="202"/>
    <x v="0"/>
    <x v="0"/>
    <s v="Librería Gran Vía"/>
    <x v="2"/>
    <n v="4"/>
    <n v="4"/>
  </r>
  <r>
    <s v="V000229"/>
    <s v="978-3-62565-160-2"/>
    <s v="El día que se perdió la cordura"/>
    <s v="Javier Castillo"/>
    <x v="1"/>
    <n v="20.79"/>
    <n v="2079"/>
    <n v="1"/>
    <n v="20.79"/>
    <x v="26"/>
    <x v="2"/>
    <x v="203"/>
    <x v="0"/>
    <x v="1"/>
    <s v="Tienda Online"/>
    <x v="1"/>
    <n v="5"/>
    <n v="5"/>
  </r>
  <r>
    <s v="V000230"/>
    <s v="978-0-51104-158-0"/>
    <s v="Manual de cocina fácil"/>
    <s v="Karlos Arguiñano"/>
    <x v="14"/>
    <n v="18.79"/>
    <n v="1879"/>
    <n v="2"/>
    <n v="37.58"/>
    <x v="66"/>
    <x v="0"/>
    <x v="204"/>
    <x v="0"/>
    <x v="1"/>
    <s v="Tienda Online"/>
    <x v="0"/>
    <n v="5"/>
    <n v="5"/>
  </r>
  <r>
    <s v="V000231"/>
    <s v="978-1-42591-296-3"/>
    <s v="Frankenstein"/>
    <s v="Mary Shelley"/>
    <x v="4"/>
    <n v="1.19"/>
    <n v="119"/>
    <n v="1"/>
    <n v="1.19"/>
    <x v="17"/>
    <x v="1"/>
    <x v="205"/>
    <x v="1"/>
    <x v="1"/>
    <s v="Tienda Online"/>
    <x v="4"/>
    <n v="4"/>
    <n v="4"/>
  </r>
  <r>
    <s v="V000232"/>
    <s v="978-2-26828-775-7"/>
    <s v="Los cuatro acuerdos"/>
    <s v="Miguel Ruiz"/>
    <x v="0"/>
    <n v="1.29"/>
    <n v="129"/>
    <n v="1"/>
    <n v="1.29"/>
    <x v="31"/>
    <x v="3"/>
    <x v="206"/>
    <x v="0"/>
    <x v="0"/>
    <s v="Librería Barcelona Gòtic"/>
    <x v="1"/>
    <n v="4"/>
    <n v="4"/>
  </r>
  <r>
    <s v="V000233"/>
    <s v="978-6-94259-569-2"/>
    <s v="El juego del ángel"/>
    <s v="Carlos Ruiz Zafón"/>
    <x v="3"/>
    <n v="16.649999999999999"/>
    <n v="1665"/>
    <n v="1"/>
    <n v="16.649999999999999"/>
    <x v="53"/>
    <x v="1"/>
    <x v="207"/>
    <x v="0"/>
    <x v="0"/>
    <s v="Librería Sevilla Triana"/>
    <x v="3"/>
    <n v="5"/>
    <n v="5"/>
  </r>
  <r>
    <s v="V000234"/>
    <s v="978-1-16175-981-1"/>
    <s v="Pedro Páramo"/>
    <s v="Juan Rulfo"/>
    <x v="9"/>
    <n v="13.55"/>
    <n v="1355"/>
    <n v="1"/>
    <n v="13.55"/>
    <x v="18"/>
    <x v="1"/>
    <x v="208"/>
    <x v="2"/>
    <x v="1"/>
    <s v="Tienda Online"/>
    <x v="1"/>
    <n v="5"/>
    <n v="5"/>
  </r>
  <r>
    <s v="V000235"/>
    <s v="978-0-62772-845-5"/>
    <s v="Drácula"/>
    <s v="Bram Stoker"/>
    <x v="4"/>
    <n v="13.55"/>
    <n v="1355"/>
    <n v="1"/>
    <n v="13.55"/>
    <x v="13"/>
    <x v="3"/>
    <x v="209"/>
    <x v="1"/>
    <x v="1"/>
    <s v="Tienda Online"/>
    <x v="3"/>
    <n v="4"/>
    <n v="4"/>
  </r>
  <r>
    <s v="V000236"/>
    <s v="978-6-46434-564-5"/>
    <s v="En llamas"/>
    <s v="Suzanne Collins"/>
    <x v="8"/>
    <n v="12.66"/>
    <n v="1266"/>
    <n v="2"/>
    <n v="25.32"/>
    <x v="55"/>
    <x v="1"/>
    <x v="210"/>
    <x v="0"/>
    <x v="0"/>
    <s v="Librería Valencia Centro"/>
    <x v="1"/>
    <n v="5"/>
    <n v="5"/>
  </r>
  <r>
    <s v="V000237"/>
    <s v="978-2-18981-709-1"/>
    <s v="Una breve historia del tiempo"/>
    <s v="Stephen Hawking"/>
    <x v="11"/>
    <n v="1.69"/>
    <n v="169"/>
    <n v="1"/>
    <n v="1.69"/>
    <x v="69"/>
    <x v="2"/>
    <x v="211"/>
    <x v="2"/>
    <x v="1"/>
    <s v="Tienda Online"/>
    <x v="3"/>
    <n v="5"/>
    <n v="5"/>
  </r>
  <r>
    <s v="V000238"/>
    <s v="978-0-51104-158-0"/>
    <s v="Manual de cocina fácil"/>
    <s v="Karlos Arguiñano"/>
    <x v="14"/>
    <n v="15.21"/>
    <n v="1521"/>
    <n v="1"/>
    <n v="15.21"/>
    <x v="70"/>
    <x v="2"/>
    <x v="212"/>
    <x v="1"/>
    <x v="1"/>
    <s v="Tienda Online"/>
    <x v="0"/>
    <n v="5"/>
    <n v="5"/>
  </r>
  <r>
    <s v="V000239"/>
    <s v="978-0-22224-871-3"/>
    <s v="Un mundo sin fin"/>
    <s v="Ken Follett"/>
    <x v="16"/>
    <n v="2.29"/>
    <n v="229"/>
    <n v="1"/>
    <n v="2.29"/>
    <x v="8"/>
    <x v="0"/>
    <x v="213"/>
    <x v="0"/>
    <x v="1"/>
    <s v="Tienda Online"/>
    <x v="1"/>
    <n v="5"/>
    <n v="5"/>
  </r>
  <r>
    <s v="V000240"/>
    <s v="978-6-94259-569-2"/>
    <s v="El juego del ángel"/>
    <s v="Carlos Ruiz Zafón"/>
    <x v="3"/>
    <n v="1.85"/>
    <n v="185"/>
    <n v="1"/>
    <n v="1.85"/>
    <x v="48"/>
    <x v="0"/>
    <x v="85"/>
    <x v="0"/>
    <x v="1"/>
    <s v="Tienda Online"/>
    <x v="4"/>
    <m/>
    <s v="Sin valoración"/>
  </r>
  <r>
    <s v="V000241"/>
    <s v="978-3-76237-716-0"/>
    <s v="Fahrenheit 451"/>
    <s v="Ray Bradbury"/>
    <x v="12"/>
    <n v="12.51"/>
    <n v="1251"/>
    <n v="1"/>
    <n v="12.51"/>
    <x v="25"/>
    <x v="3"/>
    <x v="214"/>
    <x v="1"/>
    <x v="1"/>
    <s v="Tienda Online"/>
    <x v="1"/>
    <n v="5"/>
    <n v="5"/>
  </r>
  <r>
    <s v="V000242"/>
    <s v="978-6-45093-167-3"/>
    <s v="Paula"/>
    <s v="Isabel Allende"/>
    <x v="13"/>
    <n v="13.52"/>
    <n v="1352"/>
    <n v="1"/>
    <n v="13.52"/>
    <x v="49"/>
    <x v="3"/>
    <x v="215"/>
    <x v="1"/>
    <x v="0"/>
    <s v="Librería Central Madrid"/>
    <x v="3"/>
    <n v="5"/>
    <n v="5"/>
  </r>
  <r>
    <s v="V000243"/>
    <s v="978-1-13278-859-4"/>
    <s v="Cien años de soledad"/>
    <s v="Gabriel García Márquez"/>
    <x v="3"/>
    <n v="15.12"/>
    <n v="1512"/>
    <n v="1"/>
    <n v="15.12"/>
    <x v="69"/>
    <x v="0"/>
    <x v="216"/>
    <x v="1"/>
    <x v="1"/>
    <s v="Tienda Online"/>
    <x v="2"/>
    <n v="5"/>
    <n v="5"/>
  </r>
  <r>
    <s v="V000244"/>
    <s v="978-6-34957-196-1"/>
    <s v="El resplandor"/>
    <s v="Stephen King"/>
    <x v="4"/>
    <n v="1.89"/>
    <n v="189"/>
    <n v="1"/>
    <n v="1.89"/>
    <x v="34"/>
    <x v="1"/>
    <x v="217"/>
    <x v="0"/>
    <x v="1"/>
    <s v="Tienda Online"/>
    <x v="4"/>
    <m/>
    <s v="Sin valoración"/>
  </r>
  <r>
    <s v="V000245"/>
    <s v="978-0-40007-169-0"/>
    <s v="El Principito ilustrado"/>
    <s v="Antoine de Saint-Exupéry"/>
    <x v="6"/>
    <n v="17.489999999999998"/>
    <n v="1749"/>
    <n v="2"/>
    <n v="34.979999999999997"/>
    <x v="56"/>
    <x v="3"/>
    <x v="76"/>
    <x v="0"/>
    <x v="0"/>
    <s v="Librería Gran Vía"/>
    <x v="2"/>
    <n v="4"/>
    <n v="4"/>
  </r>
  <r>
    <s v="V000246"/>
    <s v="978-8-31643-371-8"/>
    <s v="Hábitos atómicos"/>
    <s v="James Clear"/>
    <x v="0"/>
    <n v="15.12"/>
    <n v="1512"/>
    <n v="1"/>
    <n v="15.12"/>
    <x v="27"/>
    <x v="2"/>
    <x v="218"/>
    <x v="0"/>
    <x v="0"/>
    <s v="Librería Barcelona Gòtic"/>
    <x v="2"/>
    <n v="5"/>
    <n v="5"/>
  </r>
  <r>
    <s v="V000247"/>
    <s v="978-3-99733-432-0"/>
    <s v="Don Quijote de la Mancha"/>
    <s v="Miguel de Cervantes"/>
    <x v="9"/>
    <n v="1.99"/>
    <n v="199"/>
    <n v="1"/>
    <n v="1.99"/>
    <x v="53"/>
    <x v="2"/>
    <x v="4"/>
    <x v="1"/>
    <x v="0"/>
    <s v="Librería Valencia Centro"/>
    <x v="4"/>
    <n v="4"/>
    <n v="4"/>
  </r>
  <r>
    <s v="V000248"/>
    <s v="978-5-50306-345-0"/>
    <s v="Homo Deus"/>
    <s v="Yuval Noah Harari"/>
    <x v="15"/>
    <n v="18.61"/>
    <n v="1861"/>
    <n v="1"/>
    <n v="18.61"/>
    <x v="16"/>
    <x v="3"/>
    <x v="143"/>
    <x v="1"/>
    <x v="1"/>
    <s v="Tienda Online"/>
    <x v="3"/>
    <n v="3"/>
    <n v="3"/>
  </r>
  <r>
    <s v="V000249"/>
    <s v="978-7-77839-562-1"/>
    <s v="El principito"/>
    <s v="Antoine de Saint-Exupéry"/>
    <x v="6"/>
    <n v="10.89"/>
    <n v="1089"/>
    <n v="1"/>
    <n v="10.89"/>
    <x v="9"/>
    <x v="1"/>
    <x v="219"/>
    <x v="0"/>
    <x v="0"/>
    <s v="Librería Valencia Centro"/>
    <x v="0"/>
    <m/>
    <s v="Sin valoración"/>
  </r>
  <r>
    <s v="V000250"/>
    <s v="978-6-56438-533-6"/>
    <s v="Misery"/>
    <s v="Stephen King"/>
    <x v="4"/>
    <n v="1.69"/>
    <n v="169"/>
    <n v="1"/>
    <n v="1.69"/>
    <x v="60"/>
    <x v="0"/>
    <x v="139"/>
    <x v="1"/>
    <x v="1"/>
    <s v="Tienda Online"/>
    <x v="2"/>
    <m/>
    <s v="Sin valoración"/>
  </r>
  <r>
    <s v="V000251"/>
    <s v="978-0-51104-158-0"/>
    <s v="Manual de cocina fácil"/>
    <s v="Karlos Arguiñano"/>
    <x v="14"/>
    <n v="18.79"/>
    <n v="1879"/>
    <n v="1"/>
    <n v="18.79"/>
    <x v="44"/>
    <x v="0"/>
    <x v="4"/>
    <x v="0"/>
    <x v="1"/>
    <s v="Tienda Online"/>
    <x v="2"/>
    <n v="5"/>
    <n v="5"/>
  </r>
  <r>
    <s v="V000252"/>
    <s v="978-8-79514-100-9"/>
    <s v="La chica en la telaraña"/>
    <s v="David Lagercrantz"/>
    <x v="1"/>
    <n v="1.79"/>
    <n v="179"/>
    <n v="1"/>
    <n v="1.79"/>
    <x v="55"/>
    <x v="1"/>
    <x v="51"/>
    <x v="0"/>
    <x v="1"/>
    <s v="Tienda Online"/>
    <x v="2"/>
    <m/>
    <s v="Sin valoración"/>
  </r>
  <r>
    <s v="V000253"/>
    <s v="978-3-99733-432-0"/>
    <s v="Don Quijote de la Mancha"/>
    <s v="Miguel de Cervantes"/>
    <x v="9"/>
    <n v="1.99"/>
    <n v="199"/>
    <n v="1"/>
    <n v="1.99"/>
    <x v="32"/>
    <x v="2"/>
    <x v="143"/>
    <x v="2"/>
    <x v="1"/>
    <s v="Tienda Online"/>
    <x v="0"/>
    <n v="5"/>
    <n v="5"/>
  </r>
  <r>
    <s v="V000254"/>
    <s v="978-5-85674-296-1"/>
    <s v="Harry Potter y la cámara secreta"/>
    <s v="J.K. Rowling"/>
    <x v="8"/>
    <n v="1.59"/>
    <n v="159"/>
    <n v="1"/>
    <n v="1.59"/>
    <x v="61"/>
    <x v="3"/>
    <x v="220"/>
    <x v="0"/>
    <x v="1"/>
    <s v="Tienda Online"/>
    <x v="4"/>
    <n v="4"/>
    <n v="4"/>
  </r>
  <r>
    <s v="V000255"/>
    <s v="978-7-30289-294-4"/>
    <s v="Nada"/>
    <s v="Carmen Laforet"/>
    <x v="9"/>
    <n v="1.39"/>
    <n v="139"/>
    <n v="2"/>
    <n v="2.78"/>
    <x v="14"/>
    <x v="2"/>
    <x v="221"/>
    <x v="2"/>
    <x v="1"/>
    <s v="Tienda Online"/>
    <x v="1"/>
    <n v="2"/>
    <n v="2"/>
  </r>
  <r>
    <s v="V000256"/>
    <s v="978-2-26828-775-7"/>
    <s v="Los cuatro acuerdos"/>
    <s v="Miguel Ruiz"/>
    <x v="0"/>
    <n v="13.55"/>
    <n v="1355"/>
    <n v="2"/>
    <n v="27.1"/>
    <x v="1"/>
    <x v="3"/>
    <x v="222"/>
    <x v="2"/>
    <x v="1"/>
    <s v="Tienda Online"/>
    <x v="3"/>
    <n v="3"/>
    <n v="3"/>
  </r>
  <r>
    <s v="V000257"/>
    <s v="978-4-93886-804-8"/>
    <s v="Guerra y paz"/>
    <s v="León Tolstói"/>
    <x v="9"/>
    <n v="27.39"/>
    <n v="2739"/>
    <n v="1"/>
    <n v="27.39"/>
    <x v="31"/>
    <x v="1"/>
    <x v="223"/>
    <x v="1"/>
    <x v="0"/>
    <s v="Librería Central Madrid"/>
    <x v="3"/>
    <n v="4"/>
    <n v="4"/>
  </r>
  <r>
    <s v="V000258"/>
    <s v="978-3-62923-222-9"/>
    <s v="El gen egoísta"/>
    <s v="Richard Dawkins"/>
    <x v="11"/>
    <n v="1.79"/>
    <n v="179"/>
    <n v="2"/>
    <n v="3.58"/>
    <x v="44"/>
    <x v="1"/>
    <x v="224"/>
    <x v="0"/>
    <x v="1"/>
    <s v="Tienda Online"/>
    <x v="2"/>
    <m/>
    <s v="Sin valoración"/>
  </r>
  <r>
    <s v="V000259"/>
    <s v="978-2-17455-620-1"/>
    <s v="Cosmos"/>
    <s v="Carl Sagan"/>
    <x v="11"/>
    <n v="1.89"/>
    <n v="189"/>
    <n v="1"/>
    <n v="1.89"/>
    <x v="49"/>
    <x v="1"/>
    <x v="225"/>
    <x v="1"/>
    <x v="0"/>
    <s v="Librería Sevilla Triana"/>
    <x v="3"/>
    <n v="4"/>
    <n v="4"/>
  </r>
  <r>
    <s v="V000260"/>
    <s v="978-3-39256-242-1"/>
    <s v="El amor en los tiempos del cólera"/>
    <s v="Gabriel García Márquez"/>
    <x v="3"/>
    <n v="18.38"/>
    <n v="1838"/>
    <n v="1"/>
    <n v="18.38"/>
    <x v="29"/>
    <x v="1"/>
    <x v="226"/>
    <x v="0"/>
    <x v="1"/>
    <s v="Tienda Online"/>
    <x v="3"/>
    <n v="5"/>
    <n v="5"/>
  </r>
  <r>
    <s v="V000261"/>
    <s v="978-7-30289-294-4"/>
    <s v="Nada"/>
    <s v="Carmen Laforet"/>
    <x v="9"/>
    <n v="1.39"/>
    <n v="139"/>
    <n v="1"/>
    <n v="1.39"/>
    <x v="29"/>
    <x v="3"/>
    <x v="227"/>
    <x v="0"/>
    <x v="1"/>
    <s v="Tienda Online"/>
    <x v="0"/>
    <n v="3"/>
    <n v="3"/>
  </r>
  <r>
    <s v="V000262"/>
    <s v="978-1-13278-859-4"/>
    <s v="Cien años de soledad"/>
    <s v="Gabriel García Márquez"/>
    <x v="3"/>
    <n v="1.89"/>
    <n v="189"/>
    <n v="1"/>
    <n v="1.89"/>
    <x v="28"/>
    <x v="0"/>
    <x v="228"/>
    <x v="2"/>
    <x v="1"/>
    <s v="Tienda Online"/>
    <x v="4"/>
    <n v="5"/>
    <n v="5"/>
  </r>
  <r>
    <s v="V000263"/>
    <s v="978-6-22676-467-5"/>
    <s v="Choque de Reyes"/>
    <s v="George R.R. Martin"/>
    <x v="2"/>
    <n v="1.99"/>
    <n v="199"/>
    <n v="1"/>
    <n v="1.99"/>
    <x v="17"/>
    <x v="0"/>
    <x v="229"/>
    <x v="1"/>
    <x v="0"/>
    <s v="Librería Sevilla Triana"/>
    <x v="2"/>
    <n v="4"/>
    <n v="4"/>
  </r>
  <r>
    <s v="V000264"/>
    <s v="978-6-86484-508-5"/>
    <s v="Ficciones"/>
    <s v="Jorge Luis Borges"/>
    <x v="9"/>
    <n v="1.49"/>
    <n v="149"/>
    <n v="1"/>
    <n v="1.49"/>
    <x v="60"/>
    <x v="1"/>
    <x v="230"/>
    <x v="0"/>
    <x v="0"/>
    <s v="Librería Valencia Centro"/>
    <x v="3"/>
    <n v="1"/>
    <n v="1"/>
  </r>
  <r>
    <s v="V000265"/>
    <s v="978-8-11504-796-1"/>
    <s v="El código Da Vinci"/>
    <s v="Dan Brown"/>
    <x v="1"/>
    <n v="1.69"/>
    <n v="169"/>
    <n v="3"/>
    <n v="5.07"/>
    <x v="34"/>
    <x v="1"/>
    <x v="231"/>
    <x v="2"/>
    <x v="1"/>
    <s v="Tienda Online"/>
    <x v="4"/>
    <n v="4"/>
    <n v="4"/>
  </r>
  <r>
    <s v="V000266"/>
    <s v="978-9-38864-107-1"/>
    <s v="James y el melocotón gigante"/>
    <s v="Roald Dahl"/>
    <x v="6"/>
    <n v="1.0900000000000001"/>
    <n v="109"/>
    <n v="1"/>
    <n v="1.0900000000000001"/>
    <x v="56"/>
    <x v="1"/>
    <x v="232"/>
    <x v="1"/>
    <x v="1"/>
    <s v="Tienda Online"/>
    <x v="4"/>
    <n v="4"/>
    <n v="4"/>
  </r>
  <r>
    <s v="V000267"/>
    <s v="978-1-16175-981-1"/>
    <s v="Pedro Páramo"/>
    <s v="Juan Rulfo"/>
    <x v="9"/>
    <n v="11.61"/>
    <n v="1161"/>
    <n v="2"/>
    <n v="23.22"/>
    <x v="50"/>
    <x v="2"/>
    <x v="233"/>
    <x v="2"/>
    <x v="1"/>
    <s v="Tienda Online"/>
    <x v="4"/>
    <n v="5"/>
    <n v="5"/>
  </r>
  <r>
    <s v="V000268"/>
    <s v="978-7-77839-562-1"/>
    <s v="El principito"/>
    <s v="Antoine de Saint-Exupéry"/>
    <x v="6"/>
    <n v="0.99"/>
    <n v="99"/>
    <n v="1"/>
    <n v="0.99"/>
    <x v="52"/>
    <x v="0"/>
    <x v="234"/>
    <x v="0"/>
    <x v="1"/>
    <s v="Tienda Online"/>
    <x v="3"/>
    <n v="4"/>
    <n v="4"/>
  </r>
  <r>
    <s v="V000269"/>
    <s v="978-3-99733-432-0"/>
    <s v="Don Quijote de la Mancha"/>
    <s v="Miguel de Cervantes"/>
    <x v="9"/>
    <n v="1.99"/>
    <n v="199"/>
    <n v="2"/>
    <n v="3.98"/>
    <x v="25"/>
    <x v="0"/>
    <x v="235"/>
    <x v="1"/>
    <x v="1"/>
    <s v="Tienda Online"/>
    <x v="0"/>
    <n v="2"/>
    <n v="2"/>
  </r>
  <r>
    <s v="V000270"/>
    <s v="978-2-46509-573-3"/>
    <s v="La peste"/>
    <s v="Albert Camus"/>
    <x v="9"/>
    <n v="1.49"/>
    <n v="149"/>
    <n v="3"/>
    <n v="4.47"/>
    <x v="30"/>
    <x v="3"/>
    <x v="85"/>
    <x v="1"/>
    <x v="1"/>
    <s v="Tienda Online"/>
    <x v="3"/>
    <n v="4"/>
    <n v="4"/>
  </r>
  <r>
    <s v="V000271"/>
    <s v="978-5-19287-626-3"/>
    <s v="Coraline"/>
    <s v="Neil Gaiman"/>
    <x v="8"/>
    <n v="12.51"/>
    <n v="1251"/>
    <n v="1"/>
    <n v="12.51"/>
    <x v="55"/>
    <x v="0"/>
    <x v="236"/>
    <x v="2"/>
    <x v="1"/>
    <s v="Tienda Online"/>
    <x v="3"/>
    <m/>
    <s v="Sin valoración"/>
  </r>
  <r>
    <s v="V000272"/>
    <s v="978-1-82357-400-9"/>
    <s v="Harry Potter y la piedra filosofal"/>
    <s v="J.K. Rowling"/>
    <x v="8"/>
    <n v="14.31"/>
    <n v="1431"/>
    <n v="2"/>
    <n v="28.62"/>
    <x v="15"/>
    <x v="1"/>
    <x v="237"/>
    <x v="2"/>
    <x v="1"/>
    <s v="Tienda Online"/>
    <x v="4"/>
    <n v="5"/>
    <n v="5"/>
  </r>
  <r>
    <s v="V000273"/>
    <s v="978-7-30289-294-4"/>
    <s v="Nada"/>
    <s v="Carmen Laforet"/>
    <x v="9"/>
    <n v="11.12"/>
    <n v="1112"/>
    <n v="3"/>
    <n v="33.36"/>
    <x v="57"/>
    <x v="1"/>
    <x v="238"/>
    <x v="2"/>
    <x v="1"/>
    <s v="Tienda Online"/>
    <x v="0"/>
    <n v="4"/>
    <n v="4"/>
  </r>
  <r>
    <s v="V000274"/>
    <s v="978-5-74042-119-1"/>
    <s v="Sapiens"/>
    <s v="Yuval Noah Harari"/>
    <x v="15"/>
    <n v="2.19"/>
    <n v="219"/>
    <n v="2"/>
    <n v="4.38"/>
    <x v="68"/>
    <x v="3"/>
    <x v="111"/>
    <x v="1"/>
    <x v="0"/>
    <s v="Librería Barcelona Gòtic"/>
    <x v="4"/>
    <n v="5"/>
    <n v="5"/>
  </r>
  <r>
    <s v="V000275"/>
    <s v="978-6-54597-384-2"/>
    <s v="El temor de un hombre sabio"/>
    <s v="Patrick Rothfuss"/>
    <x v="2"/>
    <n v="26.14"/>
    <n v="2614"/>
    <n v="1"/>
    <n v="26.14"/>
    <x v="37"/>
    <x v="0"/>
    <x v="239"/>
    <x v="0"/>
    <x v="1"/>
    <s v="Tienda Online"/>
    <x v="2"/>
    <n v="5"/>
    <n v="5"/>
  </r>
  <r>
    <s v="V000276"/>
    <s v="978-0-22224-871-3"/>
    <s v="Un mundo sin fin"/>
    <s v="Ken Follett"/>
    <x v="16"/>
    <n v="24.04"/>
    <n v="2404"/>
    <n v="2"/>
    <n v="48.08"/>
    <x v="4"/>
    <x v="1"/>
    <x v="240"/>
    <x v="2"/>
    <x v="1"/>
    <s v="Tienda Online"/>
    <x v="4"/>
    <n v="4"/>
    <n v="4"/>
  </r>
  <r>
    <s v="V000277"/>
    <s v="978-5-19287-626-3"/>
    <s v="Coraline"/>
    <s v="Neil Gaiman"/>
    <x v="8"/>
    <n v="1.39"/>
    <n v="139"/>
    <n v="1"/>
    <n v="1.39"/>
    <x v="61"/>
    <x v="1"/>
    <x v="241"/>
    <x v="1"/>
    <x v="0"/>
    <s v="Librería Valencia Centro"/>
    <x v="0"/>
    <n v="5"/>
    <n v="5"/>
  </r>
  <r>
    <s v="V000278"/>
    <s v="978-1-48469-545-2"/>
    <s v="Origen"/>
    <s v="Dan Brown"/>
    <x v="1"/>
    <n v="1.99"/>
    <n v="199"/>
    <n v="1"/>
    <n v="1.99"/>
    <x v="2"/>
    <x v="0"/>
    <x v="242"/>
    <x v="1"/>
    <x v="0"/>
    <s v="Librería Valencia Centro"/>
    <x v="0"/>
    <n v="5"/>
    <n v="5"/>
  </r>
  <r>
    <s v="V000279"/>
    <s v="978-6-94259-569-2"/>
    <s v="El juego del ángel"/>
    <s v="Carlos Ruiz Zafón"/>
    <x v="3"/>
    <n v="20.350000000000001"/>
    <n v="2035"/>
    <n v="1"/>
    <n v="20.350000000000001"/>
    <x v="3"/>
    <x v="3"/>
    <x v="243"/>
    <x v="2"/>
    <x v="1"/>
    <s v="Tienda Online"/>
    <x v="0"/>
    <n v="4"/>
    <n v="4"/>
  </r>
  <r>
    <s v="V000280"/>
    <s v="978-9-18326-494-6"/>
    <s v="Romancero gitano"/>
    <s v="Federico García Lorca"/>
    <x v="7"/>
    <n v="9.27"/>
    <n v="927"/>
    <n v="1"/>
    <n v="9.27"/>
    <x v="34"/>
    <x v="0"/>
    <x v="244"/>
    <x v="1"/>
    <x v="1"/>
    <s v="Tienda Online"/>
    <x v="4"/>
    <m/>
    <s v="Sin valoración"/>
  </r>
  <r>
    <s v="V000281"/>
    <s v="978-0-96673-333-4"/>
    <s v="Harry Potter y el prisionero de Azkaban"/>
    <s v="J.K. Rowling"/>
    <x v="8"/>
    <n v="1.69"/>
    <n v="169"/>
    <n v="1"/>
    <n v="1.69"/>
    <x v="8"/>
    <x v="2"/>
    <x v="245"/>
    <x v="2"/>
    <x v="1"/>
    <s v="Tienda Online"/>
    <x v="4"/>
    <n v="5"/>
    <n v="5"/>
  </r>
  <r>
    <s v="V000282"/>
    <s v="978-8-21395-704-6"/>
    <s v="1984"/>
    <s v="George Orwell"/>
    <x v="12"/>
    <n v="12.66"/>
    <n v="1266"/>
    <n v="1"/>
    <n v="12.66"/>
    <x v="19"/>
    <x v="2"/>
    <x v="246"/>
    <x v="1"/>
    <x v="1"/>
    <s v="Tienda Online"/>
    <x v="3"/>
    <n v="5"/>
    <n v="5"/>
  </r>
  <r>
    <s v="V000283"/>
    <s v="978-2-17455-620-1"/>
    <s v="Cosmos"/>
    <s v="Carl Sagan"/>
    <x v="11"/>
    <n v="20.79"/>
    <n v="2079"/>
    <n v="1"/>
    <n v="20.79"/>
    <x v="31"/>
    <x v="2"/>
    <x v="247"/>
    <x v="2"/>
    <x v="1"/>
    <s v="Tienda Online"/>
    <x v="4"/>
    <n v="5"/>
    <n v="5"/>
  </r>
  <r>
    <s v="V000284"/>
    <s v="978-3-62565-160-2"/>
    <s v="El día que se perdió la cordura"/>
    <s v="Javier Castillo"/>
    <x v="1"/>
    <n v="17.010000000000002"/>
    <n v="1701"/>
    <n v="1"/>
    <n v="17.010000000000002"/>
    <x v="36"/>
    <x v="2"/>
    <x v="248"/>
    <x v="2"/>
    <x v="1"/>
    <s v="Tienda Online"/>
    <x v="0"/>
    <n v="4"/>
    <n v="4"/>
  </r>
  <r>
    <s v="V000285"/>
    <s v="978-9-18326-494-6"/>
    <s v="Romancero gitano"/>
    <s v="Federico García Lorca"/>
    <x v="7"/>
    <n v="11.45"/>
    <n v="1145"/>
    <n v="1"/>
    <n v="11.45"/>
    <x v="36"/>
    <x v="2"/>
    <x v="249"/>
    <x v="1"/>
    <x v="0"/>
    <s v="Librería Sevilla Triana"/>
    <x v="4"/>
    <m/>
    <s v="Sin valoración"/>
  </r>
  <r>
    <s v="V000286"/>
    <s v="978-3-76237-716-0"/>
    <s v="Fahrenheit 451"/>
    <s v="Ray Bradbury"/>
    <x v="12"/>
    <n v="12.51"/>
    <n v="1251"/>
    <n v="1"/>
    <n v="12.51"/>
    <x v="23"/>
    <x v="2"/>
    <x v="250"/>
    <x v="2"/>
    <x v="1"/>
    <s v="Tienda Online"/>
    <x v="2"/>
    <n v="4"/>
    <n v="4"/>
  </r>
  <r>
    <s v="V000287"/>
    <s v="978-7-77839-562-1"/>
    <s v="El principito"/>
    <s v="Antoine de Saint-Exupéry"/>
    <x v="6"/>
    <n v="0.99"/>
    <n v="99"/>
    <n v="1"/>
    <n v="0.99"/>
    <x v="62"/>
    <x v="2"/>
    <x v="251"/>
    <x v="1"/>
    <x v="1"/>
    <s v="Tienda Online"/>
    <x v="4"/>
    <n v="5"/>
    <n v="5"/>
  </r>
  <r>
    <s v="V000288"/>
    <s v="978-5-50306-345-0"/>
    <s v="Homo Deus"/>
    <s v="Yuval Noah Harari"/>
    <x v="15"/>
    <n v="2.2999999999999998"/>
    <n v="230"/>
    <n v="4"/>
    <n v="9.1999999999999993"/>
    <x v="36"/>
    <x v="0"/>
    <x v="252"/>
    <x v="1"/>
    <x v="1"/>
    <s v="Tienda Online"/>
    <x v="0"/>
    <n v="5"/>
    <n v="5"/>
  </r>
  <r>
    <s v="V000289"/>
    <s v="978-4-99593-763-1"/>
    <s v="Crimen y castigo"/>
    <s v="Fiódor Dostoyevski"/>
    <x v="9"/>
    <n v="13.55"/>
    <n v="1355"/>
    <n v="1"/>
    <n v="13.55"/>
    <x v="44"/>
    <x v="1"/>
    <x v="89"/>
    <x v="1"/>
    <x v="0"/>
    <s v="Librería Sevilla Triana"/>
    <x v="1"/>
    <n v="3"/>
    <n v="3"/>
  </r>
  <r>
    <s v="V000290"/>
    <s v="978-3-30032-482-2"/>
    <s v="Los hombres que no amaban a las mujeres"/>
    <s v="Stieg Larsson"/>
    <x v="1"/>
    <n v="1.79"/>
    <n v="179"/>
    <n v="2"/>
    <n v="3.58"/>
    <x v="37"/>
    <x v="3"/>
    <x v="253"/>
    <x v="2"/>
    <x v="1"/>
    <s v="Tienda Online"/>
    <x v="4"/>
    <n v="5"/>
    <n v="5"/>
  </r>
  <r>
    <s v="V000291"/>
    <s v="978-3-76237-716-0"/>
    <s v="Fahrenheit 451"/>
    <s v="Ray Bradbury"/>
    <x v="12"/>
    <n v="15.29"/>
    <n v="1529"/>
    <n v="1"/>
    <n v="15.29"/>
    <x v="40"/>
    <x v="1"/>
    <x v="114"/>
    <x v="2"/>
    <x v="1"/>
    <s v="Tienda Online"/>
    <x v="2"/>
    <m/>
    <s v="Sin valoración"/>
  </r>
  <r>
    <s v="V000292"/>
    <s v="978-3-31417-573-6"/>
    <s v="Ana Karenina"/>
    <s v="León Tolstói"/>
    <x v="9"/>
    <n v="15.21"/>
    <n v="1521"/>
    <n v="1"/>
    <n v="15.21"/>
    <x v="42"/>
    <x v="3"/>
    <x v="254"/>
    <x v="0"/>
    <x v="1"/>
    <s v="Tienda Online"/>
    <x v="4"/>
    <n v="5"/>
    <n v="5"/>
  </r>
  <r>
    <s v="V000293"/>
    <s v="978-4-93748-619-9"/>
    <s v="Perdida"/>
    <s v="Gillian Flynn"/>
    <x v="1"/>
    <n v="1.65"/>
    <n v="165"/>
    <n v="3"/>
    <n v="4.9499999999999993"/>
    <x v="60"/>
    <x v="0"/>
    <x v="42"/>
    <x v="2"/>
    <x v="1"/>
    <s v="Tienda Online"/>
    <x v="1"/>
    <n v="4"/>
    <n v="4"/>
  </r>
  <r>
    <s v="V000294"/>
    <s v="978-8-44438-864-9"/>
    <s v="Rayuela"/>
    <s v="Julio Cortázar"/>
    <x v="9"/>
    <n v="1.69"/>
    <n v="169"/>
    <n v="1"/>
    <n v="1.69"/>
    <x v="29"/>
    <x v="2"/>
    <x v="255"/>
    <x v="0"/>
    <x v="0"/>
    <s v="Librería Sevilla Triana"/>
    <x v="4"/>
    <n v="3"/>
    <n v="3"/>
  </r>
  <r>
    <s v="V000295"/>
    <s v="978-6-86484-508-5"/>
    <s v="Ficciones"/>
    <s v="Jorge Luis Borges"/>
    <x v="9"/>
    <n v="16.39"/>
    <n v="1639"/>
    <n v="1"/>
    <n v="16.39"/>
    <x v="66"/>
    <x v="1"/>
    <x v="245"/>
    <x v="0"/>
    <x v="1"/>
    <s v="Tienda Online"/>
    <x v="2"/>
    <n v="4"/>
    <n v="4"/>
  </r>
  <r>
    <s v="V000296"/>
    <s v="978-9-65461-316-8"/>
    <s v="Padre rico, padre pobre"/>
    <s v="Robert Kiyosaki"/>
    <x v="5"/>
    <n v="1.69"/>
    <n v="169"/>
    <n v="1"/>
    <n v="1.69"/>
    <x v="10"/>
    <x v="3"/>
    <x v="256"/>
    <x v="1"/>
    <x v="0"/>
    <s v="Librería Central Madrid"/>
    <x v="4"/>
    <n v="4"/>
    <n v="4"/>
  </r>
  <r>
    <s v="V000297"/>
    <s v="978-1-16630-767-8"/>
    <s v="Los pilares de la Tierra"/>
    <s v="Ken Follett"/>
    <x v="16"/>
    <n v="2.19"/>
    <n v="219"/>
    <n v="1"/>
    <n v="2.19"/>
    <x v="38"/>
    <x v="3"/>
    <x v="257"/>
    <x v="1"/>
    <x v="0"/>
    <s v="Librería Sevilla Triana"/>
    <x v="2"/>
    <n v="5"/>
    <n v="5"/>
  </r>
  <r>
    <s v="V000298"/>
    <s v="978-8-27342-840-9"/>
    <s v="Stardust"/>
    <s v="Neil Gaiman"/>
    <x v="2"/>
    <n v="1.59"/>
    <n v="159"/>
    <n v="1"/>
    <n v="1.59"/>
    <x v="34"/>
    <x v="3"/>
    <x v="258"/>
    <x v="1"/>
    <x v="0"/>
    <s v="Librería Valencia Centro"/>
    <x v="2"/>
    <n v="4"/>
    <n v="4"/>
  </r>
  <r>
    <s v="V000299"/>
    <s v="978-1-13278-859-4"/>
    <s v="Cien años de soledad"/>
    <s v="Gabriel García Márquez"/>
    <x v="3"/>
    <n v="1.89"/>
    <n v="189"/>
    <n v="1"/>
    <n v="1.89"/>
    <x v="46"/>
    <x v="3"/>
    <x v="259"/>
    <x v="2"/>
    <x v="1"/>
    <s v="Tienda Online"/>
    <x v="1"/>
    <n v="5"/>
    <n v="5"/>
  </r>
  <r>
    <s v="V000300"/>
    <s v="978-6-46434-564-5"/>
    <s v="En llamas"/>
    <s v="Suzanne Collins"/>
    <x v="8"/>
    <n v="15.65"/>
    <n v="1565"/>
    <n v="1"/>
    <n v="15.65"/>
    <x v="64"/>
    <x v="1"/>
    <x v="2"/>
    <x v="2"/>
    <x v="1"/>
    <s v="Tienda Online"/>
    <x v="2"/>
    <n v="5"/>
    <n v="5"/>
  </r>
  <r>
    <s v="V000301"/>
    <s v="978-6-10282-499-4"/>
    <s v="Patria"/>
    <s v="Fernando Aramburu"/>
    <x v="3"/>
    <n v="20.89"/>
    <n v="2089"/>
    <n v="2"/>
    <n v="41.78"/>
    <x v="12"/>
    <x v="3"/>
    <x v="260"/>
    <x v="0"/>
    <x v="1"/>
    <s v="Tienda Online"/>
    <x v="0"/>
    <m/>
    <s v="Sin valoración"/>
  </r>
  <r>
    <s v="V000302"/>
    <s v="978-6-38893-559-9"/>
    <s v="Dune"/>
    <s v="Frank Herbert"/>
    <x v="12"/>
    <n v="2.29"/>
    <n v="229"/>
    <n v="2"/>
    <n v="4.58"/>
    <x v="44"/>
    <x v="2"/>
    <x v="190"/>
    <x v="1"/>
    <x v="1"/>
    <s v="Tienda Online"/>
    <x v="4"/>
    <n v="5"/>
    <n v="5"/>
  </r>
  <r>
    <s v="V000303"/>
    <s v="978-7-30289-294-4"/>
    <s v="Nada"/>
    <s v="Carmen Laforet"/>
    <x v="9"/>
    <n v="1.39"/>
    <n v="139"/>
    <n v="1"/>
    <n v="1.39"/>
    <x v="64"/>
    <x v="0"/>
    <x v="9"/>
    <x v="1"/>
    <x v="0"/>
    <s v="Librería Gran Vía"/>
    <x v="4"/>
    <n v="5"/>
    <n v="5"/>
  </r>
  <r>
    <s v="V000304"/>
    <s v="978-3-28131-621-7"/>
    <s v="El Aleph"/>
    <s v="Jorge Luis Borges"/>
    <x v="9"/>
    <n v="15.29"/>
    <n v="1529"/>
    <n v="2"/>
    <n v="30.58"/>
    <x v="38"/>
    <x v="0"/>
    <x v="101"/>
    <x v="2"/>
    <x v="1"/>
    <s v="Tienda Online"/>
    <x v="2"/>
    <n v="4"/>
    <n v="4"/>
  </r>
  <r>
    <s v="V000305"/>
    <s v="978-9-18326-494-6"/>
    <s v="Romancero gitano"/>
    <s v="Federico García Lorca"/>
    <x v="7"/>
    <n v="8.7200000000000006"/>
    <n v="872"/>
    <n v="1"/>
    <n v="8.7200000000000006"/>
    <x v="32"/>
    <x v="1"/>
    <x v="261"/>
    <x v="0"/>
    <x v="0"/>
    <s v="Librería Barcelona Gòtic"/>
    <x v="2"/>
    <n v="5"/>
    <n v="5"/>
  </r>
  <r>
    <s v="V000306"/>
    <s v="978-8-44973-887-5"/>
    <s v="Ángeles y demonios"/>
    <s v="Dan Brown"/>
    <x v="1"/>
    <n v="1.69"/>
    <n v="169"/>
    <n v="1"/>
    <n v="1.69"/>
    <x v="39"/>
    <x v="1"/>
    <x v="203"/>
    <x v="0"/>
    <x v="0"/>
    <s v="Librería Valencia Centro"/>
    <x v="4"/>
    <n v="2"/>
    <n v="2"/>
  </r>
  <r>
    <s v="V000307"/>
    <s v="978-4-93748-619-9"/>
    <s v="Perdida"/>
    <s v="Gillian Flynn"/>
    <x v="1"/>
    <n v="14.03"/>
    <n v="1403"/>
    <n v="1"/>
    <n v="14.03"/>
    <x v="2"/>
    <x v="3"/>
    <x v="262"/>
    <x v="1"/>
    <x v="0"/>
    <s v="Librería Valencia Centro"/>
    <x v="1"/>
    <n v="4"/>
    <n v="4"/>
  </r>
  <r>
    <s v="V000308"/>
    <s v="978-6-45093-167-3"/>
    <s v="Paula"/>
    <s v="Isabel Allende"/>
    <x v="13"/>
    <n v="1.59"/>
    <n v="159"/>
    <n v="1"/>
    <n v="1.59"/>
    <x v="49"/>
    <x v="2"/>
    <x v="93"/>
    <x v="1"/>
    <x v="0"/>
    <s v="Librería Gran Vía"/>
    <x v="0"/>
    <m/>
    <s v="Sin valoración"/>
  </r>
  <r>
    <s v="V000309"/>
    <s v="978-9-38864-107-1"/>
    <s v="James y el melocotón gigante"/>
    <s v="Roald Dahl"/>
    <x v="6"/>
    <n v="1.0900000000000001"/>
    <n v="109"/>
    <n v="2"/>
    <n v="2.1800000000000002"/>
    <x v="62"/>
    <x v="2"/>
    <x v="263"/>
    <x v="1"/>
    <x v="0"/>
    <s v="Librería Barcelona Gòtic"/>
    <x v="0"/>
    <n v="5"/>
    <n v="5"/>
  </r>
  <r>
    <s v="V000310"/>
    <s v="978-5-85674-296-1"/>
    <s v="Harry Potter y la cámara secreta"/>
    <s v="J.K. Rowling"/>
    <x v="8"/>
    <n v="1.59"/>
    <n v="159"/>
    <n v="1"/>
    <n v="1.59"/>
    <x v="60"/>
    <x v="3"/>
    <x v="264"/>
    <x v="2"/>
    <x v="1"/>
    <s v="Tienda Online"/>
    <x v="4"/>
    <n v="5"/>
    <n v="5"/>
  </r>
  <r>
    <s v="V000311"/>
    <s v="978-0-13905-195-3"/>
    <s v="Rebelión en la granja"/>
    <s v="George Orwell"/>
    <x v="3"/>
    <n v="13.75"/>
    <n v="1375"/>
    <n v="4"/>
    <n v="55"/>
    <x v="6"/>
    <x v="0"/>
    <x v="265"/>
    <x v="1"/>
    <x v="0"/>
    <s v="Librería Barcelona Gòtic"/>
    <x v="2"/>
    <n v="4"/>
    <n v="4"/>
  </r>
  <r>
    <s v="V000312"/>
    <s v="978-6-10282-499-4"/>
    <s v="Patria"/>
    <s v="Fernando Aramburu"/>
    <x v="3"/>
    <n v="1.99"/>
    <n v="199"/>
    <n v="1"/>
    <n v="1.99"/>
    <x v="3"/>
    <x v="0"/>
    <x v="266"/>
    <x v="2"/>
    <x v="1"/>
    <s v="Tienda Online"/>
    <x v="4"/>
    <n v="2"/>
    <n v="2"/>
  </r>
  <r>
    <s v="V000313"/>
    <s v="978-2-26828-775-7"/>
    <s v="Los cuatro acuerdos"/>
    <s v="Miguel Ruiz"/>
    <x v="0"/>
    <n v="13.55"/>
    <n v="1355"/>
    <n v="2"/>
    <n v="27.1"/>
    <x v="16"/>
    <x v="2"/>
    <x v="267"/>
    <x v="0"/>
    <x v="0"/>
    <s v="Librería Sevilla Triana"/>
    <x v="2"/>
    <n v="5"/>
    <n v="5"/>
  </r>
  <r>
    <s v="V000314"/>
    <s v="978-9-44671-926-0"/>
    <s v="El Hobbit"/>
    <s v="J.R.R. Tolkien"/>
    <x v="2"/>
    <n v="1.69"/>
    <n v="169"/>
    <n v="1"/>
    <n v="1.69"/>
    <x v="54"/>
    <x v="1"/>
    <x v="268"/>
    <x v="1"/>
    <x v="1"/>
    <s v="Tienda Online"/>
    <x v="0"/>
    <n v="4"/>
    <n v="4"/>
  </r>
  <r>
    <s v="V000315"/>
    <s v="978-5-74042-119-1"/>
    <s v="Sapiens"/>
    <s v="Yuval Noah Harari"/>
    <x v="15"/>
    <n v="2.19"/>
    <n v="219"/>
    <n v="2"/>
    <n v="4.38"/>
    <x v="68"/>
    <x v="2"/>
    <x v="269"/>
    <x v="0"/>
    <x v="1"/>
    <s v="Tienda Online"/>
    <x v="3"/>
    <n v="5"/>
    <n v="5"/>
  </r>
  <r>
    <s v="V000316"/>
    <s v="978-6-46434-564-5"/>
    <s v="En llamas"/>
    <s v="Suzanne Collins"/>
    <x v="8"/>
    <n v="1.49"/>
    <n v="149"/>
    <n v="2"/>
    <n v="2.98"/>
    <x v="8"/>
    <x v="1"/>
    <x v="270"/>
    <x v="2"/>
    <x v="1"/>
    <s v="Tienda Online"/>
    <x v="3"/>
    <n v="4"/>
    <n v="4"/>
  </r>
  <r>
    <s v="V000317"/>
    <s v="978-6-45093-167-3"/>
    <s v="Paula"/>
    <s v="Isabel Allende"/>
    <x v="13"/>
    <n v="1.59"/>
    <n v="159"/>
    <n v="1"/>
    <n v="1.59"/>
    <x v="12"/>
    <x v="0"/>
    <x v="271"/>
    <x v="2"/>
    <x v="1"/>
    <s v="Tienda Online"/>
    <x v="1"/>
    <n v="5"/>
    <n v="5"/>
  </r>
  <r>
    <s v="V000318"/>
    <s v="978-3-31417-573-6"/>
    <s v="Ana Karenina"/>
    <s v="León Tolstói"/>
    <x v="9"/>
    <n v="17.75"/>
    <n v="1775"/>
    <n v="1"/>
    <n v="17.75"/>
    <x v="37"/>
    <x v="2"/>
    <x v="272"/>
    <x v="2"/>
    <x v="1"/>
    <s v="Tienda Online"/>
    <x v="2"/>
    <n v="5"/>
    <n v="5"/>
  </r>
  <r>
    <s v="V000319"/>
    <s v="978-9-44671-926-0"/>
    <s v="El Hobbit"/>
    <s v="J.R.R. Tolkien"/>
    <x v="2"/>
    <n v="13.52"/>
    <n v="1352"/>
    <n v="1"/>
    <n v="13.52"/>
    <x v="23"/>
    <x v="3"/>
    <x v="273"/>
    <x v="2"/>
    <x v="1"/>
    <s v="Tienda Online"/>
    <x v="0"/>
    <n v="3"/>
    <n v="3"/>
  </r>
  <r>
    <s v="V000320"/>
    <s v="978-8-44973-887-5"/>
    <s v="Ángeles y demonios"/>
    <s v="Dan Brown"/>
    <x v="1"/>
    <n v="13.52"/>
    <n v="1352"/>
    <n v="1"/>
    <n v="13.52"/>
    <x v="39"/>
    <x v="3"/>
    <x v="274"/>
    <x v="2"/>
    <x v="1"/>
    <s v="Tienda Online"/>
    <x v="2"/>
    <m/>
    <s v="Sin valoración"/>
  </r>
  <r>
    <s v="V000321"/>
    <s v="978-9-20745-529-9"/>
    <s v="Watchmen"/>
    <s v="Alan Moore"/>
    <x v="10"/>
    <n v="18.61"/>
    <n v="1861"/>
    <n v="1"/>
    <n v="18.61"/>
    <x v="36"/>
    <x v="0"/>
    <x v="208"/>
    <x v="2"/>
    <x v="1"/>
    <s v="Tienda Online"/>
    <x v="1"/>
    <n v="4"/>
    <n v="4"/>
  </r>
  <r>
    <s v="V000322"/>
    <s v="978-3-54118-204-1"/>
    <s v="Juego de Tronos"/>
    <s v="George R.R. Martin"/>
    <x v="2"/>
    <n v="17.91"/>
    <n v="1791"/>
    <n v="1"/>
    <n v="17.91"/>
    <x v="40"/>
    <x v="1"/>
    <x v="275"/>
    <x v="2"/>
    <x v="1"/>
    <s v="Tienda Online"/>
    <x v="3"/>
    <n v="4"/>
    <n v="4"/>
  </r>
  <r>
    <s v="V000323"/>
    <s v="978-2-46509-573-3"/>
    <s v="La peste"/>
    <s v="Albert Camus"/>
    <x v="9"/>
    <n v="1.49"/>
    <n v="149"/>
    <n v="1"/>
    <n v="1.49"/>
    <x v="69"/>
    <x v="2"/>
    <x v="276"/>
    <x v="1"/>
    <x v="1"/>
    <s v="Tienda Online"/>
    <x v="3"/>
    <n v="4"/>
    <n v="4"/>
  </r>
  <r>
    <s v="V000324"/>
    <s v="978-3-62565-160-2"/>
    <s v="El día que se perdió la cordura"/>
    <s v="Javier Castillo"/>
    <x v="1"/>
    <n v="20.79"/>
    <n v="2079"/>
    <n v="1"/>
    <n v="20.79"/>
    <x v="31"/>
    <x v="2"/>
    <x v="143"/>
    <x v="2"/>
    <x v="1"/>
    <s v="Tienda Online"/>
    <x v="4"/>
    <n v="2"/>
    <n v="2"/>
  </r>
  <r>
    <s v="V000325"/>
    <s v="978-3-28131-621-7"/>
    <s v="El Aleph"/>
    <s v="Jorge Luis Borges"/>
    <x v="9"/>
    <n v="15.29"/>
    <n v="1529"/>
    <n v="2"/>
    <n v="30.58"/>
    <x v="68"/>
    <x v="0"/>
    <x v="277"/>
    <x v="1"/>
    <x v="1"/>
    <s v="Tienda Online"/>
    <x v="4"/>
    <n v="5"/>
    <n v="5"/>
  </r>
  <r>
    <s v="V000326"/>
    <s v="978-8-79514-100-9"/>
    <s v="La chica en la telaraña"/>
    <s v="David Lagercrantz"/>
    <x v="1"/>
    <n v="15.21"/>
    <n v="1521"/>
    <n v="1"/>
    <n v="15.21"/>
    <x v="57"/>
    <x v="3"/>
    <x v="70"/>
    <x v="1"/>
    <x v="0"/>
    <s v="Librería Barcelona Gòtic"/>
    <x v="3"/>
    <n v="5"/>
    <n v="5"/>
  </r>
  <r>
    <s v="V000327"/>
    <s v="978-1-48469-545-2"/>
    <s v="Origen"/>
    <s v="Dan Brown"/>
    <x v="1"/>
    <n v="17.91"/>
    <n v="1791"/>
    <n v="1"/>
    <n v="17.91"/>
    <x v="32"/>
    <x v="3"/>
    <x v="113"/>
    <x v="1"/>
    <x v="0"/>
    <s v="Librería Central Madrid"/>
    <x v="4"/>
    <n v="4"/>
    <n v="4"/>
  </r>
  <r>
    <s v="V000328"/>
    <s v="978-9-38864-107-1"/>
    <s v="James y el melocotón gigante"/>
    <s v="Roald Dahl"/>
    <x v="6"/>
    <n v="1.0900000000000001"/>
    <n v="109"/>
    <n v="1"/>
    <n v="1.0900000000000001"/>
    <x v="58"/>
    <x v="1"/>
    <x v="278"/>
    <x v="2"/>
    <x v="1"/>
    <s v="Tienda Online"/>
    <x v="1"/>
    <n v="5"/>
    <n v="5"/>
  </r>
  <r>
    <s v="V000329"/>
    <s v="978-4-28301-352-8"/>
    <s v="El prisionero del cielo"/>
    <s v="Carlos Ruiz Zafón"/>
    <x v="3"/>
    <n v="1.79"/>
    <n v="179"/>
    <n v="1"/>
    <n v="1.79"/>
    <x v="33"/>
    <x v="0"/>
    <x v="279"/>
    <x v="1"/>
    <x v="1"/>
    <s v="Tienda Online"/>
    <x v="0"/>
    <n v="5"/>
    <n v="5"/>
  </r>
  <r>
    <s v="V000330"/>
    <s v="978-3-50857-508-5"/>
    <s v="Piense y hágase rico"/>
    <s v="Napoleon Hill"/>
    <x v="5"/>
    <n v="15.29"/>
    <n v="1529"/>
    <n v="3"/>
    <n v="45.87"/>
    <x v="70"/>
    <x v="3"/>
    <x v="22"/>
    <x v="0"/>
    <x v="0"/>
    <s v="Librería Valencia Centro"/>
    <x v="2"/>
    <n v="5"/>
    <n v="5"/>
  </r>
  <r>
    <s v="V000331"/>
    <s v="978-6-38893-559-9"/>
    <s v="Dune"/>
    <s v="Frank Herbert"/>
    <x v="12"/>
    <n v="19.46"/>
    <n v="1946"/>
    <n v="1"/>
    <n v="19.46"/>
    <x v="35"/>
    <x v="3"/>
    <x v="243"/>
    <x v="0"/>
    <x v="0"/>
    <s v="Librería Central Madrid"/>
    <x v="2"/>
    <n v="4"/>
    <n v="4"/>
  </r>
  <r>
    <s v="V000332"/>
    <s v="978-4-93886-804-8"/>
    <s v="Guerra y paz"/>
    <s v="León Tolstói"/>
    <x v="9"/>
    <n v="19.920000000000002"/>
    <n v="1992"/>
    <n v="1"/>
    <n v="19.920000000000002"/>
    <x v="18"/>
    <x v="2"/>
    <x v="280"/>
    <x v="1"/>
    <x v="0"/>
    <s v="Librería Valencia Centro"/>
    <x v="4"/>
    <n v="5"/>
    <n v="5"/>
  </r>
  <r>
    <s v="V000333"/>
    <s v="978-1-68082-927-8"/>
    <s v="Náuseas"/>
    <s v="Jean-Paul Sartre"/>
    <x v="9"/>
    <n v="1.39"/>
    <n v="139"/>
    <n v="1"/>
    <n v="1.39"/>
    <x v="17"/>
    <x v="3"/>
    <x v="281"/>
    <x v="1"/>
    <x v="0"/>
    <s v="Librería Valencia Centro"/>
    <x v="0"/>
    <n v="4"/>
    <n v="4"/>
  </r>
  <r>
    <s v="V000334"/>
    <s v="978-1-16630-767-8"/>
    <s v="Los pilares de la Tierra"/>
    <s v="Ken Follett"/>
    <x v="16"/>
    <n v="2.19"/>
    <n v="219"/>
    <n v="3"/>
    <n v="6.57"/>
    <x v="59"/>
    <x v="0"/>
    <x v="32"/>
    <x v="2"/>
    <x v="1"/>
    <s v="Tienda Online"/>
    <x v="0"/>
    <n v="3"/>
    <n v="3"/>
  </r>
  <r>
    <s v="V000335"/>
    <s v="978-7-80284-227-6"/>
    <s v="El Señor de los Anillos"/>
    <s v="J.R.R. Tolkien"/>
    <x v="2"/>
    <n v="2.99"/>
    <n v="299"/>
    <n v="2"/>
    <n v="5.98"/>
    <x v="26"/>
    <x v="0"/>
    <x v="194"/>
    <x v="2"/>
    <x v="1"/>
    <s v="Tienda Online"/>
    <x v="3"/>
    <n v="5"/>
    <n v="5"/>
  </r>
  <r>
    <s v="V000336"/>
    <s v="978-3-30032-482-2"/>
    <s v="Los hombres que no amaban a las mujeres"/>
    <s v="Stieg Larsson"/>
    <x v="1"/>
    <n v="14.32"/>
    <n v="1432"/>
    <n v="1"/>
    <n v="14.32"/>
    <x v="34"/>
    <x v="1"/>
    <x v="282"/>
    <x v="0"/>
    <x v="0"/>
    <s v="Librería Central Madrid"/>
    <x v="4"/>
    <m/>
    <s v="Sin valoración"/>
  </r>
  <r>
    <s v="V000337"/>
    <s v="978-4-93886-804-8"/>
    <s v="Guerra y paz"/>
    <s v="León Tolstói"/>
    <x v="9"/>
    <n v="27.39"/>
    <n v="2739"/>
    <n v="1"/>
    <n v="27.39"/>
    <x v="66"/>
    <x v="1"/>
    <x v="283"/>
    <x v="2"/>
    <x v="1"/>
    <s v="Tienda Online"/>
    <x v="1"/>
    <n v="3"/>
    <n v="3"/>
  </r>
  <r>
    <s v="V000338"/>
    <s v="978-9-51245-317-7"/>
    <s v="La sombra del viento"/>
    <s v="Carlos Ruiz Zafón"/>
    <x v="3"/>
    <n v="1.48"/>
    <n v="148"/>
    <n v="1"/>
    <n v="1.48"/>
    <x v="47"/>
    <x v="0"/>
    <x v="284"/>
    <x v="0"/>
    <x v="1"/>
    <s v="Tienda Online"/>
    <x v="2"/>
    <n v="4"/>
    <n v="4"/>
  </r>
  <r>
    <s v="V000339"/>
    <s v="978-3-97782-833-5"/>
    <s v="V de Vendetta"/>
    <s v="Alan Moore"/>
    <x v="10"/>
    <n v="19.84"/>
    <n v="1984"/>
    <n v="2"/>
    <n v="39.68"/>
    <x v="25"/>
    <x v="1"/>
    <x v="285"/>
    <x v="1"/>
    <x v="0"/>
    <s v="Librería Barcelona Gòtic"/>
    <x v="4"/>
    <n v="5"/>
    <n v="5"/>
  </r>
  <r>
    <s v="V000340"/>
    <s v="978-4-10851-877-2"/>
    <s v="El nombre del viento"/>
    <s v="Patrick Rothfuss"/>
    <x v="2"/>
    <n v="19.71"/>
    <n v="1971"/>
    <n v="1"/>
    <n v="19.71"/>
    <x v="27"/>
    <x v="0"/>
    <x v="286"/>
    <x v="1"/>
    <x v="1"/>
    <s v="Tienda Online"/>
    <x v="0"/>
    <n v="5"/>
    <n v="5"/>
  </r>
  <r>
    <s v="V000341"/>
    <s v="978-8-33416-619-1"/>
    <s v="La chica del tren"/>
    <s v="Paula Hawkins"/>
    <x v="1"/>
    <n v="12.72"/>
    <n v="1272"/>
    <n v="2"/>
    <n v="25.44"/>
    <x v="45"/>
    <x v="2"/>
    <x v="287"/>
    <x v="1"/>
    <x v="1"/>
    <s v="Tienda Online"/>
    <x v="3"/>
    <n v="4"/>
    <n v="4"/>
  </r>
  <r>
    <s v="V000342"/>
    <s v="978-1-13278-859-4"/>
    <s v="Cien años de soledad"/>
    <s v="Gabriel García Márquez"/>
    <x v="3"/>
    <n v="20.79"/>
    <n v="2079"/>
    <n v="1"/>
    <n v="20.79"/>
    <x v="67"/>
    <x v="1"/>
    <x v="288"/>
    <x v="0"/>
    <x v="0"/>
    <s v="Librería Gran Vía"/>
    <x v="0"/>
    <n v="5"/>
    <n v="5"/>
  </r>
  <r>
    <s v="V000343"/>
    <s v="978-6-56438-533-6"/>
    <s v="Misery"/>
    <s v="Stephen King"/>
    <x v="4"/>
    <n v="1.69"/>
    <n v="169"/>
    <n v="1"/>
    <n v="1.69"/>
    <x v="34"/>
    <x v="2"/>
    <x v="289"/>
    <x v="0"/>
    <x v="1"/>
    <s v="Tienda Online"/>
    <x v="4"/>
    <n v="5"/>
    <n v="5"/>
  </r>
  <r>
    <s v="V000344"/>
    <s v="978-8-68800-243-6"/>
    <s v="El extranjero"/>
    <s v="Albert Camus"/>
    <x v="9"/>
    <n v="14.19"/>
    <n v="1419"/>
    <n v="1"/>
    <n v="14.19"/>
    <x v="14"/>
    <x v="0"/>
    <x v="239"/>
    <x v="2"/>
    <x v="1"/>
    <s v="Tienda Online"/>
    <x v="3"/>
    <n v="1"/>
    <n v="1"/>
  </r>
  <r>
    <s v="V000345"/>
    <s v="978-2-92240-263-6"/>
    <s v="La casa de Bernarda Alba"/>
    <s v="Federico García Lorca"/>
    <x v="17"/>
    <n v="10.89"/>
    <n v="1089"/>
    <n v="2"/>
    <n v="21.78"/>
    <x v="32"/>
    <x v="1"/>
    <x v="290"/>
    <x v="1"/>
    <x v="0"/>
    <s v="Librería Barcelona Gòtic"/>
    <x v="1"/>
    <n v="5"/>
    <n v="5"/>
  </r>
  <r>
    <s v="V000346"/>
    <s v="978-1-16630-767-8"/>
    <s v="Los pilares de la Tierra"/>
    <s v="Ken Follett"/>
    <x v="16"/>
    <n v="2.19"/>
    <n v="219"/>
    <n v="1"/>
    <n v="2.19"/>
    <x v="30"/>
    <x v="3"/>
    <x v="291"/>
    <x v="2"/>
    <x v="1"/>
    <s v="Tienda Online"/>
    <x v="1"/>
    <n v="4"/>
    <n v="4"/>
  </r>
  <r>
    <s v="V000347"/>
    <s v="978-9-44671-926-0"/>
    <s v="El Hobbit"/>
    <s v="J.R.R. Tolkien"/>
    <x v="2"/>
    <n v="17.75"/>
    <n v="1775"/>
    <n v="1"/>
    <n v="17.75"/>
    <x v="6"/>
    <x v="3"/>
    <x v="292"/>
    <x v="2"/>
    <x v="1"/>
    <s v="Tienda Online"/>
    <x v="2"/>
    <n v="5"/>
    <n v="5"/>
  </r>
  <r>
    <s v="V000348"/>
    <s v="978-6-22676-467-5"/>
    <s v="Choque de Reyes"/>
    <s v="George R.R. Martin"/>
    <x v="2"/>
    <n v="15.92"/>
    <n v="1592"/>
    <n v="1"/>
    <n v="15.92"/>
    <x v="43"/>
    <x v="2"/>
    <x v="293"/>
    <x v="2"/>
    <x v="1"/>
    <s v="Tienda Online"/>
    <x v="0"/>
    <n v="4"/>
    <n v="4"/>
  </r>
  <r>
    <s v="V000349"/>
    <s v="978-0-22224-871-3"/>
    <s v="Un mundo sin fin"/>
    <s v="Ken Follett"/>
    <x v="16"/>
    <n v="20.61"/>
    <n v="2061"/>
    <n v="1"/>
    <n v="20.61"/>
    <x v="64"/>
    <x v="3"/>
    <x v="294"/>
    <x v="2"/>
    <x v="1"/>
    <s v="Tienda Online"/>
    <x v="0"/>
    <n v="5"/>
    <n v="5"/>
  </r>
  <r>
    <s v="V000350"/>
    <s v="978-1-82357-400-9"/>
    <s v="Harry Potter y la piedra filosofal"/>
    <s v="J.K. Rowling"/>
    <x v="8"/>
    <n v="12.72"/>
    <n v="1272"/>
    <n v="2"/>
    <n v="25.44"/>
    <x v="35"/>
    <x v="3"/>
    <x v="193"/>
    <x v="0"/>
    <x v="0"/>
    <s v="Librería Valencia Centro"/>
    <x v="0"/>
    <n v="4"/>
    <n v="4"/>
  </r>
  <r>
    <s v="V000351"/>
    <s v="978-5-85674-296-1"/>
    <s v="Harry Potter y la cámara secreta"/>
    <s v="J.K. Rowling"/>
    <x v="8"/>
    <n v="17.489999999999998"/>
    <n v="1749"/>
    <n v="1"/>
    <n v="17.489999999999998"/>
    <x v="8"/>
    <x v="0"/>
    <x v="158"/>
    <x v="0"/>
    <x v="0"/>
    <s v="Librería Central Madrid"/>
    <x v="0"/>
    <n v="5"/>
    <n v="5"/>
  </r>
  <r>
    <s v="V000352"/>
    <s v="978-3-97782-833-5"/>
    <s v="V de Vendetta"/>
    <s v="Alan Moore"/>
    <x v="10"/>
    <n v="16.059999999999999"/>
    <n v="1606"/>
    <n v="1"/>
    <n v="16.059999999999999"/>
    <x v="65"/>
    <x v="1"/>
    <x v="295"/>
    <x v="2"/>
    <x v="1"/>
    <s v="Tienda Online"/>
    <x v="4"/>
    <n v="3"/>
    <n v="3"/>
  </r>
  <r>
    <s v="V000353"/>
    <s v="978-6-46434-564-5"/>
    <s v="En llamas"/>
    <s v="Suzanne Collins"/>
    <x v="8"/>
    <n v="12.66"/>
    <n v="1266"/>
    <n v="3"/>
    <n v="37.980000000000004"/>
    <x v="64"/>
    <x v="1"/>
    <x v="296"/>
    <x v="0"/>
    <x v="0"/>
    <s v="Librería Valencia Centro"/>
    <x v="2"/>
    <n v="5"/>
    <n v="5"/>
  </r>
  <r>
    <s v="V000354"/>
    <s v="978-3-62923-222-9"/>
    <s v="El gen egoísta"/>
    <s v="Richard Dawkins"/>
    <x v="11"/>
    <n v="15.21"/>
    <n v="1521"/>
    <n v="2"/>
    <n v="30.42"/>
    <x v="69"/>
    <x v="0"/>
    <x v="297"/>
    <x v="2"/>
    <x v="1"/>
    <s v="Tienda Online"/>
    <x v="0"/>
    <n v="5"/>
    <n v="5"/>
  </r>
  <r>
    <s v="V000355"/>
    <s v="978-3-97782-833-5"/>
    <s v="V de Vendetta"/>
    <s v="Alan Moore"/>
    <x v="10"/>
    <n v="15.12"/>
    <n v="1512"/>
    <n v="1"/>
    <n v="15.12"/>
    <x v="42"/>
    <x v="3"/>
    <x v="136"/>
    <x v="2"/>
    <x v="1"/>
    <s v="Tienda Online"/>
    <x v="3"/>
    <n v="3"/>
    <n v="3"/>
  </r>
  <r>
    <s v="V000356"/>
    <s v="978-8-27342-840-9"/>
    <s v="Stardust"/>
    <s v="Neil Gaiman"/>
    <x v="2"/>
    <n v="1.59"/>
    <n v="159"/>
    <n v="1"/>
    <n v="1.59"/>
    <x v="14"/>
    <x v="2"/>
    <x v="298"/>
    <x v="1"/>
    <x v="1"/>
    <s v="Tienda Online"/>
    <x v="2"/>
    <n v="5"/>
    <n v="5"/>
  </r>
  <r>
    <s v="V000357"/>
    <s v="978-2-63269-597-7"/>
    <s v="La chica de nieve"/>
    <s v="Javier Castillo"/>
    <x v="1"/>
    <n v="20.79"/>
    <n v="2079"/>
    <n v="1"/>
    <n v="20.79"/>
    <x v="25"/>
    <x v="2"/>
    <x v="299"/>
    <x v="0"/>
    <x v="1"/>
    <s v="Tienda Online"/>
    <x v="2"/>
    <n v="5"/>
    <n v="5"/>
  </r>
  <r>
    <s v="V000358"/>
    <s v="978-4-93886-804-8"/>
    <s v="Guerra y paz"/>
    <s v="León Tolstói"/>
    <x v="9"/>
    <n v="2.4900000000000002"/>
    <n v="249"/>
    <n v="1"/>
    <n v="2.4900000000000002"/>
    <x v="28"/>
    <x v="1"/>
    <x v="134"/>
    <x v="1"/>
    <x v="0"/>
    <s v="Librería Central Madrid"/>
    <x v="0"/>
    <n v="4"/>
    <n v="4"/>
  </r>
  <r>
    <s v="V000359"/>
    <s v="978-0-62772-845-5"/>
    <s v="Drácula"/>
    <s v="Bram Stoker"/>
    <x v="4"/>
    <n v="1.29"/>
    <n v="129"/>
    <n v="1"/>
    <n v="1.29"/>
    <x v="46"/>
    <x v="3"/>
    <x v="300"/>
    <x v="1"/>
    <x v="0"/>
    <s v="Librería Barcelona Gòtic"/>
    <x v="1"/>
    <n v="4"/>
    <n v="4"/>
  </r>
  <r>
    <s v="V000360"/>
    <s v="978-9-44671-926-0"/>
    <s v="El Hobbit"/>
    <s v="J.R.R. Tolkien"/>
    <x v="2"/>
    <n v="14.36"/>
    <n v="1436"/>
    <n v="1"/>
    <n v="14.36"/>
    <x v="69"/>
    <x v="3"/>
    <x v="242"/>
    <x v="2"/>
    <x v="1"/>
    <s v="Tienda Online"/>
    <x v="2"/>
    <n v="4"/>
    <n v="4"/>
  </r>
  <r>
    <s v="V000361"/>
    <s v="978-8-11504-796-1"/>
    <s v="El código Da Vinci"/>
    <s v="Dan Brown"/>
    <x v="1"/>
    <n v="13.52"/>
    <n v="1352"/>
    <n v="2"/>
    <n v="27.04"/>
    <x v="70"/>
    <x v="2"/>
    <x v="301"/>
    <x v="0"/>
    <x v="0"/>
    <s v="Librería Valencia Centro"/>
    <x v="2"/>
    <n v="5"/>
    <n v="5"/>
  </r>
  <r>
    <s v="V000362"/>
    <s v="978-3-39451-165-5"/>
    <s v="Matilda"/>
    <s v="Roald Dahl"/>
    <x v="6"/>
    <n v="1.19"/>
    <n v="119"/>
    <n v="1"/>
    <n v="1.19"/>
    <x v="52"/>
    <x v="0"/>
    <x v="302"/>
    <x v="0"/>
    <x v="1"/>
    <s v="Tienda Online"/>
    <x v="1"/>
    <n v="4"/>
    <n v="4"/>
  </r>
  <r>
    <s v="V000363"/>
    <s v="978-9-71953-348-7"/>
    <s v="It"/>
    <s v="Stephen King"/>
    <x v="4"/>
    <n v="2.29"/>
    <n v="229"/>
    <n v="2"/>
    <n v="4.58"/>
    <x v="12"/>
    <x v="3"/>
    <x v="0"/>
    <x v="1"/>
    <x v="0"/>
    <s v="Librería Sevilla Triana"/>
    <x v="4"/>
    <n v="5"/>
    <n v="5"/>
  </r>
  <r>
    <s v="V000364"/>
    <s v="978-0-96673-333-4"/>
    <s v="Harry Potter y el prisionero de Azkaban"/>
    <s v="J.K. Rowling"/>
    <x v="8"/>
    <n v="18.59"/>
    <n v="1859"/>
    <n v="1"/>
    <n v="18.59"/>
    <x v="34"/>
    <x v="2"/>
    <x v="61"/>
    <x v="1"/>
    <x v="1"/>
    <s v="Tienda Online"/>
    <x v="0"/>
    <n v="4"/>
    <n v="4"/>
  </r>
  <r>
    <s v="V000365"/>
    <s v="978-0-87110-667-3"/>
    <s v="Charlie y la fábrica de chocolate"/>
    <s v="Roald Dahl"/>
    <x v="6"/>
    <n v="10.71"/>
    <n v="1071"/>
    <n v="1"/>
    <n v="10.71"/>
    <x v="11"/>
    <x v="3"/>
    <x v="303"/>
    <x v="0"/>
    <x v="0"/>
    <s v="Librería Valencia Centro"/>
    <x v="0"/>
    <n v="5"/>
    <n v="5"/>
  </r>
  <r>
    <s v="V000366"/>
    <s v="978-6-10282-499-4"/>
    <s v="Patria"/>
    <s v="Fernando Aramburu"/>
    <x v="3"/>
    <n v="17.91"/>
    <n v="1791"/>
    <n v="2"/>
    <n v="35.82"/>
    <x v="47"/>
    <x v="1"/>
    <x v="304"/>
    <x v="1"/>
    <x v="1"/>
    <s v="Tienda Online"/>
    <x v="3"/>
    <n v="4"/>
    <n v="4"/>
  </r>
  <r>
    <s v="V000367"/>
    <s v="978-1-16175-981-1"/>
    <s v="Pedro Páramo"/>
    <s v="Juan Rulfo"/>
    <x v="9"/>
    <n v="13.55"/>
    <n v="1355"/>
    <n v="2"/>
    <n v="27.1"/>
    <x v="63"/>
    <x v="2"/>
    <x v="305"/>
    <x v="2"/>
    <x v="1"/>
    <s v="Tienda Online"/>
    <x v="2"/>
    <n v="4"/>
    <n v="4"/>
  </r>
  <r>
    <s v="V000368"/>
    <s v="978-2-63269-597-7"/>
    <s v="La chica de nieve"/>
    <s v="Javier Castillo"/>
    <x v="1"/>
    <n v="20.79"/>
    <n v="2079"/>
    <n v="1"/>
    <n v="20.79"/>
    <x v="48"/>
    <x v="3"/>
    <x v="306"/>
    <x v="2"/>
    <x v="1"/>
    <s v="Tienda Online"/>
    <x v="3"/>
    <n v="4"/>
    <n v="4"/>
  </r>
  <r>
    <s v="V000369"/>
    <s v="978-6-56438-533-6"/>
    <s v="Misery"/>
    <s v="Stephen King"/>
    <x v="4"/>
    <n v="1.69"/>
    <n v="169"/>
    <n v="4"/>
    <n v="6.76"/>
    <x v="54"/>
    <x v="2"/>
    <x v="307"/>
    <x v="1"/>
    <x v="0"/>
    <s v="Librería Barcelona Gòtic"/>
    <x v="2"/>
    <n v="5"/>
    <n v="5"/>
  </r>
  <r>
    <s v="V000370"/>
    <s v="978-3-76237-716-0"/>
    <s v="Fahrenheit 451"/>
    <s v="Ray Bradbury"/>
    <x v="12"/>
    <n v="1.39"/>
    <n v="139"/>
    <n v="1"/>
    <n v="1.39"/>
    <x v="5"/>
    <x v="1"/>
    <x v="308"/>
    <x v="2"/>
    <x v="1"/>
    <s v="Tienda Online"/>
    <x v="0"/>
    <n v="2"/>
    <n v="2"/>
  </r>
  <r>
    <s v="V000371"/>
    <s v="978-2-46509-573-3"/>
    <s v="La peste"/>
    <s v="Albert Camus"/>
    <x v="9"/>
    <n v="16.39"/>
    <n v="1639"/>
    <n v="1"/>
    <n v="16.39"/>
    <x v="64"/>
    <x v="1"/>
    <x v="309"/>
    <x v="1"/>
    <x v="1"/>
    <s v="Tienda Online"/>
    <x v="3"/>
    <n v="4"/>
    <n v="4"/>
  </r>
  <r>
    <s v="V000372"/>
    <s v="978-3-62923-222-9"/>
    <s v="El gen egoísta"/>
    <s v="Richard Dawkins"/>
    <x v="11"/>
    <n v="14.32"/>
    <n v="1432"/>
    <n v="1"/>
    <n v="14.32"/>
    <x v="43"/>
    <x v="1"/>
    <x v="310"/>
    <x v="2"/>
    <x v="1"/>
    <s v="Tienda Online"/>
    <x v="4"/>
    <n v="3"/>
    <n v="3"/>
  </r>
  <r>
    <s v="V000373"/>
    <s v="978-1-16630-767-8"/>
    <s v="Los pilares de la Tierra"/>
    <s v="Ken Follett"/>
    <x v="16"/>
    <n v="2.19"/>
    <n v="219"/>
    <n v="1"/>
    <n v="2.19"/>
    <x v="46"/>
    <x v="3"/>
    <x v="311"/>
    <x v="0"/>
    <x v="0"/>
    <s v="Librería Valencia Centro"/>
    <x v="0"/>
    <n v="4"/>
    <n v="4"/>
  </r>
  <r>
    <s v="V000374"/>
    <s v="978-3-84364-180-1"/>
    <s v="21 lecciones para el siglo XXI"/>
    <s v="Yuval Noah Harari"/>
    <x v="15"/>
    <n v="21.89"/>
    <n v="2189"/>
    <n v="1"/>
    <n v="21.89"/>
    <x v="36"/>
    <x v="0"/>
    <x v="312"/>
    <x v="2"/>
    <x v="1"/>
    <s v="Tienda Online"/>
    <x v="4"/>
    <n v="4"/>
    <n v="4"/>
  </r>
  <r>
    <s v="V000375"/>
    <s v="978-8-11504-796-1"/>
    <s v="El código Da Vinci"/>
    <s v="Dan Brown"/>
    <x v="1"/>
    <n v="1.69"/>
    <n v="169"/>
    <n v="1"/>
    <n v="1.69"/>
    <x v="38"/>
    <x v="2"/>
    <x v="261"/>
    <x v="2"/>
    <x v="1"/>
    <s v="Tienda Online"/>
    <x v="2"/>
    <n v="5"/>
    <n v="5"/>
  </r>
  <r>
    <s v="V000376"/>
    <s v="978-9-71348-641-4"/>
    <s v="Veinte poemas de amor"/>
    <s v="Pablo Neruda"/>
    <x v="7"/>
    <n v="8.91"/>
    <n v="891"/>
    <n v="1"/>
    <n v="8.91"/>
    <x v="5"/>
    <x v="2"/>
    <x v="292"/>
    <x v="1"/>
    <x v="1"/>
    <s v="Tienda Online"/>
    <x v="4"/>
    <n v="5"/>
    <n v="5"/>
  </r>
  <r>
    <s v="V000377"/>
    <s v="978-9-18326-494-6"/>
    <s v="Romancero gitano"/>
    <s v="Federico García Lorca"/>
    <x v="7"/>
    <n v="9.81"/>
    <n v="981"/>
    <n v="1"/>
    <n v="9.81"/>
    <x v="12"/>
    <x v="0"/>
    <x v="313"/>
    <x v="1"/>
    <x v="1"/>
    <s v="Tienda Online"/>
    <x v="3"/>
    <n v="2"/>
    <n v="2"/>
  </r>
  <r>
    <s v="V000378"/>
    <s v="978-3-76237-716-0"/>
    <s v="Fahrenheit 451"/>
    <s v="Ray Bradbury"/>
    <x v="12"/>
    <n v="11.81"/>
    <n v="1181"/>
    <n v="1"/>
    <n v="11.81"/>
    <x v="17"/>
    <x v="2"/>
    <x v="285"/>
    <x v="0"/>
    <x v="1"/>
    <s v="Tienda Online"/>
    <x v="3"/>
    <n v="3"/>
    <n v="3"/>
  </r>
  <r>
    <s v="V000379"/>
    <s v="978-0-62772-845-5"/>
    <s v="Drácula"/>
    <s v="Bram Stoker"/>
    <x v="4"/>
    <n v="13.55"/>
    <n v="1355"/>
    <n v="1"/>
    <n v="13.55"/>
    <x v="63"/>
    <x v="3"/>
    <x v="37"/>
    <x v="1"/>
    <x v="0"/>
    <s v="Librería Sevilla Triana"/>
    <x v="2"/>
    <n v="4"/>
    <n v="4"/>
  </r>
  <r>
    <s v="V000380"/>
    <s v="978-8-44973-887-5"/>
    <s v="Ángeles y demonios"/>
    <s v="Dan Brown"/>
    <x v="1"/>
    <n v="1.69"/>
    <n v="169"/>
    <n v="1"/>
    <n v="1.69"/>
    <x v="33"/>
    <x v="2"/>
    <x v="314"/>
    <x v="2"/>
    <x v="1"/>
    <s v="Tienda Online"/>
    <x v="3"/>
    <n v="5"/>
    <n v="5"/>
  </r>
  <r>
    <s v="V000381"/>
    <s v="978-1-82357-400-9"/>
    <s v="Harry Potter y la piedra filosofal"/>
    <s v="J.K. Rowling"/>
    <x v="8"/>
    <n v="12.72"/>
    <n v="1272"/>
    <n v="1"/>
    <n v="12.72"/>
    <x v="34"/>
    <x v="2"/>
    <x v="315"/>
    <x v="0"/>
    <x v="0"/>
    <s v="Librería Valencia Centro"/>
    <x v="3"/>
    <n v="4"/>
    <n v="4"/>
  </r>
  <r>
    <s v="V000382"/>
    <s v="978-6-10282-499-4"/>
    <s v="Patria"/>
    <s v="Fernando Aramburu"/>
    <x v="3"/>
    <n v="15.92"/>
    <n v="1592"/>
    <n v="1"/>
    <n v="15.92"/>
    <x v="45"/>
    <x v="2"/>
    <x v="19"/>
    <x v="1"/>
    <x v="0"/>
    <s v="Librería Central Madrid"/>
    <x v="4"/>
    <n v="5"/>
    <n v="5"/>
  </r>
  <r>
    <s v="V000383"/>
    <s v="978-9-72493-614-8"/>
    <s v="El chef en casa"/>
    <s v="Jamie Oliver"/>
    <x v="14"/>
    <n v="21.89"/>
    <n v="2189"/>
    <n v="1"/>
    <n v="21.89"/>
    <x v="63"/>
    <x v="3"/>
    <x v="316"/>
    <x v="1"/>
    <x v="0"/>
    <s v="Librería Gran Vía"/>
    <x v="2"/>
    <n v="5"/>
    <n v="5"/>
  </r>
  <r>
    <s v="V000384"/>
    <s v="978-6-10282-499-4"/>
    <s v="Patria"/>
    <s v="Fernando Aramburu"/>
    <x v="3"/>
    <n v="16.91"/>
    <n v="1691"/>
    <n v="4"/>
    <n v="67.64"/>
    <x v="33"/>
    <x v="2"/>
    <x v="108"/>
    <x v="2"/>
    <x v="1"/>
    <s v="Tienda Online"/>
    <x v="0"/>
    <n v="5"/>
    <n v="5"/>
  </r>
  <r>
    <s v="V000385"/>
    <s v="978-3-30032-482-2"/>
    <s v="Los hombres que no amaban a las mujeres"/>
    <s v="Stieg Larsson"/>
    <x v="1"/>
    <n v="1.79"/>
    <n v="179"/>
    <n v="1"/>
    <n v="1.79"/>
    <x v="44"/>
    <x v="0"/>
    <x v="317"/>
    <x v="2"/>
    <x v="1"/>
    <s v="Tienda Online"/>
    <x v="3"/>
    <n v="4"/>
    <n v="4"/>
  </r>
  <r>
    <s v="V000386"/>
    <s v="978-3-76237-716-0"/>
    <s v="Fahrenheit 451"/>
    <s v="Ray Bradbury"/>
    <x v="12"/>
    <n v="1.46"/>
    <n v="146"/>
    <n v="1"/>
    <n v="1.46"/>
    <x v="49"/>
    <x v="2"/>
    <x v="318"/>
    <x v="0"/>
    <x v="0"/>
    <s v="Librería Central Madrid"/>
    <x v="4"/>
    <n v="2"/>
    <n v="2"/>
  </r>
  <r>
    <s v="V000387"/>
    <s v="978-3-28131-621-7"/>
    <s v="El Aleph"/>
    <s v="Jorge Luis Borges"/>
    <x v="9"/>
    <n v="12.51"/>
    <n v="1251"/>
    <n v="1"/>
    <n v="12.51"/>
    <x v="53"/>
    <x v="0"/>
    <x v="241"/>
    <x v="2"/>
    <x v="1"/>
    <s v="Tienda Online"/>
    <x v="3"/>
    <n v="1"/>
    <n v="1"/>
  </r>
  <r>
    <s v="V000388"/>
    <s v="978-4-93886-804-8"/>
    <s v="Guerra y paz"/>
    <s v="León Tolstói"/>
    <x v="9"/>
    <n v="26.14"/>
    <n v="2614"/>
    <n v="1"/>
    <n v="26.14"/>
    <x v="69"/>
    <x v="1"/>
    <x v="319"/>
    <x v="0"/>
    <x v="1"/>
    <s v="Tienda Online"/>
    <x v="3"/>
    <m/>
    <s v="Sin valoración"/>
  </r>
  <r>
    <s v="V000389"/>
    <s v="978-3-28131-621-7"/>
    <s v="El Aleph"/>
    <s v="Jorge Luis Borges"/>
    <x v="9"/>
    <n v="1.39"/>
    <n v="139"/>
    <n v="2"/>
    <n v="2.78"/>
    <x v="59"/>
    <x v="1"/>
    <x v="320"/>
    <x v="2"/>
    <x v="1"/>
    <s v="Tienda Online"/>
    <x v="2"/>
    <m/>
    <s v="Sin valoración"/>
  </r>
  <r>
    <s v="V000390"/>
    <s v="978-5-50306-345-0"/>
    <s v="Homo Deus"/>
    <s v="Yuval Noah Harari"/>
    <x v="15"/>
    <n v="2.19"/>
    <n v="219"/>
    <n v="2"/>
    <n v="4.38"/>
    <x v="70"/>
    <x v="1"/>
    <x v="151"/>
    <x v="0"/>
    <x v="0"/>
    <s v="Librería Valencia Centro"/>
    <x v="1"/>
    <n v="4"/>
    <n v="4"/>
  </r>
  <r>
    <s v="V000391"/>
    <s v="978-6-56438-533-6"/>
    <s v="Misery"/>
    <s v="Stephen King"/>
    <x v="4"/>
    <n v="17.75"/>
    <n v="1775"/>
    <n v="2"/>
    <n v="35.5"/>
    <x v="0"/>
    <x v="0"/>
    <x v="321"/>
    <x v="2"/>
    <x v="1"/>
    <s v="Tienda Online"/>
    <x v="3"/>
    <n v="5"/>
    <n v="5"/>
  </r>
  <r>
    <s v="V000392"/>
    <s v="978-4-97684-597-3"/>
    <s v="American Gods"/>
    <s v="Neil Gaiman"/>
    <x v="2"/>
    <n v="1.99"/>
    <n v="199"/>
    <n v="1"/>
    <n v="1.99"/>
    <x v="28"/>
    <x v="3"/>
    <x v="254"/>
    <x v="1"/>
    <x v="0"/>
    <s v="Librería Central Madrid"/>
    <x v="4"/>
    <n v="5"/>
    <n v="5"/>
  </r>
  <r>
    <s v="V000393"/>
    <s v="978-4-97684-597-3"/>
    <s v="American Gods"/>
    <s v="Neil Gaiman"/>
    <x v="2"/>
    <n v="15.92"/>
    <n v="1592"/>
    <n v="1"/>
    <n v="15.92"/>
    <x v="48"/>
    <x v="1"/>
    <x v="107"/>
    <x v="1"/>
    <x v="1"/>
    <s v="Tienda Online"/>
    <x v="4"/>
    <n v="5"/>
    <n v="5"/>
  </r>
  <r>
    <s v="V000394"/>
    <s v="978-9-51245-317-7"/>
    <s v="La sombra del viento"/>
    <s v="Carlos Ruiz Zafón"/>
    <x v="3"/>
    <n v="15.72"/>
    <n v="1572"/>
    <n v="1"/>
    <n v="15.72"/>
    <x v="1"/>
    <x v="2"/>
    <x v="322"/>
    <x v="1"/>
    <x v="0"/>
    <s v="Librería Central Madrid"/>
    <x v="3"/>
    <m/>
    <s v="Sin valoración"/>
  </r>
  <r>
    <s v="V000395"/>
    <s v="978-8-33416-619-1"/>
    <s v="La chica del tren"/>
    <s v="Paula Hawkins"/>
    <x v="1"/>
    <n v="1.59"/>
    <n v="159"/>
    <n v="1"/>
    <n v="1.59"/>
    <x v="28"/>
    <x v="0"/>
    <x v="323"/>
    <x v="2"/>
    <x v="1"/>
    <s v="Tienda Online"/>
    <x v="4"/>
    <n v="4"/>
    <n v="4"/>
  </r>
  <r>
    <s v="V000396"/>
    <s v="978-3-17665-693-8"/>
    <s v="La familia de Pascual Duarte"/>
    <s v="Camilo José Cela"/>
    <x v="9"/>
    <n v="1.29"/>
    <n v="129"/>
    <n v="3"/>
    <n v="3.87"/>
    <x v="35"/>
    <x v="0"/>
    <x v="324"/>
    <x v="0"/>
    <x v="1"/>
    <s v="Tienda Online"/>
    <x v="0"/>
    <n v="2"/>
    <n v="2"/>
  </r>
  <r>
    <s v="V000397"/>
    <s v="978-0-51104-158-0"/>
    <s v="Manual de cocina fácil"/>
    <s v="Karlos Arguiñano"/>
    <x v="14"/>
    <n v="16.11"/>
    <n v="1611"/>
    <n v="2"/>
    <n v="32.22"/>
    <x v="67"/>
    <x v="1"/>
    <x v="95"/>
    <x v="2"/>
    <x v="1"/>
    <s v="Tienda Online"/>
    <x v="4"/>
    <m/>
    <s v="Sin valoración"/>
  </r>
  <r>
    <s v="V000398"/>
    <s v="978-8-33416-619-1"/>
    <s v="La chica del tren"/>
    <s v="Paula Hawkins"/>
    <x v="1"/>
    <n v="1.59"/>
    <n v="159"/>
    <n v="1"/>
    <n v="1.59"/>
    <x v="54"/>
    <x v="2"/>
    <x v="13"/>
    <x v="0"/>
    <x v="0"/>
    <s v="Librería Valencia Centro"/>
    <x v="1"/>
    <n v="5"/>
    <n v="5"/>
  </r>
  <r>
    <s v="V000399"/>
    <s v="978-8-44438-864-9"/>
    <s v="Rayuela"/>
    <s v="Julio Cortázar"/>
    <x v="9"/>
    <n v="1.69"/>
    <n v="169"/>
    <n v="4"/>
    <n v="6.76"/>
    <x v="48"/>
    <x v="2"/>
    <x v="325"/>
    <x v="0"/>
    <x v="1"/>
    <s v="Tienda Online"/>
    <x v="2"/>
    <n v="4"/>
    <n v="4"/>
  </r>
  <r>
    <s v="V000400"/>
    <s v="978-2-26828-775-7"/>
    <s v="Los cuatro acuerdos"/>
    <s v="Miguel Ruiz"/>
    <x v="0"/>
    <n v="11.61"/>
    <n v="1161"/>
    <n v="1"/>
    <n v="11.61"/>
    <x v="54"/>
    <x v="0"/>
    <x v="326"/>
    <x v="1"/>
    <x v="1"/>
    <s v="Tienda Online"/>
    <x v="1"/>
    <n v="5"/>
    <n v="5"/>
  </r>
  <r>
    <s v="V000401"/>
    <s v="978-2-17455-620-1"/>
    <s v="Cosmos"/>
    <s v="Carl Sagan"/>
    <x v="11"/>
    <n v="19.84"/>
    <n v="1984"/>
    <n v="1"/>
    <n v="19.84"/>
    <x v="60"/>
    <x v="2"/>
    <x v="285"/>
    <x v="1"/>
    <x v="1"/>
    <s v="Tienda Online"/>
    <x v="3"/>
    <n v="5"/>
    <n v="5"/>
  </r>
  <r>
    <s v="V000402"/>
    <s v="978-9-78522-423-4"/>
    <s v="Maus"/>
    <s v="Art Spiegelman"/>
    <x v="10"/>
    <n v="1.69"/>
    <n v="169"/>
    <n v="2"/>
    <n v="3.38"/>
    <x v="8"/>
    <x v="0"/>
    <x v="149"/>
    <x v="0"/>
    <x v="0"/>
    <s v="Librería Gran Vía"/>
    <x v="4"/>
    <n v="4"/>
    <n v="4"/>
  </r>
  <r>
    <s v="V000403"/>
    <s v="978-4-99593-763-1"/>
    <s v="Crimen y castigo"/>
    <s v="Fiódor Dostoyevski"/>
    <x v="9"/>
    <n v="1.29"/>
    <n v="129"/>
    <n v="2"/>
    <n v="2.58"/>
    <x v="0"/>
    <x v="2"/>
    <x v="327"/>
    <x v="2"/>
    <x v="1"/>
    <s v="Tienda Online"/>
    <x v="3"/>
    <n v="5"/>
    <n v="5"/>
  </r>
  <r>
    <s v="V000404"/>
    <s v="978-1-68082-927-8"/>
    <s v="Náuseas"/>
    <s v="Jean-Paul Sartre"/>
    <x v="9"/>
    <n v="11.12"/>
    <n v="1112"/>
    <n v="1"/>
    <n v="11.12"/>
    <x v="60"/>
    <x v="2"/>
    <x v="9"/>
    <x v="0"/>
    <x v="0"/>
    <s v="Librería Barcelona Gòtic"/>
    <x v="0"/>
    <n v="4"/>
    <n v="4"/>
  </r>
  <r>
    <s v="V000405"/>
    <s v="978-9-51245-317-7"/>
    <s v="La sombra del viento"/>
    <s v="Carlos Ruiz Zafón"/>
    <x v="3"/>
    <n v="1.85"/>
    <n v="185"/>
    <n v="1"/>
    <n v="1.85"/>
    <x v="55"/>
    <x v="3"/>
    <x v="328"/>
    <x v="2"/>
    <x v="1"/>
    <s v="Tienda Online"/>
    <x v="1"/>
    <n v="4"/>
    <n v="4"/>
  </r>
  <r>
    <s v="V000406"/>
    <s v="978-0-13905-195-3"/>
    <s v="Rebelión en la granja"/>
    <s v="George Orwell"/>
    <x v="3"/>
    <n v="1"/>
    <n v="100"/>
    <n v="3"/>
    <n v="3"/>
    <x v="27"/>
    <x v="0"/>
    <x v="329"/>
    <x v="1"/>
    <x v="1"/>
    <s v="Tienda Online"/>
    <x v="1"/>
    <m/>
    <s v="Sin valoración"/>
  </r>
  <r>
    <s v="V000407"/>
    <s v="978-5-50306-345-0"/>
    <s v="Homo Deus"/>
    <s v="Yuval Noah Harari"/>
    <x v="15"/>
    <n v="2.19"/>
    <n v="219"/>
    <n v="1"/>
    <n v="2.19"/>
    <x v="68"/>
    <x v="0"/>
    <x v="330"/>
    <x v="0"/>
    <x v="0"/>
    <s v="Librería Valencia Centro"/>
    <x v="1"/>
    <n v="4"/>
    <n v="4"/>
  </r>
  <r>
    <s v="V000408"/>
    <s v="978-8-44438-864-9"/>
    <s v="Rayuela"/>
    <s v="Julio Cortázar"/>
    <x v="9"/>
    <n v="1.69"/>
    <n v="169"/>
    <n v="2"/>
    <n v="3.38"/>
    <x v="31"/>
    <x v="1"/>
    <x v="331"/>
    <x v="2"/>
    <x v="1"/>
    <s v="Tienda Online"/>
    <x v="4"/>
    <n v="5"/>
    <n v="5"/>
  </r>
  <r>
    <s v="V000409"/>
    <s v="978-8-33416-619-1"/>
    <s v="La chica del tren"/>
    <s v="Paula Hawkins"/>
    <x v="1"/>
    <n v="1.59"/>
    <n v="159"/>
    <n v="2"/>
    <n v="3.18"/>
    <x v="28"/>
    <x v="1"/>
    <x v="184"/>
    <x v="1"/>
    <x v="1"/>
    <s v="Tienda Online"/>
    <x v="2"/>
    <n v="4"/>
    <n v="4"/>
  </r>
  <r>
    <s v="V000410"/>
    <s v="978-4-93748-619-9"/>
    <s v="Perdida"/>
    <s v="Gillian Flynn"/>
    <x v="1"/>
    <n v="17.32"/>
    <n v="1732"/>
    <n v="1"/>
    <n v="17.32"/>
    <x v="7"/>
    <x v="0"/>
    <x v="332"/>
    <x v="0"/>
    <x v="1"/>
    <s v="Tienda Online"/>
    <x v="0"/>
    <n v="5"/>
    <n v="5"/>
  </r>
  <r>
    <s v="V000411"/>
    <s v="978-6-22676-467-5"/>
    <s v="Choque de Reyes"/>
    <s v="George R.R. Martin"/>
    <x v="2"/>
    <n v="16.91"/>
    <n v="1691"/>
    <n v="2"/>
    <n v="33.82"/>
    <x v="45"/>
    <x v="2"/>
    <x v="307"/>
    <x v="0"/>
    <x v="1"/>
    <s v="Tienda Online"/>
    <x v="3"/>
    <n v="5"/>
    <n v="5"/>
  </r>
  <r>
    <s v="V000412"/>
    <s v="978-6-46434-564-5"/>
    <s v="En llamas"/>
    <s v="Suzanne Collins"/>
    <x v="8"/>
    <n v="15.65"/>
    <n v="1565"/>
    <n v="1"/>
    <n v="15.65"/>
    <x v="55"/>
    <x v="2"/>
    <x v="333"/>
    <x v="2"/>
    <x v="1"/>
    <s v="Tienda Online"/>
    <x v="4"/>
    <n v="5"/>
    <n v="5"/>
  </r>
  <r>
    <s v="V000413"/>
    <s v="978-5-85674-296-1"/>
    <s v="Harry Potter y la cámara secreta"/>
    <s v="J.K. Rowling"/>
    <x v="8"/>
    <n v="12.72"/>
    <n v="1272"/>
    <n v="2"/>
    <n v="25.44"/>
    <x v="64"/>
    <x v="2"/>
    <x v="334"/>
    <x v="2"/>
    <x v="1"/>
    <s v="Tienda Online"/>
    <x v="0"/>
    <m/>
    <s v="Sin valoración"/>
  </r>
  <r>
    <s v="V000414"/>
    <s v="978-3-62923-222-9"/>
    <s v="El gen egoísta"/>
    <s v="Richard Dawkins"/>
    <x v="11"/>
    <n v="18.79"/>
    <n v="1879"/>
    <n v="1"/>
    <n v="18.79"/>
    <x v="69"/>
    <x v="2"/>
    <x v="335"/>
    <x v="2"/>
    <x v="1"/>
    <s v="Tienda Online"/>
    <x v="0"/>
    <n v="3"/>
    <n v="3"/>
  </r>
  <r>
    <s v="V000415"/>
    <s v="978-7-80284-227-6"/>
    <s v="El Señor de los Anillos"/>
    <s v="J.R.R. Tolkien"/>
    <x v="2"/>
    <n v="2.99"/>
    <n v="299"/>
    <n v="1"/>
    <n v="2.99"/>
    <x v="14"/>
    <x v="3"/>
    <x v="336"/>
    <x v="0"/>
    <x v="1"/>
    <s v="Tienda Online"/>
    <x v="3"/>
    <n v="5"/>
    <n v="5"/>
  </r>
  <r>
    <s v="V000416"/>
    <s v="978-9-72493-614-8"/>
    <s v="El chef en casa"/>
    <s v="Jamie Oliver"/>
    <x v="14"/>
    <n v="16.91"/>
    <n v="1691"/>
    <n v="1"/>
    <n v="16.91"/>
    <x v="66"/>
    <x v="1"/>
    <x v="337"/>
    <x v="0"/>
    <x v="0"/>
    <s v="Librería Barcelona Gòtic"/>
    <x v="1"/>
    <n v="2"/>
    <n v="2"/>
  </r>
  <r>
    <s v="V000417"/>
    <s v="978-2-46509-573-3"/>
    <s v="La peste"/>
    <s v="Albert Camus"/>
    <x v="9"/>
    <n v="12.66"/>
    <n v="1266"/>
    <n v="1"/>
    <n v="12.66"/>
    <x v="36"/>
    <x v="3"/>
    <x v="12"/>
    <x v="1"/>
    <x v="0"/>
    <s v="Librería Barcelona Gòtic"/>
    <x v="4"/>
    <n v="3"/>
    <n v="3"/>
  </r>
  <r>
    <s v="V000418"/>
    <s v="978-9-71348-641-4"/>
    <s v="Veinte poemas de amor"/>
    <s v="Pablo Neruda"/>
    <x v="7"/>
    <n v="0.99"/>
    <n v="99"/>
    <n v="1"/>
    <n v="0.99"/>
    <x v="38"/>
    <x v="3"/>
    <x v="338"/>
    <x v="2"/>
    <x v="1"/>
    <s v="Tienda Online"/>
    <x v="3"/>
    <n v="3"/>
    <n v="3"/>
  </r>
  <r>
    <s v="V000419"/>
    <s v="978-4-99593-763-1"/>
    <s v="Crimen y castigo"/>
    <s v="Fiódor Dostoyevski"/>
    <x v="9"/>
    <n v="1.29"/>
    <n v="129"/>
    <n v="1"/>
    <n v="1.29"/>
    <x v="36"/>
    <x v="1"/>
    <x v="339"/>
    <x v="1"/>
    <x v="1"/>
    <s v="Tienda Online"/>
    <x v="1"/>
    <n v="5"/>
    <n v="5"/>
  </r>
  <r>
    <s v="V000420"/>
    <s v="978-2-92240-263-6"/>
    <s v="La casa de Bernarda Alba"/>
    <s v="Federico García Lorca"/>
    <x v="17"/>
    <n v="10.89"/>
    <n v="1089"/>
    <n v="1"/>
    <n v="10.89"/>
    <x v="22"/>
    <x v="0"/>
    <x v="107"/>
    <x v="2"/>
    <x v="1"/>
    <s v="Tienda Online"/>
    <x v="4"/>
    <n v="3"/>
    <n v="3"/>
  </r>
  <r>
    <s v="V000421"/>
    <s v="978-3-39256-242-1"/>
    <s v="El amor en los tiempos del cólera"/>
    <s v="Gabriel García Márquez"/>
    <x v="3"/>
    <n v="14.88"/>
    <n v="1488"/>
    <n v="4"/>
    <n v="59.52"/>
    <x v="65"/>
    <x v="3"/>
    <x v="340"/>
    <x v="0"/>
    <x v="0"/>
    <s v="Librería Valencia Centro"/>
    <x v="4"/>
    <m/>
    <s v="Sin valoración"/>
  </r>
  <r>
    <s v="V000422"/>
    <s v="978-1-16175-981-1"/>
    <s v="Pedro Páramo"/>
    <s v="Juan Rulfo"/>
    <x v="9"/>
    <n v="10.96"/>
    <n v="1096"/>
    <n v="3"/>
    <n v="32.880000000000003"/>
    <x v="8"/>
    <x v="3"/>
    <x v="55"/>
    <x v="0"/>
    <x v="1"/>
    <s v="Tienda Online"/>
    <x v="2"/>
    <n v="4"/>
    <n v="4"/>
  </r>
  <r>
    <s v="V000423"/>
    <s v="978-5-19287-626-3"/>
    <s v="Coraline"/>
    <s v="Neil Gaiman"/>
    <x v="8"/>
    <n v="15.29"/>
    <n v="1529"/>
    <n v="2"/>
    <n v="30.58"/>
    <x v="61"/>
    <x v="0"/>
    <x v="191"/>
    <x v="1"/>
    <x v="0"/>
    <s v="Librería Valencia Centro"/>
    <x v="0"/>
    <n v="4"/>
    <n v="4"/>
  </r>
  <r>
    <s v="V000424"/>
    <s v="978-9-93227-275-8"/>
    <s v="Los hermanos Karamázov"/>
    <s v="Fiódor Dostoyevski"/>
    <x v="9"/>
    <n v="17.010000000000002"/>
    <n v="1701"/>
    <n v="1"/>
    <n v="17.010000000000002"/>
    <x v="18"/>
    <x v="3"/>
    <x v="341"/>
    <x v="0"/>
    <x v="1"/>
    <s v="Tienda Online"/>
    <x v="2"/>
    <n v="5"/>
    <n v="5"/>
  </r>
  <r>
    <s v="V000425"/>
    <s v="978-3-17665-693-8"/>
    <s v="La familia de Pascual Duarte"/>
    <s v="Camilo José Cela"/>
    <x v="9"/>
    <n v="11.61"/>
    <n v="1161"/>
    <n v="4"/>
    <n v="46.44"/>
    <x v="39"/>
    <x v="0"/>
    <x v="342"/>
    <x v="1"/>
    <x v="0"/>
    <s v="Librería Gran Vía"/>
    <x v="0"/>
    <n v="5"/>
    <n v="5"/>
  </r>
  <r>
    <s v="V000426"/>
    <s v="978-1-68082-927-8"/>
    <s v="Náuseas"/>
    <s v="Jean-Paul Sartre"/>
    <x v="9"/>
    <n v="1.39"/>
    <n v="139"/>
    <n v="2"/>
    <n v="2.78"/>
    <x v="44"/>
    <x v="1"/>
    <x v="343"/>
    <x v="0"/>
    <x v="1"/>
    <s v="Tienda Online"/>
    <x v="0"/>
    <n v="3"/>
    <n v="3"/>
  </r>
  <r>
    <s v="V000427"/>
    <s v="978-4-10851-877-2"/>
    <s v="El nombre del viento"/>
    <s v="Patrick Rothfuss"/>
    <x v="2"/>
    <n v="2.19"/>
    <n v="219"/>
    <n v="2"/>
    <n v="4.38"/>
    <x v="45"/>
    <x v="3"/>
    <x v="344"/>
    <x v="0"/>
    <x v="1"/>
    <s v="Tienda Online"/>
    <x v="2"/>
    <n v="4"/>
    <n v="4"/>
  </r>
  <r>
    <s v="V000428"/>
    <s v="978-6-38893-559-9"/>
    <s v="Dune"/>
    <s v="Frank Herbert"/>
    <x v="12"/>
    <n v="19.46"/>
    <n v="1946"/>
    <n v="1"/>
    <n v="19.46"/>
    <x v="70"/>
    <x v="3"/>
    <x v="203"/>
    <x v="2"/>
    <x v="1"/>
    <s v="Tienda Online"/>
    <x v="0"/>
    <n v="5"/>
    <n v="5"/>
  </r>
  <r>
    <s v="V000429"/>
    <s v="978-7-77839-562-1"/>
    <s v="El principito"/>
    <s v="Antoine de Saint-Exupéry"/>
    <x v="6"/>
    <n v="10.89"/>
    <n v="1089"/>
    <n v="2"/>
    <n v="21.78"/>
    <x v="52"/>
    <x v="2"/>
    <x v="276"/>
    <x v="2"/>
    <x v="1"/>
    <s v="Tienda Online"/>
    <x v="4"/>
    <n v="5"/>
    <n v="5"/>
  </r>
  <r>
    <s v="V000430"/>
    <s v="978-9-38864-107-1"/>
    <s v="James y el melocotón gigante"/>
    <s v="Roald Dahl"/>
    <x v="6"/>
    <n v="8.7200000000000006"/>
    <n v="872"/>
    <n v="1"/>
    <n v="8.7200000000000006"/>
    <x v="52"/>
    <x v="2"/>
    <x v="345"/>
    <x v="0"/>
    <x v="0"/>
    <s v="Librería Central Madrid"/>
    <x v="4"/>
    <n v="4"/>
    <n v="4"/>
  </r>
  <r>
    <s v="V000431"/>
    <s v="978-1-40512-987-1"/>
    <s v="Los juegos del hambre"/>
    <s v="Suzanne Collins"/>
    <x v="8"/>
    <n v="13.41"/>
    <n v="1341"/>
    <n v="2"/>
    <n v="26.82"/>
    <x v="35"/>
    <x v="2"/>
    <x v="107"/>
    <x v="1"/>
    <x v="0"/>
    <s v="Librería Sevilla Triana"/>
    <x v="4"/>
    <n v="5"/>
    <n v="5"/>
  </r>
  <r>
    <s v="V000432"/>
    <s v="978-2-46509-573-3"/>
    <s v="La peste"/>
    <s v="Albert Camus"/>
    <x v="9"/>
    <n v="1.49"/>
    <n v="149"/>
    <n v="1"/>
    <n v="1.49"/>
    <x v="46"/>
    <x v="3"/>
    <x v="55"/>
    <x v="0"/>
    <x v="1"/>
    <s v="Tienda Online"/>
    <x v="0"/>
    <n v="4"/>
    <n v="4"/>
  </r>
  <r>
    <s v="V000433"/>
    <s v="978-9-44671-926-0"/>
    <s v="El Hobbit"/>
    <s v="J.R.R. Tolkien"/>
    <x v="2"/>
    <n v="14.36"/>
    <n v="1436"/>
    <n v="4"/>
    <n v="57.44"/>
    <x v="53"/>
    <x v="3"/>
    <x v="346"/>
    <x v="0"/>
    <x v="1"/>
    <s v="Tienda Online"/>
    <x v="1"/>
    <n v="4"/>
    <n v="4"/>
  </r>
  <r>
    <s v="V000434"/>
    <s v="978-7-17100-789-1"/>
    <s v="Carrie"/>
    <s v="Stephen King"/>
    <x v="4"/>
    <n v="1.49"/>
    <n v="149"/>
    <n v="1"/>
    <n v="1.49"/>
    <x v="38"/>
    <x v="1"/>
    <x v="160"/>
    <x v="1"/>
    <x v="0"/>
    <s v="Librería Sevilla Triana"/>
    <x v="0"/>
    <n v="5"/>
    <n v="5"/>
  </r>
  <r>
    <s v="V000435"/>
    <s v="978-5-50306-345-0"/>
    <s v="Homo Deus"/>
    <s v="Yuval Noah Harari"/>
    <x v="15"/>
    <n v="2.2999999999999998"/>
    <n v="230"/>
    <n v="1"/>
    <n v="2.2999999999999998"/>
    <x v="70"/>
    <x v="2"/>
    <x v="347"/>
    <x v="1"/>
    <x v="1"/>
    <s v="Tienda Online"/>
    <x v="4"/>
    <n v="3"/>
    <n v="3"/>
  </r>
  <r>
    <s v="V000436"/>
    <s v="978-5-50306-345-0"/>
    <s v="Homo Deus"/>
    <s v="Yuval Noah Harari"/>
    <x v="15"/>
    <n v="2.19"/>
    <n v="219"/>
    <n v="1"/>
    <n v="2.19"/>
    <x v="55"/>
    <x v="0"/>
    <x v="348"/>
    <x v="1"/>
    <x v="1"/>
    <s v="Tienda Online"/>
    <x v="4"/>
    <n v="2"/>
    <n v="2"/>
  </r>
  <r>
    <s v="V000437"/>
    <s v="978-5-50306-345-0"/>
    <s v="Homo Deus"/>
    <s v="Yuval Noah Harari"/>
    <x v="15"/>
    <n v="18.61"/>
    <n v="1861"/>
    <n v="2"/>
    <n v="37.22"/>
    <x v="17"/>
    <x v="1"/>
    <x v="349"/>
    <x v="2"/>
    <x v="1"/>
    <s v="Tienda Online"/>
    <x v="2"/>
    <n v="4"/>
    <n v="4"/>
  </r>
  <r>
    <s v="V000438"/>
    <s v="978-4-28301-352-8"/>
    <s v="El prisionero del cielo"/>
    <s v="Carlos Ruiz Zafón"/>
    <x v="3"/>
    <n v="1.79"/>
    <n v="179"/>
    <n v="2"/>
    <n v="3.58"/>
    <x v="41"/>
    <x v="3"/>
    <x v="350"/>
    <x v="0"/>
    <x v="1"/>
    <s v="Tienda Online"/>
    <x v="4"/>
    <n v="5"/>
    <n v="5"/>
  </r>
  <r>
    <s v="V000439"/>
    <s v="978-1-16630-767-8"/>
    <s v="Los pilares de la Tierra"/>
    <s v="Ken Follett"/>
    <x v="16"/>
    <n v="2.2999999999999998"/>
    <n v="230"/>
    <n v="1"/>
    <n v="2.2999999999999998"/>
    <x v="0"/>
    <x v="3"/>
    <x v="351"/>
    <x v="0"/>
    <x v="1"/>
    <s v="Tienda Online"/>
    <x v="4"/>
    <n v="4"/>
    <n v="4"/>
  </r>
  <r>
    <s v="V000440"/>
    <s v="978-4-93748-619-9"/>
    <s v="Perdida"/>
    <s v="Gillian Flynn"/>
    <x v="1"/>
    <n v="1.65"/>
    <n v="165"/>
    <n v="1"/>
    <n v="1.65"/>
    <x v="5"/>
    <x v="1"/>
    <x v="67"/>
    <x v="1"/>
    <x v="0"/>
    <s v="Librería Central Madrid"/>
    <x v="3"/>
    <n v="5"/>
    <n v="5"/>
  </r>
  <r>
    <s v="V000441"/>
    <s v="978-4-99593-763-1"/>
    <s v="Crimen y castigo"/>
    <s v="Fiódor Dostoyevski"/>
    <x v="9"/>
    <n v="13.55"/>
    <n v="1355"/>
    <n v="2"/>
    <n v="27.1"/>
    <x v="25"/>
    <x v="0"/>
    <x v="291"/>
    <x v="1"/>
    <x v="1"/>
    <s v="Tienda Online"/>
    <x v="4"/>
    <n v="5"/>
    <n v="5"/>
  </r>
  <r>
    <s v="V000442"/>
    <s v="978-1-68082-927-8"/>
    <s v="Náuseas"/>
    <s v="Jean-Paul Sartre"/>
    <x v="9"/>
    <n v="1.39"/>
    <n v="139"/>
    <n v="2"/>
    <n v="2.78"/>
    <x v="19"/>
    <x v="1"/>
    <x v="352"/>
    <x v="1"/>
    <x v="1"/>
    <s v="Tienda Online"/>
    <x v="2"/>
    <n v="4"/>
    <n v="4"/>
  </r>
  <r>
    <s v="V000443"/>
    <s v="978-0-51104-158-0"/>
    <s v="Manual de cocina fácil"/>
    <s v="Karlos Arguiñano"/>
    <x v="14"/>
    <n v="19.690000000000001"/>
    <n v="1969"/>
    <n v="1"/>
    <n v="19.690000000000001"/>
    <x v="36"/>
    <x v="3"/>
    <x v="353"/>
    <x v="1"/>
    <x v="1"/>
    <s v="Tienda Online"/>
    <x v="4"/>
    <n v="4"/>
    <n v="4"/>
  </r>
  <r>
    <s v="V000444"/>
    <s v="978-8-31643-371-8"/>
    <s v="Hábitos atómicos"/>
    <s v="James Clear"/>
    <x v="0"/>
    <n v="1.89"/>
    <n v="189"/>
    <n v="1"/>
    <n v="1.89"/>
    <x v="13"/>
    <x v="0"/>
    <x v="204"/>
    <x v="1"/>
    <x v="0"/>
    <s v="Librería Valencia Centro"/>
    <x v="0"/>
    <m/>
    <s v="Sin valoración"/>
  </r>
  <r>
    <s v="V000445"/>
    <s v="978-1-48469-545-2"/>
    <s v="Origen"/>
    <s v="Dan Brown"/>
    <x v="1"/>
    <n v="16.91"/>
    <n v="1691"/>
    <n v="1"/>
    <n v="16.91"/>
    <x v="23"/>
    <x v="0"/>
    <x v="195"/>
    <x v="0"/>
    <x v="0"/>
    <s v="Librería Valencia Centro"/>
    <x v="2"/>
    <n v="3"/>
    <n v="3"/>
  </r>
  <r>
    <s v="V000446"/>
    <s v="978-8-44973-887-5"/>
    <s v="Ángeles y demonios"/>
    <s v="Dan Brown"/>
    <x v="1"/>
    <n v="14.36"/>
    <n v="1436"/>
    <n v="1"/>
    <n v="14.36"/>
    <x v="42"/>
    <x v="0"/>
    <x v="354"/>
    <x v="0"/>
    <x v="1"/>
    <s v="Tienda Online"/>
    <x v="0"/>
    <n v="4"/>
    <n v="4"/>
  </r>
  <r>
    <s v="V000447"/>
    <s v="978-4-93748-619-9"/>
    <s v="Perdida"/>
    <s v="Gillian Flynn"/>
    <x v="1"/>
    <n v="14.85"/>
    <n v="1485"/>
    <n v="2"/>
    <n v="29.7"/>
    <x v="55"/>
    <x v="3"/>
    <x v="355"/>
    <x v="2"/>
    <x v="1"/>
    <s v="Tienda Online"/>
    <x v="4"/>
    <n v="4"/>
    <n v="4"/>
  </r>
  <r>
    <s v="V000448"/>
    <s v="978-8-44438-864-9"/>
    <s v="Rayuela"/>
    <s v="Julio Cortázar"/>
    <x v="9"/>
    <n v="1.69"/>
    <n v="169"/>
    <n v="1"/>
    <n v="1.69"/>
    <x v="33"/>
    <x v="0"/>
    <x v="356"/>
    <x v="1"/>
    <x v="1"/>
    <s v="Tienda Online"/>
    <x v="3"/>
    <n v="4"/>
    <n v="4"/>
  </r>
  <r>
    <s v="V000449"/>
    <s v="978-3-50857-508-5"/>
    <s v="Piense y hágase rico"/>
    <s v="Napoleon Hill"/>
    <x v="5"/>
    <n v="11.81"/>
    <n v="1181"/>
    <n v="1"/>
    <n v="11.81"/>
    <x v="26"/>
    <x v="0"/>
    <x v="357"/>
    <x v="1"/>
    <x v="1"/>
    <s v="Tienda Online"/>
    <x v="3"/>
    <n v="4"/>
    <n v="4"/>
  </r>
  <r>
    <s v="V000450"/>
    <s v="978-6-56438-533-6"/>
    <s v="Misery"/>
    <s v="Stephen King"/>
    <x v="4"/>
    <n v="1.69"/>
    <n v="169"/>
    <n v="1"/>
    <n v="1.69"/>
    <x v="47"/>
    <x v="3"/>
    <x v="358"/>
    <x v="2"/>
    <x v="1"/>
    <s v="Tienda Online"/>
    <x v="2"/>
    <n v="5"/>
    <n v="5"/>
  </r>
  <r>
    <s v="V000451"/>
    <s v="978-3-97782-833-5"/>
    <s v="V de Vendetta"/>
    <s v="Alan Moore"/>
    <x v="10"/>
    <n v="1.89"/>
    <n v="189"/>
    <n v="1"/>
    <n v="1.89"/>
    <x v="59"/>
    <x v="2"/>
    <x v="359"/>
    <x v="2"/>
    <x v="1"/>
    <s v="Tienda Online"/>
    <x v="4"/>
    <n v="4"/>
    <n v="4"/>
  </r>
  <r>
    <s v="V000452"/>
    <s v="978-7-80284-227-6"/>
    <s v="El Señor de los Anillos"/>
    <s v="J.R.R. Tolkien"/>
    <x v="2"/>
    <n v="32.89"/>
    <n v="3289"/>
    <n v="1"/>
    <n v="32.89"/>
    <x v="3"/>
    <x v="1"/>
    <x v="352"/>
    <x v="0"/>
    <x v="1"/>
    <s v="Tienda Online"/>
    <x v="4"/>
    <n v="5"/>
    <n v="5"/>
  </r>
  <r>
    <s v="V000453"/>
    <s v="978-6-46434-564-5"/>
    <s v="En llamas"/>
    <s v="Suzanne Collins"/>
    <x v="8"/>
    <n v="12.66"/>
    <n v="1266"/>
    <n v="1"/>
    <n v="12.66"/>
    <x v="64"/>
    <x v="2"/>
    <x v="114"/>
    <x v="2"/>
    <x v="1"/>
    <s v="Tienda Online"/>
    <x v="0"/>
    <n v="4"/>
    <n v="4"/>
  </r>
  <r>
    <s v="V000454"/>
    <s v="978-3-54118-204-1"/>
    <s v="Juego de Tronos"/>
    <s v="George R.R. Martin"/>
    <x v="2"/>
    <n v="21.89"/>
    <n v="2189"/>
    <n v="1"/>
    <n v="21.89"/>
    <x v="23"/>
    <x v="2"/>
    <x v="117"/>
    <x v="2"/>
    <x v="1"/>
    <s v="Tienda Online"/>
    <x v="3"/>
    <n v="5"/>
    <n v="5"/>
  </r>
  <r>
    <s v="V000455"/>
    <s v="978-2-63269-597-7"/>
    <s v="La chica de nieve"/>
    <s v="Javier Castillo"/>
    <x v="1"/>
    <n v="17.010000000000002"/>
    <n v="1701"/>
    <n v="3"/>
    <n v="51.03"/>
    <x v="43"/>
    <x v="3"/>
    <x v="360"/>
    <x v="1"/>
    <x v="0"/>
    <s v="Librería Barcelona Gòtic"/>
    <x v="0"/>
    <n v="4"/>
    <n v="4"/>
  </r>
  <r>
    <s v="V000456"/>
    <s v="978-0-22224-871-3"/>
    <s v="Un mundo sin fin"/>
    <s v="Ken Follett"/>
    <x v="16"/>
    <n v="19.46"/>
    <n v="1946"/>
    <n v="1"/>
    <n v="19.46"/>
    <x v="64"/>
    <x v="3"/>
    <x v="361"/>
    <x v="1"/>
    <x v="0"/>
    <s v="Librería Central Madrid"/>
    <x v="1"/>
    <n v="2"/>
    <n v="2"/>
  </r>
  <r>
    <s v="V000457"/>
    <s v="978-2-92240-263-6"/>
    <s v="La casa de Bernarda Alba"/>
    <s v="Federico García Lorca"/>
    <x v="17"/>
    <n v="8.42"/>
    <n v="842"/>
    <n v="2"/>
    <n v="16.84"/>
    <x v="51"/>
    <x v="2"/>
    <x v="362"/>
    <x v="0"/>
    <x v="1"/>
    <s v="Tienda Online"/>
    <x v="3"/>
    <n v="5"/>
    <n v="5"/>
  </r>
  <r>
    <s v="V000458"/>
    <s v="978-3-54118-204-1"/>
    <s v="Juego de Tronos"/>
    <s v="George R.R. Martin"/>
    <x v="2"/>
    <n v="15.92"/>
    <n v="1592"/>
    <n v="2"/>
    <n v="31.84"/>
    <x v="43"/>
    <x v="0"/>
    <x v="195"/>
    <x v="2"/>
    <x v="1"/>
    <s v="Tienda Online"/>
    <x v="1"/>
    <n v="4"/>
    <n v="4"/>
  </r>
  <r>
    <s v="V000459"/>
    <s v="978-3-50857-508-5"/>
    <s v="Piense y hágase rico"/>
    <s v="Napoleon Hill"/>
    <x v="5"/>
    <n v="1.39"/>
    <n v="139"/>
    <n v="1"/>
    <n v="1.39"/>
    <x v="27"/>
    <x v="3"/>
    <x v="165"/>
    <x v="0"/>
    <x v="1"/>
    <s v="Tienda Online"/>
    <x v="2"/>
    <n v="5"/>
    <n v="5"/>
  </r>
  <r>
    <s v="V000460"/>
    <s v="978-3-31417-573-6"/>
    <s v="Ana Karenina"/>
    <s v="León Tolstói"/>
    <x v="9"/>
    <n v="17.75"/>
    <n v="1775"/>
    <n v="2"/>
    <n v="35.5"/>
    <x v="22"/>
    <x v="2"/>
    <x v="363"/>
    <x v="1"/>
    <x v="0"/>
    <s v="Librería Central Madrid"/>
    <x v="3"/>
    <n v="3"/>
    <n v="3"/>
  </r>
  <r>
    <s v="V000461"/>
    <s v="978-9-38864-107-1"/>
    <s v="James y el melocotón gigante"/>
    <s v="Roald Dahl"/>
    <x v="6"/>
    <n v="11.45"/>
    <n v="1145"/>
    <n v="1"/>
    <n v="11.45"/>
    <x v="9"/>
    <x v="3"/>
    <x v="364"/>
    <x v="2"/>
    <x v="1"/>
    <s v="Tienda Online"/>
    <x v="3"/>
    <n v="4"/>
    <n v="4"/>
  </r>
  <r>
    <s v="V000462"/>
    <s v="978-2-26828-775-7"/>
    <s v="Los cuatro acuerdos"/>
    <s v="Miguel Ruiz"/>
    <x v="0"/>
    <n v="1.29"/>
    <n v="129"/>
    <n v="1"/>
    <n v="1.29"/>
    <x v="39"/>
    <x v="1"/>
    <x v="354"/>
    <x v="1"/>
    <x v="1"/>
    <s v="Tienda Online"/>
    <x v="1"/>
    <n v="5"/>
    <n v="5"/>
  </r>
  <r>
    <s v="V000463"/>
    <s v="978-3-62923-222-9"/>
    <s v="El gen egoísta"/>
    <s v="Richard Dawkins"/>
    <x v="11"/>
    <n v="19.690000000000001"/>
    <n v="1969"/>
    <n v="1"/>
    <n v="19.690000000000001"/>
    <x v="27"/>
    <x v="0"/>
    <x v="365"/>
    <x v="1"/>
    <x v="0"/>
    <s v="Librería Valencia Centro"/>
    <x v="1"/>
    <n v="5"/>
    <n v="5"/>
  </r>
  <r>
    <s v="V000464"/>
    <s v="978-9-65461-316-8"/>
    <s v="Padre rico, padre pobre"/>
    <s v="Robert Kiyosaki"/>
    <x v="5"/>
    <n v="14.36"/>
    <n v="1436"/>
    <n v="3"/>
    <n v="43.08"/>
    <x v="65"/>
    <x v="3"/>
    <x v="153"/>
    <x v="1"/>
    <x v="0"/>
    <s v="Librería Sevilla Triana"/>
    <x v="2"/>
    <n v="5"/>
    <n v="5"/>
  </r>
  <r>
    <s v="V000465"/>
    <s v="978-3-28131-621-7"/>
    <s v="El Aleph"/>
    <s v="Jorge Luis Borges"/>
    <x v="9"/>
    <n v="1.46"/>
    <n v="146"/>
    <n v="1"/>
    <n v="1.46"/>
    <x v="47"/>
    <x v="3"/>
    <x v="366"/>
    <x v="2"/>
    <x v="1"/>
    <s v="Tienda Online"/>
    <x v="3"/>
    <n v="5"/>
    <n v="5"/>
  </r>
  <r>
    <s v="V000466"/>
    <s v="978-1-40512-987-1"/>
    <s v="Los juegos del hambre"/>
    <s v="Suzanne Collins"/>
    <x v="8"/>
    <n v="1.49"/>
    <n v="149"/>
    <n v="1"/>
    <n v="1.49"/>
    <x v="34"/>
    <x v="0"/>
    <x v="367"/>
    <x v="0"/>
    <x v="1"/>
    <s v="Tienda Online"/>
    <x v="1"/>
    <n v="5"/>
    <n v="5"/>
  </r>
  <r>
    <s v="V000467"/>
    <s v="978-9-72493-614-8"/>
    <s v="El chef en casa"/>
    <s v="Jamie Oliver"/>
    <x v="14"/>
    <n v="1.99"/>
    <n v="199"/>
    <n v="2"/>
    <n v="3.98"/>
    <x v="57"/>
    <x v="0"/>
    <x v="266"/>
    <x v="0"/>
    <x v="0"/>
    <s v="Librería Sevilla Triana"/>
    <x v="3"/>
    <n v="4"/>
    <n v="4"/>
  </r>
  <r>
    <s v="V000468"/>
    <s v="978-3-62923-222-9"/>
    <s v="El gen egoísta"/>
    <s v="Richard Dawkins"/>
    <x v="11"/>
    <n v="19.690000000000001"/>
    <n v="1969"/>
    <n v="3"/>
    <n v="59.070000000000007"/>
    <x v="6"/>
    <x v="1"/>
    <x v="368"/>
    <x v="0"/>
    <x v="0"/>
    <s v="Librería Sevilla Triana"/>
    <x v="3"/>
    <n v="2"/>
    <n v="2"/>
  </r>
  <r>
    <s v="V000469"/>
    <s v="978-1-48469-545-2"/>
    <s v="Origen"/>
    <s v="Dan Brown"/>
    <x v="1"/>
    <n v="1.99"/>
    <n v="199"/>
    <n v="2"/>
    <n v="3.98"/>
    <x v="29"/>
    <x v="0"/>
    <x v="369"/>
    <x v="1"/>
    <x v="0"/>
    <s v="Librería Central Madrid"/>
    <x v="0"/>
    <n v="4"/>
    <n v="4"/>
  </r>
  <r>
    <s v="V000470"/>
    <s v="978-9-38864-107-1"/>
    <s v="James y el melocotón gigante"/>
    <s v="Roald Dahl"/>
    <x v="6"/>
    <n v="9.27"/>
    <n v="927"/>
    <n v="1"/>
    <n v="9.27"/>
    <x v="24"/>
    <x v="0"/>
    <x v="370"/>
    <x v="1"/>
    <x v="1"/>
    <s v="Tienda Online"/>
    <x v="1"/>
    <n v="5"/>
    <n v="5"/>
  </r>
  <r>
    <s v="V000471"/>
    <s v="978-3-28131-621-7"/>
    <s v="El Aleph"/>
    <s v="Jorge Luis Borges"/>
    <x v="9"/>
    <n v="1.39"/>
    <n v="139"/>
    <n v="1"/>
    <n v="1.39"/>
    <x v="14"/>
    <x v="3"/>
    <x v="371"/>
    <x v="0"/>
    <x v="1"/>
    <s v="Tienda Online"/>
    <x v="2"/>
    <n v="3"/>
    <n v="3"/>
  </r>
  <r>
    <s v="V000472"/>
    <s v="978-1-40512-987-1"/>
    <s v="Los juegos del hambre"/>
    <s v="Suzanne Collins"/>
    <x v="8"/>
    <n v="1.49"/>
    <n v="149"/>
    <n v="1"/>
    <n v="1.49"/>
    <x v="55"/>
    <x v="3"/>
    <x v="79"/>
    <x v="2"/>
    <x v="1"/>
    <s v="Tienda Online"/>
    <x v="1"/>
    <n v="5"/>
    <n v="5"/>
  </r>
  <r>
    <s v="V000473"/>
    <s v="978-8-44973-887-5"/>
    <s v="Ángeles y demonios"/>
    <s v="Dan Brown"/>
    <x v="1"/>
    <n v="14.36"/>
    <n v="1436"/>
    <n v="1"/>
    <n v="14.36"/>
    <x v="42"/>
    <x v="1"/>
    <x v="372"/>
    <x v="0"/>
    <x v="0"/>
    <s v="Librería Sevilla Triana"/>
    <x v="2"/>
    <n v="4"/>
    <n v="4"/>
  </r>
  <r>
    <s v="V000474"/>
    <s v="978-8-21395-704-6"/>
    <s v="1984"/>
    <s v="George Orwell"/>
    <x v="12"/>
    <n v="1.49"/>
    <n v="149"/>
    <n v="1"/>
    <n v="1.49"/>
    <x v="27"/>
    <x v="1"/>
    <x v="373"/>
    <x v="1"/>
    <x v="0"/>
    <s v="Librería Gran Vía"/>
    <x v="2"/>
    <n v="4"/>
    <n v="4"/>
  </r>
  <r>
    <s v="V000475"/>
    <s v="978-1-13278-859-4"/>
    <s v="Cien años de soledad"/>
    <s v="Gabriel García Márquez"/>
    <x v="3"/>
    <n v="1.89"/>
    <n v="189"/>
    <n v="1"/>
    <n v="1.89"/>
    <x v="53"/>
    <x v="0"/>
    <x v="374"/>
    <x v="2"/>
    <x v="1"/>
    <s v="Tienda Online"/>
    <x v="0"/>
    <n v="4"/>
    <n v="4"/>
  </r>
  <r>
    <s v="V000476"/>
    <s v="978-6-54597-384-2"/>
    <s v="El temor de un hombre sabio"/>
    <s v="Patrick Rothfuss"/>
    <x v="2"/>
    <n v="22.41"/>
    <n v="2241"/>
    <n v="1"/>
    <n v="22.41"/>
    <x v="67"/>
    <x v="0"/>
    <x v="375"/>
    <x v="2"/>
    <x v="1"/>
    <s v="Tienda Online"/>
    <x v="0"/>
    <n v="5"/>
    <n v="5"/>
  </r>
  <r>
    <s v="V000477"/>
    <s v="978-9-71953-348-7"/>
    <s v="It"/>
    <s v="Stephen King"/>
    <x v="4"/>
    <n v="2.29"/>
    <n v="229"/>
    <n v="1"/>
    <n v="2.29"/>
    <x v="10"/>
    <x v="0"/>
    <x v="376"/>
    <x v="2"/>
    <x v="1"/>
    <s v="Tienda Online"/>
    <x v="1"/>
    <n v="3"/>
    <n v="3"/>
  </r>
  <r>
    <s v="V000478"/>
    <s v="978-9-72493-614-8"/>
    <s v="El chef en casa"/>
    <s v="Jamie Oliver"/>
    <x v="14"/>
    <n v="21.89"/>
    <n v="2189"/>
    <n v="1"/>
    <n v="21.89"/>
    <x v="3"/>
    <x v="3"/>
    <x v="377"/>
    <x v="0"/>
    <x v="0"/>
    <s v="Librería Central Madrid"/>
    <x v="0"/>
    <n v="4"/>
    <n v="4"/>
  </r>
  <r>
    <s v="V000479"/>
    <s v="978-0-22224-871-3"/>
    <s v="Un mundo sin fin"/>
    <s v="Ken Follett"/>
    <x v="16"/>
    <n v="2.29"/>
    <n v="229"/>
    <n v="1"/>
    <n v="2.29"/>
    <x v="37"/>
    <x v="3"/>
    <x v="378"/>
    <x v="0"/>
    <x v="0"/>
    <s v="Librería Barcelona Gòtic"/>
    <x v="4"/>
    <n v="4"/>
    <n v="4"/>
  </r>
  <r>
    <s v="V000480"/>
    <s v="978-2-92240-263-6"/>
    <s v="La casa de Bernarda Alba"/>
    <s v="Federico García Lorca"/>
    <x v="17"/>
    <n v="0.99"/>
    <n v="99"/>
    <n v="1"/>
    <n v="0.99"/>
    <x v="36"/>
    <x v="2"/>
    <x v="269"/>
    <x v="1"/>
    <x v="0"/>
    <s v="Librería Gran Vía"/>
    <x v="1"/>
    <n v="4"/>
    <n v="4"/>
  </r>
  <r>
    <s v="V000481"/>
    <s v="978-6-56438-533-6"/>
    <s v="Misery"/>
    <s v="Stephen King"/>
    <x v="4"/>
    <n v="17.75"/>
    <n v="1775"/>
    <n v="1"/>
    <n v="17.75"/>
    <x v="69"/>
    <x v="3"/>
    <x v="78"/>
    <x v="1"/>
    <x v="1"/>
    <s v="Tienda Online"/>
    <x v="1"/>
    <n v="5"/>
    <n v="5"/>
  </r>
  <r>
    <s v="V000482"/>
    <s v="978-3-62923-222-9"/>
    <s v="El gen egoísta"/>
    <s v="Richard Dawkins"/>
    <x v="11"/>
    <n v="19.690000000000001"/>
    <n v="1969"/>
    <n v="1"/>
    <n v="19.690000000000001"/>
    <x v="49"/>
    <x v="3"/>
    <x v="379"/>
    <x v="1"/>
    <x v="1"/>
    <s v="Tienda Online"/>
    <x v="4"/>
    <m/>
    <s v="Sin valoración"/>
  </r>
  <r>
    <s v="V000483"/>
    <s v="978-3-62565-160-2"/>
    <s v="El día que se perdió la cordura"/>
    <s v="Javier Castillo"/>
    <x v="1"/>
    <n v="20.79"/>
    <n v="2079"/>
    <n v="1"/>
    <n v="20.79"/>
    <x v="34"/>
    <x v="2"/>
    <x v="380"/>
    <x v="0"/>
    <x v="1"/>
    <s v="Tienda Online"/>
    <x v="1"/>
    <m/>
    <s v="Sin valoración"/>
  </r>
  <r>
    <s v="V000484"/>
    <s v="978-1-16630-767-8"/>
    <s v="Los pilares de la Tierra"/>
    <s v="Ken Follett"/>
    <x v="16"/>
    <n v="2.19"/>
    <n v="219"/>
    <n v="1"/>
    <n v="2.19"/>
    <x v="69"/>
    <x v="2"/>
    <x v="381"/>
    <x v="1"/>
    <x v="0"/>
    <s v="Librería Gran Vía"/>
    <x v="4"/>
    <n v="5"/>
    <n v="5"/>
  </r>
  <r>
    <s v="V000485"/>
    <s v="978-3-39451-165-5"/>
    <s v="Matilda"/>
    <s v="Roald Dahl"/>
    <x v="6"/>
    <n v="9.52"/>
    <n v="952"/>
    <n v="2"/>
    <n v="19.04"/>
    <x v="61"/>
    <x v="3"/>
    <x v="382"/>
    <x v="1"/>
    <x v="0"/>
    <s v="Librería Sevilla Triana"/>
    <x v="3"/>
    <n v="5"/>
    <n v="5"/>
  </r>
  <r>
    <s v="V000486"/>
    <s v="978-7-19071-878-8"/>
    <s v="El poder del ahora"/>
    <s v="Eckhart Tolle"/>
    <x v="0"/>
    <n v="12.66"/>
    <n v="1266"/>
    <n v="1"/>
    <n v="12.66"/>
    <x v="42"/>
    <x v="3"/>
    <x v="383"/>
    <x v="2"/>
    <x v="1"/>
    <s v="Tienda Online"/>
    <x v="3"/>
    <n v="5"/>
    <n v="5"/>
  </r>
  <r>
    <s v="V000487"/>
    <s v="978-7-47388-533-8"/>
    <s v="Los besos"/>
    <s v="Manuel Vilas"/>
    <x v="3"/>
    <n v="1.89"/>
    <n v="189"/>
    <n v="1"/>
    <n v="1.89"/>
    <x v="12"/>
    <x v="3"/>
    <x v="384"/>
    <x v="2"/>
    <x v="1"/>
    <s v="Tienda Online"/>
    <x v="4"/>
    <n v="4"/>
    <n v="4"/>
  </r>
  <r>
    <s v="V000488"/>
    <s v="978-9-71953-348-7"/>
    <s v="It"/>
    <s v="Stephen King"/>
    <x v="4"/>
    <n v="18.32"/>
    <n v="1832"/>
    <n v="2"/>
    <n v="36.64"/>
    <x v="46"/>
    <x v="1"/>
    <x v="385"/>
    <x v="0"/>
    <x v="1"/>
    <s v="Tienda Online"/>
    <x v="4"/>
    <n v="5"/>
    <n v="5"/>
  </r>
  <r>
    <s v="V000489"/>
    <s v="978-4-10851-877-2"/>
    <s v="El nombre del viento"/>
    <s v="Patrick Rothfuss"/>
    <x v="2"/>
    <n v="24.09"/>
    <n v="2409"/>
    <n v="3"/>
    <n v="72.27"/>
    <x v="27"/>
    <x v="3"/>
    <x v="230"/>
    <x v="2"/>
    <x v="1"/>
    <s v="Tienda Online"/>
    <x v="0"/>
    <n v="5"/>
    <n v="5"/>
  </r>
  <r>
    <s v="V000490"/>
    <s v="978-3-84364-180-1"/>
    <s v="21 lecciones para el siglo XXI"/>
    <s v="Yuval Noah Harari"/>
    <x v="15"/>
    <n v="17.91"/>
    <n v="1791"/>
    <n v="2"/>
    <n v="35.82"/>
    <x v="48"/>
    <x v="3"/>
    <x v="386"/>
    <x v="0"/>
    <x v="1"/>
    <s v="Tienda Online"/>
    <x v="2"/>
    <m/>
    <s v="Sin valoración"/>
  </r>
  <r>
    <s v="V000491"/>
    <s v="978-6-54597-384-2"/>
    <s v="El temor de un hombre sabio"/>
    <s v="Patrick Rothfuss"/>
    <x v="2"/>
    <n v="27.39"/>
    <n v="2739"/>
    <n v="1"/>
    <n v="27.39"/>
    <x v="14"/>
    <x v="2"/>
    <x v="210"/>
    <x v="1"/>
    <x v="0"/>
    <s v="Librería Gran Vía"/>
    <x v="1"/>
    <n v="3"/>
    <n v="3"/>
  </r>
  <r>
    <s v="V000492"/>
    <s v="978-2-26828-775-7"/>
    <s v="Los cuatro acuerdos"/>
    <s v="Miguel Ruiz"/>
    <x v="0"/>
    <n v="1.29"/>
    <n v="129"/>
    <n v="1"/>
    <n v="1.29"/>
    <x v="40"/>
    <x v="1"/>
    <x v="387"/>
    <x v="1"/>
    <x v="1"/>
    <s v="Tienda Online"/>
    <x v="0"/>
    <n v="5"/>
    <n v="5"/>
  </r>
  <r>
    <s v="V000493"/>
    <s v="978-3-76237-716-0"/>
    <s v="Fahrenheit 451"/>
    <s v="Ray Bradbury"/>
    <x v="12"/>
    <n v="1.39"/>
    <n v="139"/>
    <n v="1"/>
    <n v="1.39"/>
    <x v="7"/>
    <x v="1"/>
    <x v="166"/>
    <x v="2"/>
    <x v="1"/>
    <s v="Tienda Online"/>
    <x v="2"/>
    <m/>
    <s v="Sin valoración"/>
  </r>
  <r>
    <s v="V000494"/>
    <s v="978-1-42591-296-3"/>
    <s v="Frankenstein"/>
    <s v="Mary Shelley"/>
    <x v="4"/>
    <n v="1.19"/>
    <n v="119"/>
    <n v="1"/>
    <n v="1.19"/>
    <x v="44"/>
    <x v="2"/>
    <x v="388"/>
    <x v="0"/>
    <x v="1"/>
    <s v="Tienda Online"/>
    <x v="3"/>
    <n v="4"/>
    <n v="4"/>
  </r>
  <r>
    <s v="V000495"/>
    <s v="978-7-19071-878-8"/>
    <s v="El poder del ahora"/>
    <s v="Eckhart Tolle"/>
    <x v="0"/>
    <n v="1.49"/>
    <n v="149"/>
    <n v="3"/>
    <n v="4.47"/>
    <x v="10"/>
    <x v="2"/>
    <x v="83"/>
    <x v="0"/>
    <x v="1"/>
    <s v="Tienda Online"/>
    <x v="0"/>
    <n v="2"/>
    <n v="2"/>
  </r>
  <r>
    <s v="V000496"/>
    <s v="978-4-93748-619-9"/>
    <s v="Perdida"/>
    <s v="Gillian Flynn"/>
    <x v="1"/>
    <n v="18.149999999999999"/>
    <n v="1815"/>
    <n v="1"/>
    <n v="18.149999999999999"/>
    <x v="2"/>
    <x v="1"/>
    <x v="136"/>
    <x v="1"/>
    <x v="0"/>
    <s v="Librería Gran Vía"/>
    <x v="1"/>
    <n v="5"/>
    <n v="5"/>
  </r>
  <r>
    <s v="V000497"/>
    <s v="978-7-19071-878-8"/>
    <s v="El poder del ahora"/>
    <s v="Eckhart Tolle"/>
    <x v="0"/>
    <n v="1.49"/>
    <n v="149"/>
    <n v="1"/>
    <n v="1.49"/>
    <x v="53"/>
    <x v="1"/>
    <x v="56"/>
    <x v="0"/>
    <x v="1"/>
    <s v="Tienda Online"/>
    <x v="1"/>
    <n v="4"/>
    <n v="4"/>
  </r>
  <r>
    <s v="V000498"/>
    <s v="978-3-62565-160-2"/>
    <s v="El día que se perdió la cordura"/>
    <s v="Javier Castillo"/>
    <x v="1"/>
    <n v="19.84"/>
    <n v="1984"/>
    <n v="1"/>
    <n v="19.84"/>
    <x v="1"/>
    <x v="1"/>
    <x v="389"/>
    <x v="2"/>
    <x v="1"/>
    <s v="Tienda Online"/>
    <x v="2"/>
    <n v="4"/>
    <n v="4"/>
  </r>
  <r>
    <s v="V000499"/>
    <s v="978-3-54118-204-1"/>
    <s v="Juego de Tronos"/>
    <s v="George R.R. Martin"/>
    <x v="2"/>
    <n v="21.89"/>
    <n v="2189"/>
    <n v="3"/>
    <n v="65.67"/>
    <x v="38"/>
    <x v="3"/>
    <x v="390"/>
    <x v="2"/>
    <x v="1"/>
    <s v="Tienda Online"/>
    <x v="0"/>
    <n v="3"/>
    <n v="3"/>
  </r>
  <r>
    <s v="V000500"/>
    <s v="978-8-44438-864-9"/>
    <s v="Rayuela"/>
    <s v="Julio Cortázar"/>
    <x v="9"/>
    <n v="17.75"/>
    <n v="1775"/>
    <n v="1"/>
    <n v="17.75"/>
    <x v="70"/>
    <x v="2"/>
    <x v="391"/>
    <x v="1"/>
    <x v="1"/>
    <s v="Tienda Online"/>
    <x v="0"/>
    <m/>
    <s v="Sin valoración"/>
  </r>
  <r>
    <s v="V000501"/>
    <s v="978-7-47388-533-8"/>
    <s v="Los besos"/>
    <s v="Manuel Vilas"/>
    <x v="3"/>
    <n v="17.010000000000002"/>
    <n v="1701"/>
    <n v="1"/>
    <n v="17.010000000000002"/>
    <x v="59"/>
    <x v="1"/>
    <x v="392"/>
    <x v="2"/>
    <x v="1"/>
    <s v="Tienda Online"/>
    <x v="4"/>
    <n v="5"/>
    <n v="5"/>
  </r>
  <r>
    <s v="V000502"/>
    <s v="978-1-16630-767-8"/>
    <s v="Los pilares de la Tierra"/>
    <s v="Ken Follett"/>
    <x v="16"/>
    <n v="2.19"/>
    <n v="219"/>
    <n v="1"/>
    <n v="2.19"/>
    <x v="22"/>
    <x v="0"/>
    <x v="393"/>
    <x v="2"/>
    <x v="1"/>
    <s v="Tienda Online"/>
    <x v="4"/>
    <n v="4"/>
    <n v="4"/>
  </r>
  <r>
    <s v="V000503"/>
    <s v="978-3-54118-204-1"/>
    <s v="Juego de Tronos"/>
    <s v="George R.R. Martin"/>
    <x v="2"/>
    <n v="1.99"/>
    <n v="199"/>
    <n v="2"/>
    <n v="3.98"/>
    <x v="70"/>
    <x v="0"/>
    <x v="394"/>
    <x v="1"/>
    <x v="1"/>
    <s v="Tienda Online"/>
    <x v="2"/>
    <n v="3"/>
    <n v="3"/>
  </r>
  <r>
    <s v="V000504"/>
    <s v="978-3-84364-180-1"/>
    <s v="21 lecciones para el siglo XXI"/>
    <s v="Yuval Noah Harari"/>
    <x v="15"/>
    <n v="1.99"/>
    <n v="199"/>
    <n v="2"/>
    <n v="3.98"/>
    <x v="28"/>
    <x v="2"/>
    <x v="395"/>
    <x v="1"/>
    <x v="1"/>
    <s v="Tienda Online"/>
    <x v="4"/>
    <n v="5"/>
    <n v="5"/>
  </r>
  <r>
    <s v="V000505"/>
    <s v="978-6-94259-569-2"/>
    <s v="El juego del ángel"/>
    <s v="Carlos Ruiz Zafón"/>
    <x v="3"/>
    <n v="1.48"/>
    <n v="148"/>
    <n v="1"/>
    <n v="1.48"/>
    <x v="5"/>
    <x v="0"/>
    <x v="166"/>
    <x v="1"/>
    <x v="1"/>
    <s v="Tienda Online"/>
    <x v="3"/>
    <n v="4"/>
    <n v="4"/>
  </r>
  <r>
    <s v="V000506"/>
    <s v="978-0-40007-169-0"/>
    <s v="El Principito ilustrado"/>
    <s v="Antoine de Saint-Exupéry"/>
    <x v="6"/>
    <n v="1.59"/>
    <n v="159"/>
    <n v="1"/>
    <n v="1.59"/>
    <x v="24"/>
    <x v="1"/>
    <x v="396"/>
    <x v="1"/>
    <x v="1"/>
    <s v="Tienda Online"/>
    <x v="2"/>
    <m/>
    <s v="Sin valoración"/>
  </r>
  <r>
    <s v="V000507"/>
    <s v="978-6-22676-467-5"/>
    <s v="Choque de Reyes"/>
    <s v="George R.R. Martin"/>
    <x v="2"/>
    <n v="16.91"/>
    <n v="1691"/>
    <n v="1"/>
    <n v="16.91"/>
    <x v="7"/>
    <x v="0"/>
    <x v="397"/>
    <x v="0"/>
    <x v="1"/>
    <s v="Tienda Online"/>
    <x v="3"/>
    <n v="4"/>
    <n v="4"/>
  </r>
  <r>
    <s v="V000508"/>
    <s v="978-3-28131-621-7"/>
    <s v="El Aleph"/>
    <s v="Jorge Luis Borges"/>
    <x v="9"/>
    <n v="1.39"/>
    <n v="139"/>
    <n v="1"/>
    <n v="1.39"/>
    <x v="0"/>
    <x v="1"/>
    <x v="338"/>
    <x v="0"/>
    <x v="1"/>
    <s v="Tienda Online"/>
    <x v="4"/>
    <n v="5"/>
    <n v="5"/>
  </r>
  <r>
    <s v="V000509"/>
    <s v="978-5-85674-296-1"/>
    <s v="Harry Potter y la cámara secreta"/>
    <s v="J.K. Rowling"/>
    <x v="8"/>
    <n v="1.59"/>
    <n v="159"/>
    <n v="1"/>
    <n v="1.59"/>
    <x v="64"/>
    <x v="3"/>
    <x v="377"/>
    <x v="0"/>
    <x v="1"/>
    <s v="Tienda Online"/>
    <x v="4"/>
    <n v="5"/>
    <n v="5"/>
  </r>
  <r>
    <s v="V000510"/>
    <s v="978-3-50857-508-5"/>
    <s v="Piense y hágase rico"/>
    <s v="Napoleon Hill"/>
    <x v="5"/>
    <n v="1.39"/>
    <n v="139"/>
    <n v="2"/>
    <n v="2.78"/>
    <x v="28"/>
    <x v="1"/>
    <x v="360"/>
    <x v="0"/>
    <x v="1"/>
    <s v="Tienda Online"/>
    <x v="1"/>
    <n v="1"/>
    <n v="1"/>
  </r>
  <r>
    <s v="V000511"/>
    <s v="978-1-40512-987-1"/>
    <s v="Los juegos del hambre"/>
    <s v="Suzanne Collins"/>
    <x v="8"/>
    <n v="12.66"/>
    <n v="1266"/>
    <n v="3"/>
    <n v="37.980000000000004"/>
    <x v="15"/>
    <x v="3"/>
    <x v="398"/>
    <x v="1"/>
    <x v="0"/>
    <s v="Librería Sevilla Triana"/>
    <x v="4"/>
    <m/>
    <s v="Sin valoración"/>
  </r>
  <r>
    <s v="V000512"/>
    <s v="978-5-74042-119-1"/>
    <s v="Sapiens"/>
    <s v="Yuval Noah Harari"/>
    <x v="15"/>
    <n v="2.19"/>
    <n v="219"/>
    <n v="2"/>
    <n v="4.38"/>
    <x v="40"/>
    <x v="0"/>
    <x v="399"/>
    <x v="0"/>
    <x v="0"/>
    <s v="Librería Valencia Centro"/>
    <x v="4"/>
    <n v="4"/>
    <n v="4"/>
  </r>
  <r>
    <s v="V000513"/>
    <s v="978-3-17665-693-8"/>
    <s v="La familia de Pascual Duarte"/>
    <s v="Camilo José Cela"/>
    <x v="9"/>
    <n v="13.55"/>
    <n v="1355"/>
    <n v="2"/>
    <n v="27.1"/>
    <x v="19"/>
    <x v="3"/>
    <x v="400"/>
    <x v="2"/>
    <x v="1"/>
    <s v="Tienda Online"/>
    <x v="4"/>
    <n v="5"/>
    <n v="5"/>
  </r>
  <r>
    <s v="V000514"/>
    <s v="978-5-19287-626-3"/>
    <s v="Coraline"/>
    <s v="Neil Gaiman"/>
    <x v="8"/>
    <n v="11.12"/>
    <n v="1112"/>
    <n v="1"/>
    <n v="11.12"/>
    <x v="35"/>
    <x v="1"/>
    <x v="39"/>
    <x v="1"/>
    <x v="0"/>
    <s v="Librería Valencia Centro"/>
    <x v="2"/>
    <n v="5"/>
    <n v="5"/>
  </r>
  <r>
    <s v="V000515"/>
    <s v="978-0-40007-169-0"/>
    <s v="El Principito ilustrado"/>
    <s v="Antoine de Saint-Exupéry"/>
    <x v="6"/>
    <n v="1.59"/>
    <n v="159"/>
    <n v="1"/>
    <n v="1.59"/>
    <x v="9"/>
    <x v="2"/>
    <x v="401"/>
    <x v="0"/>
    <x v="1"/>
    <s v="Tienda Online"/>
    <x v="0"/>
    <n v="2"/>
    <n v="2"/>
  </r>
  <r>
    <s v="V000516"/>
    <s v="978-1-16175-981-1"/>
    <s v="Pedro Páramo"/>
    <s v="Juan Rulfo"/>
    <x v="9"/>
    <n v="10.32"/>
    <n v="1032"/>
    <n v="1"/>
    <n v="10.32"/>
    <x v="7"/>
    <x v="3"/>
    <x v="282"/>
    <x v="0"/>
    <x v="1"/>
    <s v="Tienda Online"/>
    <x v="1"/>
    <n v="5"/>
    <n v="5"/>
  </r>
  <r>
    <s v="V000517"/>
    <s v="978-3-76237-716-0"/>
    <s v="Fahrenheit 451"/>
    <s v="Ray Bradbury"/>
    <x v="12"/>
    <n v="11.12"/>
    <n v="1112"/>
    <n v="1"/>
    <n v="11.12"/>
    <x v="34"/>
    <x v="0"/>
    <x v="241"/>
    <x v="0"/>
    <x v="1"/>
    <s v="Tienda Online"/>
    <x v="4"/>
    <n v="3"/>
    <n v="3"/>
  </r>
  <r>
    <s v="V000518"/>
    <s v="978-6-34957-196-1"/>
    <s v="El resplandor"/>
    <s v="Stephen King"/>
    <x v="4"/>
    <n v="16.059999999999999"/>
    <n v="1606"/>
    <n v="1"/>
    <n v="16.059999999999999"/>
    <x v="64"/>
    <x v="0"/>
    <x v="402"/>
    <x v="2"/>
    <x v="1"/>
    <s v="Tienda Online"/>
    <x v="2"/>
    <n v="5"/>
    <n v="5"/>
  </r>
  <r>
    <s v="V000519"/>
    <s v="978-1-48469-545-2"/>
    <s v="Origen"/>
    <s v="Dan Brown"/>
    <x v="1"/>
    <n v="1.99"/>
    <n v="199"/>
    <n v="1"/>
    <n v="1.99"/>
    <x v="14"/>
    <x v="0"/>
    <x v="99"/>
    <x v="0"/>
    <x v="1"/>
    <s v="Tienda Online"/>
    <x v="3"/>
    <n v="3"/>
    <n v="3"/>
  </r>
  <r>
    <s v="V000520"/>
    <s v="978-3-99733-432-0"/>
    <s v="Don Quijote de la Mancha"/>
    <s v="Miguel de Cervantes"/>
    <x v="9"/>
    <n v="17.91"/>
    <n v="1791"/>
    <n v="1"/>
    <n v="17.91"/>
    <x v="2"/>
    <x v="3"/>
    <x v="403"/>
    <x v="2"/>
    <x v="1"/>
    <s v="Tienda Online"/>
    <x v="4"/>
    <m/>
    <s v="Sin valoración"/>
  </r>
  <r>
    <s v="V000521"/>
    <s v="978-4-99593-763-1"/>
    <s v="Crimen y castigo"/>
    <s v="Fiódor Dostoyevski"/>
    <x v="9"/>
    <n v="1.29"/>
    <n v="129"/>
    <n v="1"/>
    <n v="1.29"/>
    <x v="46"/>
    <x v="2"/>
    <x v="404"/>
    <x v="2"/>
    <x v="1"/>
    <s v="Tienda Online"/>
    <x v="4"/>
    <n v="5"/>
    <n v="5"/>
  </r>
  <r>
    <s v="V000522"/>
    <s v="978-9-44671-926-0"/>
    <s v="El Hobbit"/>
    <s v="J.R.R. Tolkien"/>
    <x v="2"/>
    <n v="17.75"/>
    <n v="1775"/>
    <n v="1"/>
    <n v="17.75"/>
    <x v="53"/>
    <x v="0"/>
    <x v="405"/>
    <x v="2"/>
    <x v="1"/>
    <s v="Tienda Online"/>
    <x v="0"/>
    <n v="4"/>
    <n v="4"/>
  </r>
  <r>
    <s v="V000523"/>
    <s v="978-4-93886-804-8"/>
    <s v="Guerra y paz"/>
    <s v="León Tolstói"/>
    <x v="9"/>
    <n v="27.39"/>
    <n v="2739"/>
    <n v="4"/>
    <n v="109.56"/>
    <x v="12"/>
    <x v="3"/>
    <x v="252"/>
    <x v="2"/>
    <x v="1"/>
    <s v="Tienda Online"/>
    <x v="3"/>
    <n v="5"/>
    <n v="5"/>
  </r>
  <r>
    <s v="V000524"/>
    <s v="978-9-38864-107-1"/>
    <s v="James y el melocotón gigante"/>
    <s v="Roald Dahl"/>
    <x v="6"/>
    <n v="1.0900000000000001"/>
    <n v="109"/>
    <n v="1"/>
    <n v="1.0900000000000001"/>
    <x v="24"/>
    <x v="3"/>
    <x v="406"/>
    <x v="1"/>
    <x v="0"/>
    <s v="Librería Gran Vía"/>
    <x v="4"/>
    <n v="5"/>
    <n v="5"/>
  </r>
  <r>
    <s v="V000525"/>
    <s v="978-3-14207-924-5"/>
    <s v="La casa de los espíritus"/>
    <s v="Isabel Allende"/>
    <x v="3"/>
    <n v="15.21"/>
    <n v="1521"/>
    <n v="1"/>
    <n v="15.21"/>
    <x v="69"/>
    <x v="0"/>
    <x v="169"/>
    <x v="2"/>
    <x v="1"/>
    <s v="Tienda Online"/>
    <x v="2"/>
    <n v="4"/>
    <n v="4"/>
  </r>
  <r>
    <s v="V000526"/>
    <s v="978-6-10282-499-4"/>
    <s v="Patria"/>
    <s v="Fernando Aramburu"/>
    <x v="3"/>
    <n v="20.89"/>
    <n v="2089"/>
    <n v="3"/>
    <n v="62.67"/>
    <x v="59"/>
    <x v="0"/>
    <x v="407"/>
    <x v="0"/>
    <x v="1"/>
    <s v="Tienda Online"/>
    <x v="1"/>
    <n v="1"/>
    <n v="1"/>
  </r>
  <r>
    <s v="V000527"/>
    <s v="978-9-71953-348-7"/>
    <s v="It"/>
    <s v="Stephen King"/>
    <x v="4"/>
    <n v="20.61"/>
    <n v="2061"/>
    <n v="1"/>
    <n v="20.61"/>
    <x v="48"/>
    <x v="0"/>
    <x v="408"/>
    <x v="0"/>
    <x v="1"/>
    <s v="Tienda Online"/>
    <x v="1"/>
    <m/>
    <s v="Sin valoración"/>
  </r>
  <r>
    <s v="V000528"/>
    <s v="978-3-50857-508-5"/>
    <s v="Piense y hágase rico"/>
    <s v="Napoleon Hill"/>
    <x v="5"/>
    <n v="1.46"/>
    <n v="146"/>
    <n v="2"/>
    <n v="2.92"/>
    <x v="70"/>
    <x v="1"/>
    <x v="409"/>
    <x v="1"/>
    <x v="0"/>
    <s v="Librería Valencia Centro"/>
    <x v="2"/>
    <n v="3"/>
    <n v="3"/>
  </r>
  <r>
    <s v="V000529"/>
    <s v="978-0-96673-333-4"/>
    <s v="Harry Potter y el prisionero de Azkaban"/>
    <s v="J.K. Rowling"/>
    <x v="8"/>
    <n v="1.69"/>
    <n v="169"/>
    <n v="1"/>
    <n v="1.69"/>
    <x v="15"/>
    <x v="1"/>
    <x v="410"/>
    <x v="2"/>
    <x v="1"/>
    <s v="Tienda Online"/>
    <x v="2"/>
    <n v="2"/>
    <n v="2"/>
  </r>
  <r>
    <s v="V000530"/>
    <s v="978-4-93886-804-8"/>
    <s v="Guerra y paz"/>
    <s v="León Tolstói"/>
    <x v="9"/>
    <n v="2.4900000000000002"/>
    <n v="249"/>
    <n v="1"/>
    <n v="2.4900000000000002"/>
    <x v="25"/>
    <x v="2"/>
    <x v="83"/>
    <x v="0"/>
    <x v="1"/>
    <s v="Tienda Online"/>
    <x v="3"/>
    <n v="2"/>
    <n v="2"/>
  </r>
  <r>
    <s v="V000531"/>
    <s v="978-1-48469-545-2"/>
    <s v="Origen"/>
    <s v="Dan Brown"/>
    <x v="1"/>
    <n v="16.91"/>
    <n v="1691"/>
    <n v="1"/>
    <n v="16.91"/>
    <x v="53"/>
    <x v="1"/>
    <x v="240"/>
    <x v="2"/>
    <x v="1"/>
    <s v="Tienda Online"/>
    <x v="0"/>
    <n v="5"/>
    <n v="5"/>
  </r>
  <r>
    <s v="V000532"/>
    <s v="978-4-99593-763-1"/>
    <s v="Crimen y castigo"/>
    <s v="Fiódor Dostoyevski"/>
    <x v="9"/>
    <n v="1.29"/>
    <n v="129"/>
    <n v="1"/>
    <n v="1.29"/>
    <x v="67"/>
    <x v="1"/>
    <x v="164"/>
    <x v="2"/>
    <x v="1"/>
    <s v="Tienda Online"/>
    <x v="2"/>
    <n v="5"/>
    <n v="5"/>
  </r>
  <r>
    <s v="V000533"/>
    <s v="978-4-93886-804-8"/>
    <s v="Guerra y paz"/>
    <s v="León Tolstói"/>
    <x v="9"/>
    <n v="27.39"/>
    <n v="2739"/>
    <n v="1"/>
    <n v="27.39"/>
    <x v="33"/>
    <x v="2"/>
    <x v="411"/>
    <x v="1"/>
    <x v="1"/>
    <s v="Tienda Online"/>
    <x v="3"/>
    <n v="4"/>
    <n v="4"/>
  </r>
  <r>
    <s v="V000534"/>
    <s v="978-2-46509-573-3"/>
    <s v="La peste"/>
    <s v="Albert Camus"/>
    <x v="9"/>
    <n v="1.49"/>
    <n v="149"/>
    <n v="1"/>
    <n v="1.49"/>
    <x v="4"/>
    <x v="3"/>
    <x v="266"/>
    <x v="1"/>
    <x v="0"/>
    <s v="Librería Sevilla Triana"/>
    <x v="4"/>
    <n v="5"/>
    <n v="5"/>
  </r>
  <r>
    <s v="V000535"/>
    <s v="978-1-16175-981-1"/>
    <s v="Pedro Páramo"/>
    <s v="Juan Rulfo"/>
    <x v="9"/>
    <n v="1.29"/>
    <n v="129"/>
    <n v="2"/>
    <n v="2.58"/>
    <x v="28"/>
    <x v="3"/>
    <x v="412"/>
    <x v="0"/>
    <x v="1"/>
    <s v="Tienda Online"/>
    <x v="2"/>
    <n v="4"/>
    <n v="4"/>
  </r>
  <r>
    <s v="V000536"/>
    <s v="978-8-44973-887-5"/>
    <s v="Ángeles y demonios"/>
    <s v="Dan Brown"/>
    <x v="1"/>
    <n v="1.69"/>
    <n v="169"/>
    <n v="4"/>
    <n v="6.76"/>
    <x v="35"/>
    <x v="1"/>
    <x v="413"/>
    <x v="2"/>
    <x v="1"/>
    <s v="Tienda Online"/>
    <x v="2"/>
    <n v="5"/>
    <n v="5"/>
  </r>
  <r>
    <s v="V000537"/>
    <s v="978-4-97684-597-3"/>
    <s v="American Gods"/>
    <s v="Neil Gaiman"/>
    <x v="2"/>
    <n v="1.99"/>
    <n v="199"/>
    <n v="2"/>
    <n v="3.98"/>
    <x v="10"/>
    <x v="0"/>
    <x v="414"/>
    <x v="1"/>
    <x v="0"/>
    <s v="Librería Central Madrid"/>
    <x v="4"/>
    <n v="5"/>
    <n v="5"/>
  </r>
  <r>
    <s v="V000538"/>
    <s v="978-9-93227-275-8"/>
    <s v="Los hermanos Karamázov"/>
    <s v="Fiódor Dostoyevski"/>
    <x v="9"/>
    <n v="1.89"/>
    <n v="189"/>
    <n v="2"/>
    <n v="3.78"/>
    <x v="14"/>
    <x v="3"/>
    <x v="415"/>
    <x v="2"/>
    <x v="1"/>
    <s v="Tienda Online"/>
    <x v="3"/>
    <n v="5"/>
    <n v="5"/>
  </r>
  <r>
    <s v="V000539"/>
    <s v="978-0-22224-871-3"/>
    <s v="Un mundo sin fin"/>
    <s v="Ken Follett"/>
    <x v="16"/>
    <n v="18.32"/>
    <n v="1832"/>
    <n v="1"/>
    <n v="18.32"/>
    <x v="23"/>
    <x v="0"/>
    <x v="190"/>
    <x v="0"/>
    <x v="1"/>
    <s v="Tienda Online"/>
    <x v="2"/>
    <n v="5"/>
    <n v="5"/>
  </r>
  <r>
    <s v="V000540"/>
    <s v="978-1-42591-296-3"/>
    <s v="Frankenstein"/>
    <s v="Mary Shelley"/>
    <x v="4"/>
    <n v="13.09"/>
    <n v="1309"/>
    <n v="2"/>
    <n v="26.18"/>
    <x v="13"/>
    <x v="2"/>
    <x v="416"/>
    <x v="0"/>
    <x v="1"/>
    <s v="Tienda Online"/>
    <x v="4"/>
    <n v="3"/>
    <n v="3"/>
  </r>
  <r>
    <s v="V000541"/>
    <s v="978-1-16175-981-1"/>
    <s v="Pedro Páramo"/>
    <s v="Juan Rulfo"/>
    <x v="9"/>
    <n v="1.29"/>
    <n v="129"/>
    <n v="1"/>
    <n v="1.29"/>
    <x v="38"/>
    <x v="3"/>
    <x v="417"/>
    <x v="0"/>
    <x v="1"/>
    <s v="Tienda Online"/>
    <x v="1"/>
    <n v="2"/>
    <n v="2"/>
  </r>
  <r>
    <s v="V000542"/>
    <s v="978-1-13278-859-4"/>
    <s v="Cien años de soledad"/>
    <s v="Gabriel García Márquez"/>
    <x v="3"/>
    <n v="1.89"/>
    <n v="189"/>
    <n v="1"/>
    <n v="1.89"/>
    <x v="19"/>
    <x v="3"/>
    <x v="107"/>
    <x v="0"/>
    <x v="0"/>
    <s v="Librería Sevilla Triana"/>
    <x v="2"/>
    <n v="4"/>
    <n v="4"/>
  </r>
  <r>
    <s v="V000543"/>
    <s v="978-0-87110-667-3"/>
    <s v="Charlie y la fábrica de chocolate"/>
    <s v="Roald Dahl"/>
    <x v="6"/>
    <n v="1.19"/>
    <n v="119"/>
    <n v="1"/>
    <n v="1.19"/>
    <x v="61"/>
    <x v="2"/>
    <x v="238"/>
    <x v="1"/>
    <x v="0"/>
    <s v="Librería Central Madrid"/>
    <x v="0"/>
    <n v="5"/>
    <n v="5"/>
  </r>
  <r>
    <s v="V000544"/>
    <s v="978-7-77839-562-1"/>
    <s v="El principito"/>
    <s v="Antoine de Saint-Exupéry"/>
    <x v="6"/>
    <n v="10.89"/>
    <n v="1089"/>
    <n v="2"/>
    <n v="21.78"/>
    <x v="52"/>
    <x v="2"/>
    <x v="418"/>
    <x v="0"/>
    <x v="1"/>
    <s v="Tienda Online"/>
    <x v="1"/>
    <n v="5"/>
    <n v="5"/>
  </r>
  <r>
    <s v="V000545"/>
    <s v="978-9-44671-926-0"/>
    <s v="El Hobbit"/>
    <s v="J.R.R. Tolkien"/>
    <x v="2"/>
    <n v="1.69"/>
    <n v="169"/>
    <n v="1"/>
    <n v="1.69"/>
    <x v="64"/>
    <x v="3"/>
    <x v="419"/>
    <x v="0"/>
    <x v="1"/>
    <s v="Tienda Online"/>
    <x v="4"/>
    <n v="5"/>
    <n v="5"/>
  </r>
  <r>
    <s v="V000546"/>
    <s v="978-1-48469-545-2"/>
    <s v="Origen"/>
    <s v="Dan Brown"/>
    <x v="1"/>
    <n v="20.89"/>
    <n v="2089"/>
    <n v="2"/>
    <n v="41.78"/>
    <x v="29"/>
    <x v="0"/>
    <x v="350"/>
    <x v="2"/>
    <x v="1"/>
    <s v="Tienda Online"/>
    <x v="4"/>
    <m/>
    <s v="Sin valoración"/>
  </r>
  <r>
    <s v="V000547"/>
    <s v="978-9-78522-423-4"/>
    <s v="Maus"/>
    <s v="Art Spiegelman"/>
    <x v="10"/>
    <n v="13.52"/>
    <n v="1352"/>
    <n v="2"/>
    <n v="27.04"/>
    <x v="30"/>
    <x v="0"/>
    <x v="420"/>
    <x v="0"/>
    <x v="0"/>
    <s v="Librería Central Madrid"/>
    <x v="1"/>
    <n v="5"/>
    <n v="5"/>
  </r>
  <r>
    <s v="V000548"/>
    <s v="978-2-92240-263-6"/>
    <s v="La casa de Bernarda Alba"/>
    <s v="Federico García Lorca"/>
    <x v="17"/>
    <n v="1.04"/>
    <n v="104"/>
    <n v="1"/>
    <n v="1.04"/>
    <x v="42"/>
    <x v="0"/>
    <x v="206"/>
    <x v="1"/>
    <x v="0"/>
    <s v="Librería Valencia Centro"/>
    <x v="0"/>
    <n v="2"/>
    <n v="2"/>
  </r>
  <r>
    <s v="V000549"/>
    <s v="978-1-42591-296-3"/>
    <s v="Frankenstein"/>
    <s v="Mary Shelley"/>
    <x v="4"/>
    <n v="1.25"/>
    <n v="125"/>
    <n v="1"/>
    <n v="1.25"/>
    <x v="30"/>
    <x v="0"/>
    <x v="421"/>
    <x v="1"/>
    <x v="1"/>
    <s v="Tienda Online"/>
    <x v="0"/>
    <n v="2"/>
    <n v="2"/>
  </r>
  <r>
    <s v="V000550"/>
    <s v="978-3-62565-160-2"/>
    <s v="El día que se perdió la cordura"/>
    <s v="Javier Castillo"/>
    <x v="1"/>
    <n v="17.010000000000002"/>
    <n v="1701"/>
    <n v="1"/>
    <n v="17.010000000000002"/>
    <x v="57"/>
    <x v="3"/>
    <x v="102"/>
    <x v="2"/>
    <x v="1"/>
    <s v="Tienda Online"/>
    <x v="4"/>
    <n v="1"/>
    <n v="1"/>
  </r>
  <r>
    <s v="V000551"/>
    <s v="978-9-72493-614-8"/>
    <s v="El chef en casa"/>
    <s v="Jamie Oliver"/>
    <x v="14"/>
    <n v="16.91"/>
    <n v="1691"/>
    <n v="1"/>
    <n v="16.91"/>
    <x v="4"/>
    <x v="0"/>
    <x v="118"/>
    <x v="2"/>
    <x v="1"/>
    <s v="Tienda Online"/>
    <x v="3"/>
    <n v="4"/>
    <n v="4"/>
  </r>
  <r>
    <s v="V000552"/>
    <s v="978-1-82357-400-9"/>
    <s v="Harry Potter y la piedra filosofal"/>
    <s v="J.K. Rowling"/>
    <x v="8"/>
    <n v="13.52"/>
    <n v="1352"/>
    <n v="2"/>
    <n v="27.04"/>
    <x v="60"/>
    <x v="0"/>
    <x v="422"/>
    <x v="1"/>
    <x v="1"/>
    <s v="Tienda Online"/>
    <x v="0"/>
    <m/>
    <s v="Sin valoración"/>
  </r>
  <r>
    <s v="V000553"/>
    <s v="978-1-13278-859-4"/>
    <s v="Cien años de soledad"/>
    <s v="Gabriel García Márquez"/>
    <x v="3"/>
    <n v="1.89"/>
    <n v="189"/>
    <n v="1"/>
    <n v="1.89"/>
    <x v="8"/>
    <x v="3"/>
    <x v="277"/>
    <x v="1"/>
    <x v="1"/>
    <s v="Tienda Online"/>
    <x v="0"/>
    <n v="5"/>
    <n v="5"/>
  </r>
  <r>
    <s v="V000554"/>
    <s v="978-5-50306-345-0"/>
    <s v="Homo Deus"/>
    <s v="Yuval Noah Harari"/>
    <x v="15"/>
    <n v="2.2999999999999998"/>
    <n v="230"/>
    <n v="1"/>
    <n v="2.2999999999999998"/>
    <x v="16"/>
    <x v="3"/>
    <x v="416"/>
    <x v="2"/>
    <x v="1"/>
    <s v="Tienda Online"/>
    <x v="1"/>
    <m/>
    <s v="Sin valoración"/>
  </r>
  <r>
    <s v="V000555"/>
    <s v="978-3-62923-222-9"/>
    <s v="El gen egoísta"/>
    <s v="Richard Dawkins"/>
    <x v="11"/>
    <n v="1.79"/>
    <n v="179"/>
    <n v="1"/>
    <n v="1.79"/>
    <x v="53"/>
    <x v="0"/>
    <x v="49"/>
    <x v="0"/>
    <x v="1"/>
    <s v="Tienda Online"/>
    <x v="3"/>
    <n v="5"/>
    <n v="5"/>
  </r>
  <r>
    <s v="V000556"/>
    <s v="978-0-87110-667-3"/>
    <s v="Charlie y la fábrica de chocolate"/>
    <s v="Roald Dahl"/>
    <x v="6"/>
    <n v="1.19"/>
    <n v="119"/>
    <n v="1"/>
    <n v="1.19"/>
    <x v="56"/>
    <x v="2"/>
    <x v="423"/>
    <x v="2"/>
    <x v="1"/>
    <s v="Tienda Online"/>
    <x v="3"/>
    <n v="4"/>
    <n v="4"/>
  </r>
  <r>
    <s v="V000557"/>
    <s v="978-6-22676-467-5"/>
    <s v="Choque de Reyes"/>
    <s v="George R.R. Martin"/>
    <x v="2"/>
    <n v="15.92"/>
    <n v="1592"/>
    <n v="3"/>
    <n v="47.76"/>
    <x v="34"/>
    <x v="1"/>
    <x v="340"/>
    <x v="1"/>
    <x v="1"/>
    <s v="Tienda Online"/>
    <x v="4"/>
    <n v="4"/>
    <n v="4"/>
  </r>
  <r>
    <s v="V000558"/>
    <s v="978-7-77839-562-1"/>
    <s v="El principito"/>
    <s v="Antoine de Saint-Exupéry"/>
    <x v="6"/>
    <n v="8.91"/>
    <n v="891"/>
    <n v="1"/>
    <n v="8.91"/>
    <x v="24"/>
    <x v="0"/>
    <x v="165"/>
    <x v="1"/>
    <x v="1"/>
    <s v="Tienda Online"/>
    <x v="0"/>
    <n v="4"/>
    <n v="4"/>
  </r>
  <r>
    <s v="V000559"/>
    <s v="978-4-99593-763-1"/>
    <s v="Crimen y castigo"/>
    <s v="Fiódor Dostoyevski"/>
    <x v="9"/>
    <n v="1.29"/>
    <n v="129"/>
    <n v="1"/>
    <n v="1.29"/>
    <x v="32"/>
    <x v="0"/>
    <x v="424"/>
    <x v="0"/>
    <x v="1"/>
    <s v="Tienda Online"/>
    <x v="1"/>
    <n v="4"/>
    <n v="4"/>
  </r>
  <r>
    <s v="V000560"/>
    <s v="978-3-39256-242-1"/>
    <s v="El amor en los tiempos del cólera"/>
    <s v="Gabriel García Márquez"/>
    <x v="3"/>
    <n v="14.88"/>
    <n v="1488"/>
    <n v="1"/>
    <n v="14.88"/>
    <x v="17"/>
    <x v="0"/>
    <x v="402"/>
    <x v="0"/>
    <x v="1"/>
    <s v="Tienda Online"/>
    <x v="2"/>
    <n v="4"/>
    <n v="4"/>
  </r>
  <r>
    <s v="V000561"/>
    <s v="978-9-38864-107-1"/>
    <s v="James y el melocotón gigante"/>
    <s v="Roald Dahl"/>
    <x v="6"/>
    <n v="1.0900000000000001"/>
    <n v="109"/>
    <n v="4"/>
    <n v="4.3600000000000003"/>
    <x v="24"/>
    <x v="2"/>
    <x v="415"/>
    <x v="1"/>
    <x v="1"/>
    <s v="Tienda Online"/>
    <x v="3"/>
    <n v="5"/>
    <n v="5"/>
  </r>
  <r>
    <s v="V000562"/>
    <s v="978-9-78522-423-4"/>
    <s v="Maus"/>
    <s v="Art Spiegelman"/>
    <x v="10"/>
    <n v="14.36"/>
    <n v="1436"/>
    <n v="3"/>
    <n v="43.08"/>
    <x v="54"/>
    <x v="1"/>
    <x v="115"/>
    <x v="2"/>
    <x v="1"/>
    <s v="Tienda Online"/>
    <x v="3"/>
    <n v="5"/>
    <n v="5"/>
  </r>
  <r>
    <s v="V000563"/>
    <s v="978-0-22224-871-3"/>
    <s v="Un mundo sin fin"/>
    <s v="Ken Follett"/>
    <x v="16"/>
    <n v="2.29"/>
    <n v="229"/>
    <n v="2"/>
    <n v="4.58"/>
    <x v="51"/>
    <x v="1"/>
    <x v="425"/>
    <x v="0"/>
    <x v="1"/>
    <s v="Tienda Online"/>
    <x v="0"/>
    <n v="5"/>
    <n v="5"/>
  </r>
  <r>
    <s v="V000564"/>
    <s v="978-8-31643-371-8"/>
    <s v="Hábitos atómicos"/>
    <s v="James Clear"/>
    <x v="0"/>
    <n v="16.059999999999999"/>
    <n v="1606"/>
    <n v="3"/>
    <n v="48.179999999999993"/>
    <x v="17"/>
    <x v="0"/>
    <x v="96"/>
    <x v="0"/>
    <x v="0"/>
    <s v="Librería Barcelona Gòtic"/>
    <x v="1"/>
    <n v="5"/>
    <n v="5"/>
  </r>
  <r>
    <s v="V000565"/>
    <s v="978-9-65461-316-8"/>
    <s v="Padre rico, padre pobre"/>
    <s v="Robert Kiyosaki"/>
    <x v="5"/>
    <n v="17.75"/>
    <n v="1775"/>
    <n v="1"/>
    <n v="17.75"/>
    <x v="4"/>
    <x v="2"/>
    <x v="426"/>
    <x v="1"/>
    <x v="1"/>
    <s v="Tienda Online"/>
    <x v="0"/>
    <n v="3"/>
    <n v="3"/>
  </r>
  <r>
    <s v="V000566"/>
    <s v="978-2-46509-573-3"/>
    <s v="La peste"/>
    <s v="Albert Camus"/>
    <x v="9"/>
    <n v="13.41"/>
    <n v="1341"/>
    <n v="3"/>
    <n v="40.230000000000004"/>
    <x v="55"/>
    <x v="0"/>
    <x v="213"/>
    <x v="0"/>
    <x v="1"/>
    <s v="Tienda Online"/>
    <x v="0"/>
    <n v="5"/>
    <n v="5"/>
  </r>
  <r>
    <s v="V000567"/>
    <s v="978-7-17100-789-1"/>
    <s v="Carrie"/>
    <s v="Stephen King"/>
    <x v="4"/>
    <n v="13.41"/>
    <n v="1341"/>
    <n v="1"/>
    <n v="13.41"/>
    <x v="46"/>
    <x v="3"/>
    <x v="427"/>
    <x v="2"/>
    <x v="1"/>
    <s v="Tienda Online"/>
    <x v="1"/>
    <n v="5"/>
    <n v="5"/>
  </r>
  <r>
    <s v="V000568"/>
    <s v="978-2-92240-263-6"/>
    <s v="La casa de Bernarda Alba"/>
    <s v="Federico García Lorca"/>
    <x v="17"/>
    <n v="8.42"/>
    <n v="842"/>
    <n v="1"/>
    <n v="8.42"/>
    <x v="51"/>
    <x v="1"/>
    <x v="428"/>
    <x v="1"/>
    <x v="0"/>
    <s v="Librería Barcelona Gòtic"/>
    <x v="4"/>
    <n v="5"/>
    <n v="5"/>
  </r>
  <r>
    <s v="V000569"/>
    <s v="978-7-77839-562-1"/>
    <s v="El principito"/>
    <s v="Antoine de Saint-Exupéry"/>
    <x v="6"/>
    <n v="8.91"/>
    <n v="891"/>
    <n v="1"/>
    <n v="8.91"/>
    <x v="52"/>
    <x v="0"/>
    <x v="287"/>
    <x v="1"/>
    <x v="0"/>
    <s v="Librería Sevilla Triana"/>
    <x v="2"/>
    <n v="4"/>
    <n v="4"/>
  </r>
  <r>
    <s v="V000570"/>
    <s v="978-0-40007-169-0"/>
    <s v="El Principito ilustrado"/>
    <s v="Antoine de Saint-Exupéry"/>
    <x v="6"/>
    <n v="17.489999999999998"/>
    <n v="1749"/>
    <n v="2"/>
    <n v="34.979999999999997"/>
    <x v="61"/>
    <x v="3"/>
    <x v="429"/>
    <x v="1"/>
    <x v="0"/>
    <s v="Librería Sevilla Triana"/>
    <x v="2"/>
    <n v="4"/>
    <n v="4"/>
  </r>
  <r>
    <s v="V000571"/>
    <s v="978-6-45093-167-3"/>
    <s v="Paula"/>
    <s v="Isabel Allende"/>
    <x v="13"/>
    <n v="12.72"/>
    <n v="1272"/>
    <n v="1"/>
    <n v="12.72"/>
    <x v="66"/>
    <x v="3"/>
    <x v="430"/>
    <x v="1"/>
    <x v="0"/>
    <s v="Librería Valencia Centro"/>
    <x v="0"/>
    <m/>
    <s v="Sin valoración"/>
  </r>
  <r>
    <s v="V000572"/>
    <s v="978-7-80284-227-6"/>
    <s v="El Señor de los Anillos"/>
    <s v="J.R.R. Tolkien"/>
    <x v="2"/>
    <n v="23.92"/>
    <n v="2392"/>
    <n v="1"/>
    <n v="23.92"/>
    <x v="54"/>
    <x v="2"/>
    <x v="292"/>
    <x v="0"/>
    <x v="0"/>
    <s v="Librería Sevilla Triana"/>
    <x v="0"/>
    <m/>
    <s v="Sin valoración"/>
  </r>
  <r>
    <s v="V000573"/>
    <s v="978-0-87110-667-3"/>
    <s v="Charlie y la fábrica de chocolate"/>
    <s v="Roald Dahl"/>
    <x v="6"/>
    <n v="10.71"/>
    <n v="1071"/>
    <n v="2"/>
    <n v="21.42"/>
    <x v="56"/>
    <x v="1"/>
    <x v="431"/>
    <x v="1"/>
    <x v="1"/>
    <s v="Tienda Online"/>
    <x v="1"/>
    <n v="5"/>
    <n v="5"/>
  </r>
  <r>
    <s v="V000574"/>
    <s v="978-4-93886-804-8"/>
    <s v="Guerra y paz"/>
    <s v="León Tolstói"/>
    <x v="9"/>
    <n v="2.4900000000000002"/>
    <n v="249"/>
    <n v="2"/>
    <n v="4.9800000000000004"/>
    <x v="22"/>
    <x v="0"/>
    <x v="432"/>
    <x v="2"/>
    <x v="1"/>
    <s v="Tienda Online"/>
    <x v="1"/>
    <n v="4"/>
    <n v="4"/>
  </r>
  <r>
    <s v="V000575"/>
    <s v="978-9-51245-317-7"/>
    <s v="La sombra del viento"/>
    <s v="Carlos Ruiz Zafón"/>
    <x v="3"/>
    <n v="1.85"/>
    <n v="185"/>
    <n v="3"/>
    <n v="5.5500000000000007"/>
    <x v="49"/>
    <x v="0"/>
    <x v="342"/>
    <x v="2"/>
    <x v="1"/>
    <s v="Tienda Online"/>
    <x v="2"/>
    <n v="1"/>
    <n v="1"/>
  </r>
  <r>
    <s v="V000576"/>
    <s v="978-7-17100-789-1"/>
    <s v="Carrie"/>
    <s v="Stephen King"/>
    <x v="4"/>
    <n v="1.49"/>
    <n v="149"/>
    <n v="1"/>
    <n v="1.49"/>
    <x v="39"/>
    <x v="3"/>
    <x v="433"/>
    <x v="1"/>
    <x v="1"/>
    <s v="Tienda Online"/>
    <x v="4"/>
    <n v="5"/>
    <n v="5"/>
  </r>
  <r>
    <s v="V000577"/>
    <s v="978-9-71348-641-4"/>
    <s v="Veinte poemas de amor"/>
    <s v="Pablo Neruda"/>
    <x v="7"/>
    <n v="0.99"/>
    <n v="99"/>
    <n v="2"/>
    <n v="1.98"/>
    <x v="12"/>
    <x v="3"/>
    <x v="429"/>
    <x v="0"/>
    <x v="1"/>
    <s v="Tienda Online"/>
    <x v="3"/>
    <n v="5"/>
    <n v="5"/>
  </r>
  <r>
    <s v="V000578"/>
    <s v="978-6-38893-559-9"/>
    <s v="Dune"/>
    <s v="Frank Herbert"/>
    <x v="12"/>
    <n v="19.46"/>
    <n v="1946"/>
    <n v="1"/>
    <n v="19.46"/>
    <x v="69"/>
    <x v="2"/>
    <x v="176"/>
    <x v="0"/>
    <x v="1"/>
    <s v="Tienda Online"/>
    <x v="1"/>
    <n v="5"/>
    <n v="5"/>
  </r>
  <r>
    <s v="V000579"/>
    <s v="978-3-31417-573-6"/>
    <s v="Ana Karenina"/>
    <s v="León Tolstói"/>
    <x v="9"/>
    <n v="18.59"/>
    <n v="1859"/>
    <n v="1"/>
    <n v="18.59"/>
    <x v="35"/>
    <x v="0"/>
    <x v="434"/>
    <x v="2"/>
    <x v="1"/>
    <s v="Tienda Online"/>
    <x v="0"/>
    <n v="5"/>
    <n v="5"/>
  </r>
  <r>
    <s v="V000580"/>
    <s v="978-4-99593-763-1"/>
    <s v="Crimen y castigo"/>
    <s v="Fiódor Dostoyevski"/>
    <x v="9"/>
    <n v="1.29"/>
    <n v="129"/>
    <n v="2"/>
    <n v="2.58"/>
    <x v="14"/>
    <x v="0"/>
    <x v="435"/>
    <x v="2"/>
    <x v="1"/>
    <s v="Tienda Online"/>
    <x v="4"/>
    <n v="2"/>
    <n v="2"/>
  </r>
  <r>
    <s v="V000581"/>
    <s v="978-6-10282-499-4"/>
    <s v="Patria"/>
    <s v="Fernando Aramburu"/>
    <x v="3"/>
    <n v="17.91"/>
    <n v="1791"/>
    <n v="1"/>
    <n v="17.91"/>
    <x v="48"/>
    <x v="3"/>
    <x v="436"/>
    <x v="1"/>
    <x v="0"/>
    <s v="Librería Gran Vía"/>
    <x v="2"/>
    <m/>
    <s v="Sin valoración"/>
  </r>
  <r>
    <s v="V000582"/>
    <s v="978-7-47388-533-8"/>
    <s v="Los besos"/>
    <s v="Manuel Vilas"/>
    <x v="3"/>
    <n v="19.84"/>
    <n v="1984"/>
    <n v="2"/>
    <n v="39.68"/>
    <x v="50"/>
    <x v="3"/>
    <x v="187"/>
    <x v="0"/>
    <x v="0"/>
    <s v="Librería Gran Vía"/>
    <x v="2"/>
    <n v="5"/>
    <n v="5"/>
  </r>
  <r>
    <s v="V000583"/>
    <s v="978-4-93886-804-8"/>
    <s v="Guerra y paz"/>
    <s v="León Tolstói"/>
    <x v="9"/>
    <n v="2.4900000000000002"/>
    <n v="249"/>
    <n v="1"/>
    <n v="2.4900000000000002"/>
    <x v="3"/>
    <x v="3"/>
    <x v="437"/>
    <x v="2"/>
    <x v="1"/>
    <s v="Tienda Online"/>
    <x v="3"/>
    <n v="5"/>
    <n v="5"/>
  </r>
  <r>
    <s v="V000584"/>
    <s v="978-6-46434-564-5"/>
    <s v="En llamas"/>
    <s v="Suzanne Collins"/>
    <x v="8"/>
    <n v="11.92"/>
    <n v="1192"/>
    <n v="1"/>
    <n v="11.92"/>
    <x v="21"/>
    <x v="3"/>
    <x v="438"/>
    <x v="0"/>
    <x v="1"/>
    <s v="Tienda Online"/>
    <x v="2"/>
    <n v="3"/>
    <n v="3"/>
  </r>
  <r>
    <s v="V000585"/>
    <s v="978-2-46509-573-3"/>
    <s v="La peste"/>
    <s v="Albert Camus"/>
    <x v="9"/>
    <n v="1.49"/>
    <n v="149"/>
    <n v="1"/>
    <n v="1.49"/>
    <x v="63"/>
    <x v="1"/>
    <x v="439"/>
    <x v="0"/>
    <x v="0"/>
    <s v="Librería Barcelona Gòtic"/>
    <x v="3"/>
    <n v="5"/>
    <n v="5"/>
  </r>
  <r>
    <s v="V000586"/>
    <s v="978-8-79514-100-9"/>
    <s v="La chica en la telaraña"/>
    <s v="David Lagercrantz"/>
    <x v="1"/>
    <n v="18.79"/>
    <n v="1879"/>
    <n v="1"/>
    <n v="18.79"/>
    <x v="8"/>
    <x v="2"/>
    <x v="440"/>
    <x v="2"/>
    <x v="1"/>
    <s v="Tienda Online"/>
    <x v="1"/>
    <n v="5"/>
    <n v="5"/>
  </r>
  <r>
    <s v="V000587"/>
    <s v="978-4-10851-877-2"/>
    <s v="El nombre del viento"/>
    <s v="Patrick Rothfuss"/>
    <x v="2"/>
    <n v="2.19"/>
    <n v="219"/>
    <n v="1"/>
    <n v="2.19"/>
    <x v="23"/>
    <x v="1"/>
    <x v="441"/>
    <x v="1"/>
    <x v="1"/>
    <s v="Tienda Online"/>
    <x v="1"/>
    <n v="5"/>
    <n v="5"/>
  </r>
  <r>
    <s v="V000588"/>
    <s v="978-2-92240-263-6"/>
    <s v="La casa de Bernarda Alba"/>
    <s v="Federico García Lorca"/>
    <x v="17"/>
    <n v="8.91"/>
    <n v="891"/>
    <n v="1"/>
    <n v="8.91"/>
    <x v="23"/>
    <x v="1"/>
    <x v="442"/>
    <x v="2"/>
    <x v="1"/>
    <s v="Tienda Online"/>
    <x v="3"/>
    <n v="4"/>
    <n v="4"/>
  </r>
  <r>
    <s v="V000589"/>
    <s v="978-1-40512-987-1"/>
    <s v="Los juegos del hambre"/>
    <s v="Suzanne Collins"/>
    <x v="8"/>
    <n v="1.49"/>
    <n v="149"/>
    <n v="3"/>
    <n v="4.47"/>
    <x v="21"/>
    <x v="0"/>
    <x v="443"/>
    <x v="2"/>
    <x v="1"/>
    <s v="Tienda Online"/>
    <x v="3"/>
    <n v="4"/>
    <n v="4"/>
  </r>
  <r>
    <s v="V000590"/>
    <s v="978-3-97782-833-5"/>
    <s v="V de Vendetta"/>
    <s v="Alan Moore"/>
    <x v="10"/>
    <n v="20.79"/>
    <n v="2079"/>
    <n v="1"/>
    <n v="20.79"/>
    <x v="14"/>
    <x v="2"/>
    <x v="129"/>
    <x v="2"/>
    <x v="1"/>
    <s v="Tienda Online"/>
    <x v="4"/>
    <n v="3"/>
    <n v="3"/>
  </r>
  <r>
    <s v="V000591"/>
    <s v="978-2-17455-620-1"/>
    <s v="Cosmos"/>
    <s v="Carl Sagan"/>
    <x v="11"/>
    <n v="1.89"/>
    <n v="189"/>
    <n v="1"/>
    <n v="1.89"/>
    <x v="6"/>
    <x v="3"/>
    <x v="444"/>
    <x v="0"/>
    <x v="1"/>
    <s v="Tienda Online"/>
    <x v="0"/>
    <n v="2"/>
    <n v="2"/>
  </r>
  <r>
    <s v="V000592"/>
    <s v="978-6-54597-384-2"/>
    <s v="El temor de un hombre sabio"/>
    <s v="Patrick Rothfuss"/>
    <x v="2"/>
    <n v="2.4900000000000002"/>
    <n v="249"/>
    <n v="1"/>
    <n v="2.4900000000000002"/>
    <x v="34"/>
    <x v="3"/>
    <x v="445"/>
    <x v="2"/>
    <x v="1"/>
    <s v="Tienda Online"/>
    <x v="3"/>
    <n v="5"/>
    <n v="5"/>
  </r>
  <r>
    <s v="V000593"/>
    <s v="978-9-65461-316-8"/>
    <s v="Padre rico, padre pobre"/>
    <s v="Robert Kiyosaki"/>
    <x v="5"/>
    <n v="13.52"/>
    <n v="1352"/>
    <n v="1"/>
    <n v="13.52"/>
    <x v="6"/>
    <x v="3"/>
    <x v="207"/>
    <x v="0"/>
    <x v="0"/>
    <s v="Librería Gran Vía"/>
    <x v="4"/>
    <n v="3"/>
    <n v="3"/>
  </r>
  <r>
    <s v="V000594"/>
    <s v="978-3-17665-693-8"/>
    <s v="La familia de Pascual Duarte"/>
    <s v="Camilo José Cela"/>
    <x v="9"/>
    <n v="1.29"/>
    <n v="129"/>
    <n v="1"/>
    <n v="1.29"/>
    <x v="29"/>
    <x v="3"/>
    <x v="446"/>
    <x v="0"/>
    <x v="0"/>
    <s v="Librería Central Madrid"/>
    <x v="1"/>
    <n v="4"/>
    <n v="4"/>
  </r>
  <r>
    <s v="V000595"/>
    <s v="978-4-28301-352-8"/>
    <s v="El prisionero del cielo"/>
    <s v="Carlos Ruiz Zafón"/>
    <x v="3"/>
    <n v="18.79"/>
    <n v="1879"/>
    <n v="1"/>
    <n v="18.79"/>
    <x v="7"/>
    <x v="3"/>
    <x v="330"/>
    <x v="2"/>
    <x v="1"/>
    <s v="Tienda Online"/>
    <x v="1"/>
    <n v="2"/>
    <n v="2"/>
  </r>
  <r>
    <s v="V000596"/>
    <s v="978-2-18981-709-1"/>
    <s v="Una breve historia del tiempo"/>
    <s v="Stephen Hawking"/>
    <x v="11"/>
    <n v="1.69"/>
    <n v="169"/>
    <n v="1"/>
    <n v="1.69"/>
    <x v="45"/>
    <x v="2"/>
    <x v="7"/>
    <x v="0"/>
    <x v="1"/>
    <s v="Tienda Online"/>
    <x v="3"/>
    <n v="4"/>
    <n v="4"/>
  </r>
  <r>
    <s v="V000597"/>
    <s v="978-3-97782-833-5"/>
    <s v="V de Vendetta"/>
    <s v="Alan Moore"/>
    <x v="10"/>
    <n v="20.79"/>
    <n v="2079"/>
    <n v="1"/>
    <n v="20.79"/>
    <x v="57"/>
    <x v="3"/>
    <x v="137"/>
    <x v="0"/>
    <x v="0"/>
    <s v="Librería Barcelona Gòtic"/>
    <x v="3"/>
    <n v="5"/>
    <n v="5"/>
  </r>
  <r>
    <s v="V000598"/>
    <s v="978-8-33416-619-1"/>
    <s v="La chica del tren"/>
    <s v="Paula Hawkins"/>
    <x v="1"/>
    <n v="12.72"/>
    <n v="1272"/>
    <n v="4"/>
    <n v="50.88"/>
    <x v="34"/>
    <x v="3"/>
    <x v="447"/>
    <x v="1"/>
    <x v="0"/>
    <s v="Librería Central Madrid"/>
    <x v="4"/>
    <n v="2"/>
    <n v="2"/>
  </r>
  <r>
    <s v="V000599"/>
    <s v="978-6-46434-564-5"/>
    <s v="En llamas"/>
    <s v="Suzanne Collins"/>
    <x v="8"/>
    <n v="16.39"/>
    <n v="1639"/>
    <n v="1"/>
    <n v="16.39"/>
    <x v="61"/>
    <x v="2"/>
    <x v="244"/>
    <x v="2"/>
    <x v="1"/>
    <s v="Tienda Online"/>
    <x v="2"/>
    <m/>
    <s v="Sin valoración"/>
  </r>
  <r>
    <s v="V000600"/>
    <s v="978-3-85880-708-0"/>
    <s v="Persépolis"/>
    <s v="Marjane Satrapi"/>
    <x v="10"/>
    <n v="1.67"/>
    <n v="167"/>
    <n v="1"/>
    <n v="1.67"/>
    <x v="3"/>
    <x v="3"/>
    <x v="448"/>
    <x v="1"/>
    <x v="0"/>
    <s v="Librería Central Madrid"/>
    <x v="1"/>
    <n v="5"/>
    <n v="5"/>
  </r>
  <r>
    <s v="V000601"/>
    <s v="978-3-31417-573-6"/>
    <s v="Ana Karenina"/>
    <s v="León Tolstói"/>
    <x v="9"/>
    <n v="1.69"/>
    <n v="169"/>
    <n v="1"/>
    <n v="1.69"/>
    <x v="27"/>
    <x v="1"/>
    <x v="449"/>
    <x v="1"/>
    <x v="1"/>
    <s v="Tienda Online"/>
    <x v="4"/>
    <n v="5"/>
    <n v="5"/>
  </r>
  <r>
    <s v="V000602"/>
    <s v="978-3-76237-716-0"/>
    <s v="Fahrenheit 451"/>
    <s v="Ray Bradbury"/>
    <x v="12"/>
    <n v="11.81"/>
    <n v="1181"/>
    <n v="1"/>
    <n v="11.81"/>
    <x v="6"/>
    <x v="2"/>
    <x v="24"/>
    <x v="0"/>
    <x v="0"/>
    <s v="Librería Gran Vía"/>
    <x v="2"/>
    <n v="2"/>
    <n v="2"/>
  </r>
  <r>
    <s v="V000603"/>
    <s v="978-6-86484-508-5"/>
    <s v="Ficciones"/>
    <s v="Jorge Luis Borges"/>
    <x v="9"/>
    <n v="12.66"/>
    <n v="1266"/>
    <n v="1"/>
    <n v="12.66"/>
    <x v="36"/>
    <x v="2"/>
    <x v="450"/>
    <x v="2"/>
    <x v="1"/>
    <s v="Tienda Online"/>
    <x v="3"/>
    <n v="4"/>
    <n v="4"/>
  </r>
  <r>
    <s v="V000604"/>
    <s v="978-7-19071-878-8"/>
    <s v="El poder del ahora"/>
    <s v="Eckhart Tolle"/>
    <x v="0"/>
    <n v="1.49"/>
    <n v="149"/>
    <n v="2"/>
    <n v="2.98"/>
    <x v="13"/>
    <x v="1"/>
    <x v="451"/>
    <x v="0"/>
    <x v="1"/>
    <s v="Tienda Online"/>
    <x v="4"/>
    <m/>
    <s v="Sin valoración"/>
  </r>
  <r>
    <s v="V000605"/>
    <s v="978-0-40007-169-0"/>
    <s v="El Principito ilustrado"/>
    <s v="Antoine de Saint-Exupéry"/>
    <x v="6"/>
    <n v="14.31"/>
    <n v="1431"/>
    <n v="1"/>
    <n v="14.31"/>
    <x v="58"/>
    <x v="2"/>
    <x v="452"/>
    <x v="0"/>
    <x v="0"/>
    <s v="Librería Valencia Centro"/>
    <x v="1"/>
    <n v="5"/>
    <n v="5"/>
  </r>
  <r>
    <s v="V000606"/>
    <s v="978-7-10425-839-4"/>
    <s v="El paciente silencioso"/>
    <s v="Alex Michaelides"/>
    <x v="1"/>
    <n v="19.690000000000001"/>
    <n v="1969"/>
    <n v="3"/>
    <n v="59.070000000000007"/>
    <x v="2"/>
    <x v="3"/>
    <x v="453"/>
    <x v="0"/>
    <x v="1"/>
    <s v="Tienda Online"/>
    <x v="0"/>
    <n v="4"/>
    <n v="4"/>
  </r>
  <r>
    <s v="V000607"/>
    <s v="978-2-58520-463-3"/>
    <s v="Sinsajo"/>
    <s v="Suzanne Collins"/>
    <x v="8"/>
    <n v="1.49"/>
    <n v="149"/>
    <n v="1"/>
    <n v="1.49"/>
    <x v="34"/>
    <x v="3"/>
    <x v="275"/>
    <x v="2"/>
    <x v="1"/>
    <s v="Tienda Online"/>
    <x v="0"/>
    <n v="2"/>
    <n v="2"/>
  </r>
  <r>
    <s v="V000608"/>
    <s v="978-3-54118-204-1"/>
    <s v="Juego de Tronos"/>
    <s v="George R.R. Martin"/>
    <x v="2"/>
    <n v="1.99"/>
    <n v="199"/>
    <n v="1"/>
    <n v="1.99"/>
    <x v="22"/>
    <x v="1"/>
    <x v="386"/>
    <x v="1"/>
    <x v="0"/>
    <s v="Librería Barcelona Gòtic"/>
    <x v="4"/>
    <n v="4"/>
    <n v="4"/>
  </r>
  <r>
    <s v="V000609"/>
    <s v="978-0-62772-845-5"/>
    <s v="Drácula"/>
    <s v="Bram Stoker"/>
    <x v="4"/>
    <n v="10.96"/>
    <n v="1096"/>
    <n v="1"/>
    <n v="10.96"/>
    <x v="46"/>
    <x v="1"/>
    <x v="311"/>
    <x v="2"/>
    <x v="1"/>
    <s v="Tienda Online"/>
    <x v="1"/>
    <n v="4"/>
    <n v="4"/>
  </r>
  <r>
    <s v="V000610"/>
    <s v="978-2-46509-573-3"/>
    <s v="La peste"/>
    <s v="Albert Camus"/>
    <x v="9"/>
    <n v="12.66"/>
    <n v="1266"/>
    <n v="2"/>
    <n v="25.32"/>
    <x v="54"/>
    <x v="2"/>
    <x v="454"/>
    <x v="1"/>
    <x v="0"/>
    <s v="Librería Barcelona Gòtic"/>
    <x v="1"/>
    <n v="5"/>
    <n v="5"/>
  </r>
  <r>
    <s v="V000611"/>
    <s v="978-8-44438-864-9"/>
    <s v="Rayuela"/>
    <s v="Julio Cortázar"/>
    <x v="9"/>
    <n v="15.21"/>
    <n v="1521"/>
    <n v="2"/>
    <n v="30.42"/>
    <x v="28"/>
    <x v="1"/>
    <x v="455"/>
    <x v="1"/>
    <x v="0"/>
    <s v="Librería Central Madrid"/>
    <x v="3"/>
    <n v="5"/>
    <n v="5"/>
  </r>
  <r>
    <s v="V000612"/>
    <s v="978-7-47388-533-8"/>
    <s v="Los besos"/>
    <s v="Manuel Vilas"/>
    <x v="3"/>
    <n v="15.12"/>
    <n v="1512"/>
    <n v="2"/>
    <n v="30.24"/>
    <x v="70"/>
    <x v="0"/>
    <x v="456"/>
    <x v="0"/>
    <x v="1"/>
    <s v="Tienda Online"/>
    <x v="2"/>
    <n v="5"/>
    <n v="5"/>
  </r>
  <r>
    <s v="V000613"/>
    <s v="978-9-72493-614-8"/>
    <s v="El chef en casa"/>
    <s v="Jamie Oliver"/>
    <x v="14"/>
    <n v="1.99"/>
    <n v="199"/>
    <n v="1"/>
    <n v="1.99"/>
    <x v="44"/>
    <x v="2"/>
    <x v="416"/>
    <x v="0"/>
    <x v="1"/>
    <s v="Tienda Online"/>
    <x v="0"/>
    <m/>
    <s v="Sin valoración"/>
  </r>
  <r>
    <s v="V000614"/>
    <s v="978-1-68082-927-8"/>
    <s v="Náuseas"/>
    <s v="Jean-Paul Sartre"/>
    <x v="9"/>
    <n v="1.39"/>
    <n v="139"/>
    <n v="2"/>
    <n v="2.78"/>
    <x v="10"/>
    <x v="0"/>
    <x v="457"/>
    <x v="0"/>
    <x v="0"/>
    <s v="Librería Sevilla Triana"/>
    <x v="1"/>
    <n v="5"/>
    <n v="5"/>
  </r>
  <r>
    <s v="V000615"/>
    <s v="978-6-45093-167-3"/>
    <s v="Paula"/>
    <s v="Isabel Allende"/>
    <x v="13"/>
    <n v="1.59"/>
    <n v="159"/>
    <n v="1"/>
    <n v="1.59"/>
    <x v="8"/>
    <x v="2"/>
    <x v="458"/>
    <x v="1"/>
    <x v="1"/>
    <s v="Tienda Online"/>
    <x v="0"/>
    <n v="3"/>
    <n v="3"/>
  </r>
  <r>
    <s v="V000616"/>
    <s v="978-3-50857-508-5"/>
    <s v="Piense y hágase rico"/>
    <s v="Napoleon Hill"/>
    <x v="5"/>
    <n v="1.46"/>
    <n v="146"/>
    <n v="1"/>
    <n v="1.46"/>
    <x v="43"/>
    <x v="1"/>
    <x v="459"/>
    <x v="2"/>
    <x v="1"/>
    <s v="Tienda Online"/>
    <x v="1"/>
    <m/>
    <s v="Sin valoración"/>
  </r>
  <r>
    <s v="V000617"/>
    <s v="978-6-10282-499-4"/>
    <s v="Patria"/>
    <s v="Fernando Aramburu"/>
    <x v="3"/>
    <n v="1.99"/>
    <n v="199"/>
    <n v="2"/>
    <n v="3.98"/>
    <x v="53"/>
    <x v="3"/>
    <x v="460"/>
    <x v="1"/>
    <x v="1"/>
    <s v="Tienda Online"/>
    <x v="4"/>
    <n v="2"/>
    <n v="2"/>
  </r>
  <r>
    <s v="V000618"/>
    <s v="978-8-44973-887-5"/>
    <s v="Ángeles y demonios"/>
    <s v="Dan Brown"/>
    <x v="1"/>
    <n v="17.75"/>
    <n v="1775"/>
    <n v="1"/>
    <n v="17.75"/>
    <x v="14"/>
    <x v="0"/>
    <x v="461"/>
    <x v="1"/>
    <x v="1"/>
    <s v="Tienda Online"/>
    <x v="0"/>
    <n v="2"/>
    <n v="2"/>
  </r>
  <r>
    <s v="V000619"/>
    <s v="978-1-40512-987-1"/>
    <s v="Los juegos del hambre"/>
    <s v="Suzanne Collins"/>
    <x v="8"/>
    <n v="13.41"/>
    <n v="1341"/>
    <n v="1"/>
    <n v="13.41"/>
    <x v="34"/>
    <x v="2"/>
    <x v="462"/>
    <x v="1"/>
    <x v="0"/>
    <s v="Librería Central Madrid"/>
    <x v="0"/>
    <n v="2"/>
    <n v="2"/>
  </r>
  <r>
    <s v="V000620"/>
    <s v="978-1-16175-981-1"/>
    <s v="Pedro Páramo"/>
    <s v="Juan Rulfo"/>
    <x v="9"/>
    <n v="14.19"/>
    <n v="1419"/>
    <n v="1"/>
    <n v="14.19"/>
    <x v="33"/>
    <x v="1"/>
    <x v="463"/>
    <x v="2"/>
    <x v="1"/>
    <s v="Tienda Online"/>
    <x v="0"/>
    <n v="5"/>
    <n v="5"/>
  </r>
  <r>
    <s v="V000621"/>
    <s v="978-4-99593-763-1"/>
    <s v="Crimen y castigo"/>
    <s v="Fiódor Dostoyevski"/>
    <x v="9"/>
    <n v="1.29"/>
    <n v="129"/>
    <n v="1"/>
    <n v="1.29"/>
    <x v="40"/>
    <x v="2"/>
    <x v="464"/>
    <x v="0"/>
    <x v="1"/>
    <s v="Tienda Online"/>
    <x v="1"/>
    <n v="2"/>
    <n v="2"/>
  </r>
  <r>
    <s v="V000622"/>
    <s v="978-4-93886-804-8"/>
    <s v="Guerra y paz"/>
    <s v="León Tolstói"/>
    <x v="9"/>
    <n v="19.920000000000002"/>
    <n v="1992"/>
    <n v="1"/>
    <n v="19.920000000000002"/>
    <x v="33"/>
    <x v="1"/>
    <x v="465"/>
    <x v="0"/>
    <x v="0"/>
    <s v="Librería Valencia Centro"/>
    <x v="2"/>
    <n v="3"/>
    <n v="3"/>
  </r>
  <r>
    <s v="V000623"/>
    <s v="978-4-93886-804-8"/>
    <s v="Guerra y paz"/>
    <s v="León Tolstói"/>
    <x v="9"/>
    <n v="2.4900000000000002"/>
    <n v="249"/>
    <n v="2"/>
    <n v="4.9800000000000004"/>
    <x v="35"/>
    <x v="0"/>
    <x v="167"/>
    <x v="0"/>
    <x v="0"/>
    <s v="Librería Sevilla Triana"/>
    <x v="4"/>
    <n v="5"/>
    <n v="5"/>
  </r>
  <r>
    <s v="V000624"/>
    <s v="978-3-28131-621-7"/>
    <s v="El Aleph"/>
    <s v="Jorge Luis Borges"/>
    <x v="9"/>
    <n v="1.39"/>
    <n v="139"/>
    <n v="1"/>
    <n v="1.39"/>
    <x v="25"/>
    <x v="2"/>
    <x v="45"/>
    <x v="2"/>
    <x v="1"/>
    <s v="Tienda Online"/>
    <x v="3"/>
    <n v="3"/>
    <n v="3"/>
  </r>
  <r>
    <s v="V000625"/>
    <s v="978-3-84364-180-1"/>
    <s v="21 lecciones para el siglo XXI"/>
    <s v="Yuval Noah Harari"/>
    <x v="15"/>
    <n v="17.91"/>
    <n v="1791"/>
    <n v="1"/>
    <n v="17.91"/>
    <x v="0"/>
    <x v="3"/>
    <x v="457"/>
    <x v="2"/>
    <x v="1"/>
    <s v="Tienda Online"/>
    <x v="3"/>
    <n v="5"/>
    <n v="5"/>
  </r>
  <r>
    <s v="V000626"/>
    <s v="978-2-58520-463-3"/>
    <s v="Sinsajo"/>
    <s v="Suzanne Collins"/>
    <x v="8"/>
    <n v="16.39"/>
    <n v="1639"/>
    <n v="1"/>
    <n v="16.39"/>
    <x v="8"/>
    <x v="3"/>
    <x v="119"/>
    <x v="1"/>
    <x v="0"/>
    <s v="Librería Central Madrid"/>
    <x v="1"/>
    <n v="3"/>
    <n v="3"/>
  </r>
  <r>
    <s v="V000627"/>
    <s v="978-8-27342-840-9"/>
    <s v="Stardust"/>
    <s v="Neil Gaiman"/>
    <x v="2"/>
    <n v="1.59"/>
    <n v="159"/>
    <n v="1"/>
    <n v="1.59"/>
    <x v="50"/>
    <x v="0"/>
    <x v="466"/>
    <x v="0"/>
    <x v="1"/>
    <s v="Tienda Online"/>
    <x v="1"/>
    <n v="5"/>
    <n v="5"/>
  </r>
  <r>
    <s v="V000628"/>
    <s v="978-9-51245-317-7"/>
    <s v="La sombra del viento"/>
    <s v="Carlos Ruiz Zafón"/>
    <x v="3"/>
    <n v="16.649999999999999"/>
    <n v="1665"/>
    <n v="1"/>
    <n v="16.649999999999999"/>
    <x v="63"/>
    <x v="3"/>
    <x v="63"/>
    <x v="2"/>
    <x v="1"/>
    <s v="Tienda Online"/>
    <x v="2"/>
    <n v="4"/>
    <n v="4"/>
  </r>
  <r>
    <s v="V000629"/>
    <s v="978-9-71348-641-4"/>
    <s v="Veinte poemas de amor"/>
    <s v="Pablo Neruda"/>
    <x v="7"/>
    <n v="1.04"/>
    <n v="104"/>
    <n v="2"/>
    <n v="2.08"/>
    <x v="41"/>
    <x v="1"/>
    <x v="467"/>
    <x v="2"/>
    <x v="1"/>
    <s v="Tienda Online"/>
    <x v="4"/>
    <n v="5"/>
    <n v="5"/>
  </r>
  <r>
    <s v="V000630"/>
    <s v="978-7-30289-294-4"/>
    <s v="Nada"/>
    <s v="Carmen Laforet"/>
    <x v="9"/>
    <n v="11.81"/>
    <n v="1181"/>
    <n v="1"/>
    <n v="11.81"/>
    <x v="16"/>
    <x v="3"/>
    <x v="468"/>
    <x v="1"/>
    <x v="1"/>
    <s v="Tienda Online"/>
    <x v="4"/>
    <n v="4"/>
    <n v="4"/>
  </r>
  <r>
    <s v="V000631"/>
    <s v="978-8-36062-833-8"/>
    <s v="Crónicas marcianas"/>
    <s v="Ray Bradbury"/>
    <x v="12"/>
    <n v="16.72"/>
    <n v="1672"/>
    <n v="1"/>
    <n v="16.72"/>
    <x v="12"/>
    <x v="1"/>
    <x v="297"/>
    <x v="0"/>
    <x v="1"/>
    <s v="Tienda Online"/>
    <x v="2"/>
    <m/>
    <s v="Sin valoración"/>
  </r>
  <r>
    <s v="V000632"/>
    <s v="978-9-78522-423-4"/>
    <s v="Maus"/>
    <s v="Art Spiegelman"/>
    <x v="10"/>
    <n v="1.69"/>
    <n v="169"/>
    <n v="1"/>
    <n v="1.69"/>
    <x v="45"/>
    <x v="2"/>
    <x v="17"/>
    <x v="1"/>
    <x v="1"/>
    <s v="Tienda Online"/>
    <x v="4"/>
    <n v="3"/>
    <n v="3"/>
  </r>
  <r>
    <s v="V000633"/>
    <s v="978-6-34957-196-1"/>
    <s v="El resplandor"/>
    <s v="Stephen King"/>
    <x v="4"/>
    <n v="16.059999999999999"/>
    <n v="1606"/>
    <n v="1"/>
    <n v="16.059999999999999"/>
    <x v="46"/>
    <x v="0"/>
    <x v="198"/>
    <x v="1"/>
    <x v="1"/>
    <s v="Tienda Online"/>
    <x v="4"/>
    <n v="5"/>
    <n v="5"/>
  </r>
  <r>
    <s v="V000634"/>
    <s v="978-9-78522-423-4"/>
    <s v="Maus"/>
    <s v="Art Spiegelman"/>
    <x v="10"/>
    <n v="15.21"/>
    <n v="1521"/>
    <n v="1"/>
    <n v="15.21"/>
    <x v="19"/>
    <x v="0"/>
    <x v="469"/>
    <x v="0"/>
    <x v="1"/>
    <s v="Tienda Online"/>
    <x v="3"/>
    <m/>
    <s v="Sin valoración"/>
  </r>
  <r>
    <s v="V000635"/>
    <s v="978-9-93227-275-8"/>
    <s v="Los hermanos Karamázov"/>
    <s v="Fiódor Dostoyevski"/>
    <x v="9"/>
    <n v="20.79"/>
    <n v="2079"/>
    <n v="1"/>
    <n v="20.79"/>
    <x v="8"/>
    <x v="2"/>
    <x v="385"/>
    <x v="0"/>
    <x v="1"/>
    <s v="Tienda Online"/>
    <x v="0"/>
    <n v="3"/>
    <n v="3"/>
  </r>
  <r>
    <s v="V000636"/>
    <s v="978-3-50857-508-5"/>
    <s v="Piense y hágase rico"/>
    <s v="Napoleon Hill"/>
    <x v="5"/>
    <n v="12.51"/>
    <n v="1251"/>
    <n v="1"/>
    <n v="12.51"/>
    <x v="45"/>
    <x v="1"/>
    <x v="154"/>
    <x v="1"/>
    <x v="1"/>
    <s v="Tienda Online"/>
    <x v="3"/>
    <m/>
    <s v="Sin valoración"/>
  </r>
  <r>
    <s v="V000637"/>
    <s v="978-3-39256-242-1"/>
    <s v="El amor en los tiempos del cólera"/>
    <s v="Gabriel García Márquez"/>
    <x v="3"/>
    <n v="1.75"/>
    <n v="175"/>
    <n v="1"/>
    <n v="1.75"/>
    <x v="46"/>
    <x v="3"/>
    <x v="466"/>
    <x v="1"/>
    <x v="0"/>
    <s v="Librería Central Madrid"/>
    <x v="4"/>
    <n v="5"/>
    <n v="5"/>
  </r>
  <r>
    <s v="V000638"/>
    <s v="978-1-40512-987-1"/>
    <s v="Los juegos del hambre"/>
    <s v="Suzanne Collins"/>
    <x v="8"/>
    <n v="11.92"/>
    <n v="1192"/>
    <n v="1"/>
    <n v="11.92"/>
    <x v="21"/>
    <x v="3"/>
    <x v="418"/>
    <x v="2"/>
    <x v="1"/>
    <s v="Tienda Online"/>
    <x v="2"/>
    <n v="4"/>
    <n v="4"/>
  </r>
  <r>
    <s v="V000639"/>
    <s v="978-3-30032-482-2"/>
    <s v="Los hombres que no amaban a las mujeres"/>
    <s v="Stieg Larsson"/>
    <x v="1"/>
    <n v="14.32"/>
    <n v="1432"/>
    <n v="1"/>
    <n v="14.32"/>
    <x v="35"/>
    <x v="0"/>
    <x v="470"/>
    <x v="1"/>
    <x v="0"/>
    <s v="Librería Central Madrid"/>
    <x v="2"/>
    <n v="4"/>
    <n v="4"/>
  </r>
  <r>
    <s v="V000640"/>
    <s v="978-2-17455-620-1"/>
    <s v="Cosmos"/>
    <s v="Carl Sagan"/>
    <x v="11"/>
    <n v="16.059999999999999"/>
    <n v="1606"/>
    <n v="1"/>
    <n v="16.059999999999999"/>
    <x v="69"/>
    <x v="2"/>
    <x v="471"/>
    <x v="2"/>
    <x v="1"/>
    <s v="Tienda Online"/>
    <x v="2"/>
    <n v="4"/>
    <n v="4"/>
  </r>
  <r>
    <s v="V000641"/>
    <s v="978-8-21395-704-6"/>
    <s v="1984"/>
    <s v="George Orwell"/>
    <x v="12"/>
    <n v="13.41"/>
    <n v="1341"/>
    <n v="1"/>
    <n v="13.41"/>
    <x v="45"/>
    <x v="1"/>
    <x v="472"/>
    <x v="0"/>
    <x v="1"/>
    <s v="Tienda Online"/>
    <x v="3"/>
    <n v="4"/>
    <n v="4"/>
  </r>
  <r>
    <s v="V000642"/>
    <s v="978-3-62565-160-2"/>
    <s v="El día que se perdió la cordura"/>
    <s v="Javier Castillo"/>
    <x v="1"/>
    <n v="15.12"/>
    <n v="1512"/>
    <n v="2"/>
    <n v="30.24"/>
    <x v="0"/>
    <x v="0"/>
    <x v="428"/>
    <x v="2"/>
    <x v="1"/>
    <s v="Tienda Online"/>
    <x v="4"/>
    <n v="3"/>
    <n v="3"/>
  </r>
  <r>
    <s v="V000643"/>
    <s v="978-2-92240-263-6"/>
    <s v="La casa de Bernarda Alba"/>
    <s v="Federico García Lorca"/>
    <x v="17"/>
    <n v="0.99"/>
    <n v="99"/>
    <n v="1"/>
    <n v="0.99"/>
    <x v="44"/>
    <x v="3"/>
    <x v="23"/>
    <x v="1"/>
    <x v="0"/>
    <s v="Librería Central Madrid"/>
    <x v="4"/>
    <m/>
    <s v="Sin valoración"/>
  </r>
  <r>
    <s v="V000644"/>
    <s v="978-7-17100-789-1"/>
    <s v="Carrie"/>
    <s v="Stephen King"/>
    <x v="4"/>
    <n v="12.66"/>
    <n v="1266"/>
    <n v="1"/>
    <n v="12.66"/>
    <x v="50"/>
    <x v="0"/>
    <x v="473"/>
    <x v="0"/>
    <x v="1"/>
    <s v="Tienda Online"/>
    <x v="3"/>
    <n v="3"/>
    <n v="3"/>
  </r>
  <r>
    <s v="V000645"/>
    <s v="978-3-30032-482-2"/>
    <s v="Los hombres que no amaban a las mujeres"/>
    <s v="Stieg Larsson"/>
    <x v="1"/>
    <n v="1.79"/>
    <n v="179"/>
    <n v="1"/>
    <n v="1.79"/>
    <x v="16"/>
    <x v="2"/>
    <x v="17"/>
    <x v="0"/>
    <x v="0"/>
    <s v="Librería Barcelona Gòtic"/>
    <x v="3"/>
    <n v="5"/>
    <n v="5"/>
  </r>
  <r>
    <s v="V000646"/>
    <s v="978-4-28301-352-8"/>
    <s v="El prisionero del cielo"/>
    <s v="Carlos Ruiz Zafón"/>
    <x v="3"/>
    <n v="16.11"/>
    <n v="1611"/>
    <n v="1"/>
    <n v="16.11"/>
    <x v="69"/>
    <x v="0"/>
    <x v="474"/>
    <x v="1"/>
    <x v="1"/>
    <s v="Tienda Online"/>
    <x v="0"/>
    <m/>
    <s v="Sin valoración"/>
  </r>
  <r>
    <s v="V000647"/>
    <s v="978-4-93886-804-8"/>
    <s v="Guerra y paz"/>
    <s v="León Tolstói"/>
    <x v="9"/>
    <n v="19.920000000000002"/>
    <n v="1992"/>
    <n v="1"/>
    <n v="19.920000000000002"/>
    <x v="14"/>
    <x v="2"/>
    <x v="475"/>
    <x v="0"/>
    <x v="0"/>
    <s v="Librería Gran Vía"/>
    <x v="1"/>
    <n v="4"/>
    <n v="4"/>
  </r>
  <r>
    <s v="V000648"/>
    <s v="978-9-65461-316-8"/>
    <s v="Padre rico, padre pobre"/>
    <s v="Robert Kiyosaki"/>
    <x v="5"/>
    <n v="18.59"/>
    <n v="1859"/>
    <n v="1"/>
    <n v="18.59"/>
    <x v="18"/>
    <x v="3"/>
    <x v="251"/>
    <x v="0"/>
    <x v="1"/>
    <s v="Tienda Online"/>
    <x v="4"/>
    <m/>
    <s v="Sin valoración"/>
  </r>
  <r>
    <s v="V000649"/>
    <s v="978-9-38864-107-1"/>
    <s v="James y el melocotón gigante"/>
    <s v="Roald Dahl"/>
    <x v="6"/>
    <n v="1.0900000000000001"/>
    <n v="109"/>
    <n v="2"/>
    <n v="2.1800000000000002"/>
    <x v="61"/>
    <x v="1"/>
    <x v="476"/>
    <x v="2"/>
    <x v="1"/>
    <s v="Tienda Online"/>
    <x v="1"/>
    <n v="5"/>
    <n v="5"/>
  </r>
  <r>
    <s v="V000650"/>
    <s v="978-9-93227-275-8"/>
    <s v="Los hermanos Karamázov"/>
    <s v="Fiódor Dostoyevski"/>
    <x v="9"/>
    <n v="19.84"/>
    <n v="1984"/>
    <n v="1"/>
    <n v="19.84"/>
    <x v="16"/>
    <x v="2"/>
    <x v="477"/>
    <x v="1"/>
    <x v="0"/>
    <s v="Librería Sevilla Triana"/>
    <x v="3"/>
    <n v="5"/>
    <n v="5"/>
  </r>
  <r>
    <s v="V000651"/>
    <s v="978-6-94259-569-2"/>
    <s v="El juego del ángel"/>
    <s v="Carlos Ruiz Zafón"/>
    <x v="3"/>
    <n v="1.85"/>
    <n v="185"/>
    <n v="1"/>
    <n v="1.85"/>
    <x v="13"/>
    <x v="2"/>
    <x v="70"/>
    <x v="1"/>
    <x v="1"/>
    <s v="Tienda Online"/>
    <x v="3"/>
    <n v="5"/>
    <n v="5"/>
  </r>
  <r>
    <s v="V000652"/>
    <s v="978-6-10282-499-4"/>
    <s v="Patria"/>
    <s v="Fernando Aramburu"/>
    <x v="3"/>
    <n v="20.89"/>
    <n v="2089"/>
    <n v="1"/>
    <n v="20.89"/>
    <x v="18"/>
    <x v="3"/>
    <x v="116"/>
    <x v="0"/>
    <x v="1"/>
    <s v="Tienda Online"/>
    <x v="1"/>
    <m/>
    <s v="Sin valoración"/>
  </r>
  <r>
    <s v="V000653"/>
    <s v="978-1-82357-400-9"/>
    <s v="Harry Potter y la piedra filosofal"/>
    <s v="J.K. Rowling"/>
    <x v="8"/>
    <n v="1.67"/>
    <n v="167"/>
    <n v="3"/>
    <n v="5.01"/>
    <x v="8"/>
    <x v="1"/>
    <x v="478"/>
    <x v="2"/>
    <x v="1"/>
    <s v="Tienda Online"/>
    <x v="4"/>
    <n v="5"/>
    <n v="5"/>
  </r>
  <r>
    <s v="V000654"/>
    <s v="978-5-50306-345-0"/>
    <s v="Homo Deus"/>
    <s v="Yuval Noah Harari"/>
    <x v="15"/>
    <n v="18.61"/>
    <n v="1861"/>
    <n v="2"/>
    <n v="37.22"/>
    <x v="27"/>
    <x v="0"/>
    <x v="479"/>
    <x v="2"/>
    <x v="1"/>
    <s v="Tienda Online"/>
    <x v="1"/>
    <n v="5"/>
    <n v="5"/>
  </r>
  <r>
    <s v="V000655"/>
    <s v="978-3-62565-160-2"/>
    <s v="El día que se perdió la cordura"/>
    <s v="Javier Castillo"/>
    <x v="1"/>
    <n v="1.89"/>
    <n v="189"/>
    <n v="1"/>
    <n v="1.89"/>
    <x v="16"/>
    <x v="0"/>
    <x v="144"/>
    <x v="2"/>
    <x v="1"/>
    <s v="Tienda Online"/>
    <x v="0"/>
    <n v="4"/>
    <n v="4"/>
  </r>
  <r>
    <s v="V000656"/>
    <s v="978-5-74042-119-1"/>
    <s v="Sapiens"/>
    <s v="Yuval Noah Harari"/>
    <x v="15"/>
    <n v="2.2999999999999998"/>
    <n v="230"/>
    <n v="1"/>
    <n v="2.2999999999999998"/>
    <x v="10"/>
    <x v="2"/>
    <x v="480"/>
    <x v="2"/>
    <x v="1"/>
    <s v="Tienda Online"/>
    <x v="4"/>
    <n v="5"/>
    <n v="5"/>
  </r>
  <r>
    <s v="V000657"/>
    <s v="978-8-44973-887-5"/>
    <s v="Ángeles y demonios"/>
    <s v="Dan Brown"/>
    <x v="1"/>
    <n v="14.36"/>
    <n v="1436"/>
    <n v="1"/>
    <n v="14.36"/>
    <x v="65"/>
    <x v="3"/>
    <x v="481"/>
    <x v="1"/>
    <x v="0"/>
    <s v="Librería Valencia Centro"/>
    <x v="4"/>
    <m/>
    <s v="Sin valoración"/>
  </r>
  <r>
    <s v="V000658"/>
    <s v="978-6-45093-167-3"/>
    <s v="Paula"/>
    <s v="Isabel Allende"/>
    <x v="13"/>
    <n v="17.489999999999998"/>
    <n v="1749"/>
    <n v="1"/>
    <n v="17.489999999999998"/>
    <x v="51"/>
    <x v="0"/>
    <x v="444"/>
    <x v="0"/>
    <x v="0"/>
    <s v="Librería Central Madrid"/>
    <x v="2"/>
    <n v="1"/>
    <n v="1"/>
  </r>
  <r>
    <s v="V000659"/>
    <s v="978-8-31643-371-8"/>
    <s v="Hábitos atómicos"/>
    <s v="James Clear"/>
    <x v="0"/>
    <n v="19.84"/>
    <n v="1984"/>
    <n v="2"/>
    <n v="39.68"/>
    <x v="18"/>
    <x v="2"/>
    <x v="482"/>
    <x v="2"/>
    <x v="1"/>
    <s v="Tienda Online"/>
    <x v="3"/>
    <n v="4"/>
    <n v="4"/>
  </r>
  <r>
    <s v="V000660"/>
    <s v="978-2-17455-620-1"/>
    <s v="Cosmos"/>
    <s v="Carl Sagan"/>
    <x v="11"/>
    <n v="15.12"/>
    <n v="1512"/>
    <n v="2"/>
    <n v="30.24"/>
    <x v="2"/>
    <x v="1"/>
    <x v="295"/>
    <x v="2"/>
    <x v="1"/>
    <s v="Tienda Online"/>
    <x v="2"/>
    <n v="4"/>
    <n v="4"/>
  </r>
  <r>
    <s v="V000661"/>
    <s v="978-1-16175-981-1"/>
    <s v="Pedro Páramo"/>
    <s v="Juan Rulfo"/>
    <x v="9"/>
    <n v="14.19"/>
    <n v="1419"/>
    <n v="1"/>
    <n v="14.19"/>
    <x v="26"/>
    <x v="3"/>
    <x v="483"/>
    <x v="2"/>
    <x v="1"/>
    <s v="Tienda Online"/>
    <x v="2"/>
    <n v="2"/>
    <n v="2"/>
  </r>
  <r>
    <s v="V000662"/>
    <s v="978-1-40512-987-1"/>
    <s v="Los juegos del hambre"/>
    <s v="Suzanne Collins"/>
    <x v="8"/>
    <n v="1.49"/>
    <n v="149"/>
    <n v="3"/>
    <n v="4.47"/>
    <x v="35"/>
    <x v="0"/>
    <x v="212"/>
    <x v="2"/>
    <x v="1"/>
    <s v="Tienda Online"/>
    <x v="1"/>
    <n v="4"/>
    <n v="4"/>
  </r>
  <r>
    <s v="V000663"/>
    <s v="978-7-17100-789-1"/>
    <s v="Carrie"/>
    <s v="Stephen King"/>
    <x v="4"/>
    <n v="12.66"/>
    <n v="1266"/>
    <n v="1"/>
    <n v="12.66"/>
    <x v="64"/>
    <x v="0"/>
    <x v="103"/>
    <x v="0"/>
    <x v="0"/>
    <s v="Librería Gran Vía"/>
    <x v="4"/>
    <n v="2"/>
    <n v="2"/>
  </r>
  <r>
    <s v="V000664"/>
    <s v="978-9-20745-529-9"/>
    <s v="Watchmen"/>
    <s v="Alan Moore"/>
    <x v="10"/>
    <n v="17.52"/>
    <n v="1752"/>
    <n v="1"/>
    <n v="17.52"/>
    <x v="35"/>
    <x v="3"/>
    <x v="484"/>
    <x v="1"/>
    <x v="1"/>
    <s v="Tienda Online"/>
    <x v="1"/>
    <n v="4"/>
    <n v="4"/>
  </r>
  <r>
    <s v="V000665"/>
    <s v="978-6-94259-569-2"/>
    <s v="El juego del ángel"/>
    <s v="Carlos Ruiz Zafón"/>
    <x v="3"/>
    <n v="1.48"/>
    <n v="148"/>
    <n v="1"/>
    <n v="1.48"/>
    <x v="12"/>
    <x v="0"/>
    <x v="485"/>
    <x v="2"/>
    <x v="1"/>
    <s v="Tienda Online"/>
    <x v="0"/>
    <n v="5"/>
    <n v="5"/>
  </r>
  <r>
    <s v="V000666"/>
    <s v="978-8-11504-796-1"/>
    <s v="El código Da Vinci"/>
    <s v="Dan Brown"/>
    <x v="1"/>
    <n v="1.69"/>
    <n v="169"/>
    <n v="2"/>
    <n v="3.38"/>
    <x v="10"/>
    <x v="0"/>
    <x v="486"/>
    <x v="2"/>
    <x v="1"/>
    <s v="Tienda Online"/>
    <x v="0"/>
    <n v="4"/>
    <n v="4"/>
  </r>
  <r>
    <s v="V000667"/>
    <s v="978-4-93748-619-9"/>
    <s v="Perdida"/>
    <s v="Gillian Flynn"/>
    <x v="1"/>
    <n v="17.32"/>
    <n v="1732"/>
    <n v="1"/>
    <n v="17.32"/>
    <x v="60"/>
    <x v="0"/>
    <x v="487"/>
    <x v="1"/>
    <x v="0"/>
    <s v="Librería Gran Vía"/>
    <x v="3"/>
    <m/>
    <s v="Sin valoración"/>
  </r>
  <r>
    <s v="V000668"/>
    <s v="978-2-58520-463-3"/>
    <s v="Sinsajo"/>
    <s v="Suzanne Collins"/>
    <x v="8"/>
    <n v="11.92"/>
    <n v="1192"/>
    <n v="1"/>
    <n v="11.92"/>
    <x v="34"/>
    <x v="0"/>
    <x v="488"/>
    <x v="1"/>
    <x v="0"/>
    <s v="Librería Gran Vía"/>
    <x v="1"/>
    <n v="1"/>
    <n v="1"/>
  </r>
  <r>
    <s v="V000669"/>
    <s v="978-0-51104-158-0"/>
    <s v="Manual de cocina fácil"/>
    <s v="Karlos Arguiñano"/>
    <x v="14"/>
    <n v="1.79"/>
    <n v="179"/>
    <n v="1"/>
    <n v="1.79"/>
    <x v="25"/>
    <x v="2"/>
    <x v="489"/>
    <x v="1"/>
    <x v="1"/>
    <s v="Tienda Online"/>
    <x v="0"/>
    <n v="4"/>
    <n v="4"/>
  </r>
  <r>
    <s v="V000670"/>
    <s v="978-6-56438-533-6"/>
    <s v="Misery"/>
    <s v="Stephen King"/>
    <x v="4"/>
    <n v="14.36"/>
    <n v="1436"/>
    <n v="2"/>
    <n v="28.72"/>
    <x v="27"/>
    <x v="2"/>
    <x v="142"/>
    <x v="2"/>
    <x v="1"/>
    <s v="Tienda Online"/>
    <x v="2"/>
    <n v="3"/>
    <n v="3"/>
  </r>
  <r>
    <s v="V000671"/>
    <s v="978-1-82357-400-9"/>
    <s v="Harry Potter y la piedra filosofal"/>
    <s v="J.K. Rowling"/>
    <x v="8"/>
    <n v="12.72"/>
    <n v="1272"/>
    <n v="4"/>
    <n v="50.88"/>
    <x v="64"/>
    <x v="3"/>
    <x v="490"/>
    <x v="2"/>
    <x v="1"/>
    <s v="Tienda Online"/>
    <x v="3"/>
    <n v="5"/>
    <n v="5"/>
  </r>
  <r>
    <s v="V000672"/>
    <s v="978-2-26828-775-7"/>
    <s v="Los cuatro acuerdos"/>
    <s v="Miguel Ruiz"/>
    <x v="0"/>
    <n v="1.29"/>
    <n v="129"/>
    <n v="2"/>
    <n v="2.58"/>
    <x v="49"/>
    <x v="2"/>
    <x v="491"/>
    <x v="2"/>
    <x v="1"/>
    <s v="Tienda Online"/>
    <x v="4"/>
    <n v="5"/>
    <n v="5"/>
  </r>
  <r>
    <s v="V000673"/>
    <s v="978-5-74042-119-1"/>
    <s v="Sapiens"/>
    <s v="Yuval Noah Harari"/>
    <x v="15"/>
    <n v="24.09"/>
    <n v="2409"/>
    <n v="1"/>
    <n v="24.09"/>
    <x v="4"/>
    <x v="3"/>
    <x v="456"/>
    <x v="0"/>
    <x v="0"/>
    <s v="Librería Valencia Centro"/>
    <x v="1"/>
    <n v="5"/>
    <n v="5"/>
  </r>
  <r>
    <s v="V000674"/>
    <s v="978-6-54597-384-2"/>
    <s v="El temor de un hombre sabio"/>
    <s v="Patrick Rothfuss"/>
    <x v="2"/>
    <n v="2.4900000000000002"/>
    <n v="249"/>
    <n v="1"/>
    <n v="2.4900000000000002"/>
    <x v="18"/>
    <x v="0"/>
    <x v="274"/>
    <x v="1"/>
    <x v="1"/>
    <s v="Tienda Online"/>
    <x v="2"/>
    <m/>
    <s v="Sin valoración"/>
  </r>
  <r>
    <s v="V000675"/>
    <s v="978-1-82357-400-9"/>
    <s v="Harry Potter y la piedra filosofal"/>
    <s v="J.K. Rowling"/>
    <x v="8"/>
    <n v="12.72"/>
    <n v="1272"/>
    <n v="2"/>
    <n v="25.44"/>
    <x v="20"/>
    <x v="0"/>
    <x v="413"/>
    <x v="0"/>
    <x v="1"/>
    <s v="Tienda Online"/>
    <x v="4"/>
    <n v="5"/>
    <n v="5"/>
  </r>
  <r>
    <s v="V000676"/>
    <s v="978-4-97684-597-3"/>
    <s v="American Gods"/>
    <s v="Neil Gaiman"/>
    <x v="2"/>
    <n v="15.92"/>
    <n v="1592"/>
    <n v="1"/>
    <n v="15.92"/>
    <x v="4"/>
    <x v="2"/>
    <x v="472"/>
    <x v="2"/>
    <x v="1"/>
    <s v="Tienda Online"/>
    <x v="0"/>
    <n v="5"/>
    <n v="5"/>
  </r>
  <r>
    <s v="V000677"/>
    <s v="978-2-58520-463-3"/>
    <s v="Sinsajo"/>
    <s v="Suzanne Collins"/>
    <x v="8"/>
    <n v="15.65"/>
    <n v="1565"/>
    <n v="1"/>
    <n v="15.65"/>
    <x v="61"/>
    <x v="1"/>
    <x v="39"/>
    <x v="0"/>
    <x v="0"/>
    <s v="Librería Valencia Centro"/>
    <x v="0"/>
    <n v="4"/>
    <n v="4"/>
  </r>
  <r>
    <s v="V000678"/>
    <s v="978-6-46434-564-5"/>
    <s v="En llamas"/>
    <s v="Suzanne Collins"/>
    <x v="8"/>
    <n v="1.49"/>
    <n v="149"/>
    <n v="1"/>
    <n v="1.49"/>
    <x v="29"/>
    <x v="2"/>
    <x v="492"/>
    <x v="0"/>
    <x v="0"/>
    <s v="Librería Gran Vía"/>
    <x v="1"/>
    <n v="5"/>
    <n v="5"/>
  </r>
  <r>
    <s v="V000679"/>
    <s v="978-0-40007-169-0"/>
    <s v="El Principito ilustrado"/>
    <s v="Antoine de Saint-Exupéry"/>
    <x v="6"/>
    <n v="13.52"/>
    <n v="1352"/>
    <n v="1"/>
    <n v="13.52"/>
    <x v="58"/>
    <x v="3"/>
    <x v="493"/>
    <x v="2"/>
    <x v="1"/>
    <s v="Tienda Online"/>
    <x v="4"/>
    <n v="4"/>
    <n v="4"/>
  </r>
  <r>
    <s v="V000680"/>
    <s v="978-1-48469-545-2"/>
    <s v="Origen"/>
    <s v="Dan Brown"/>
    <x v="1"/>
    <n v="21.89"/>
    <n v="2189"/>
    <n v="1"/>
    <n v="21.89"/>
    <x v="43"/>
    <x v="0"/>
    <x v="396"/>
    <x v="2"/>
    <x v="1"/>
    <s v="Tienda Online"/>
    <x v="1"/>
    <n v="5"/>
    <n v="5"/>
  </r>
  <r>
    <s v="V000681"/>
    <s v="978-6-22676-467-5"/>
    <s v="Choque de Reyes"/>
    <s v="George R.R. Martin"/>
    <x v="2"/>
    <n v="1.99"/>
    <n v="199"/>
    <n v="3"/>
    <n v="5.97"/>
    <x v="69"/>
    <x v="3"/>
    <x v="494"/>
    <x v="1"/>
    <x v="1"/>
    <s v="Tienda Online"/>
    <x v="3"/>
    <n v="5"/>
    <n v="5"/>
  </r>
  <r>
    <s v="V000682"/>
    <s v="978-9-65461-316-8"/>
    <s v="Padre rico, padre pobre"/>
    <s v="Robert Kiyosaki"/>
    <x v="5"/>
    <n v="13.52"/>
    <n v="1352"/>
    <n v="2"/>
    <n v="27.04"/>
    <x v="68"/>
    <x v="3"/>
    <x v="495"/>
    <x v="1"/>
    <x v="1"/>
    <s v="Tienda Online"/>
    <x v="0"/>
    <n v="5"/>
    <n v="5"/>
  </r>
  <r>
    <s v="V000683"/>
    <s v="978-8-79514-100-9"/>
    <s v="La chica en la telaraña"/>
    <s v="David Lagercrantz"/>
    <x v="1"/>
    <n v="1.79"/>
    <n v="179"/>
    <n v="1"/>
    <n v="1.79"/>
    <x v="55"/>
    <x v="1"/>
    <x v="496"/>
    <x v="0"/>
    <x v="1"/>
    <s v="Tienda Online"/>
    <x v="2"/>
    <n v="5"/>
    <n v="5"/>
  </r>
  <r>
    <s v="V000684"/>
    <s v="978-3-62565-160-2"/>
    <s v="El día que se perdió la cordura"/>
    <s v="Javier Castillo"/>
    <x v="1"/>
    <n v="15.12"/>
    <n v="1512"/>
    <n v="1"/>
    <n v="15.12"/>
    <x v="70"/>
    <x v="2"/>
    <x v="497"/>
    <x v="0"/>
    <x v="1"/>
    <s v="Tienda Online"/>
    <x v="0"/>
    <n v="3"/>
    <n v="3"/>
  </r>
  <r>
    <s v="V000685"/>
    <s v="978-9-65461-316-8"/>
    <s v="Padre rico, padre pobre"/>
    <s v="Robert Kiyosaki"/>
    <x v="5"/>
    <n v="13.52"/>
    <n v="1352"/>
    <n v="1"/>
    <n v="13.52"/>
    <x v="50"/>
    <x v="1"/>
    <x v="23"/>
    <x v="2"/>
    <x v="1"/>
    <s v="Tienda Online"/>
    <x v="4"/>
    <n v="2"/>
    <n v="2"/>
  </r>
  <r>
    <s v="V000686"/>
    <s v="978-6-86484-508-5"/>
    <s v="Ficciones"/>
    <s v="Jorge Luis Borges"/>
    <x v="9"/>
    <n v="1.49"/>
    <n v="149"/>
    <n v="1"/>
    <n v="1.49"/>
    <x v="30"/>
    <x v="1"/>
    <x v="233"/>
    <x v="2"/>
    <x v="1"/>
    <s v="Tienda Online"/>
    <x v="0"/>
    <m/>
    <s v="Sin valoración"/>
  </r>
  <r>
    <s v="V000687"/>
    <s v="978-0-51104-158-0"/>
    <s v="Manual de cocina fácil"/>
    <s v="Karlos Arguiñano"/>
    <x v="14"/>
    <n v="1.79"/>
    <n v="179"/>
    <n v="1"/>
    <n v="1.79"/>
    <x v="27"/>
    <x v="3"/>
    <x v="498"/>
    <x v="1"/>
    <x v="1"/>
    <s v="Tienda Online"/>
    <x v="3"/>
    <n v="4"/>
    <n v="4"/>
  </r>
  <r>
    <s v="V000688"/>
    <s v="978-9-93227-275-8"/>
    <s v="Los hermanos Karamázov"/>
    <s v="Fiódor Dostoyevski"/>
    <x v="9"/>
    <n v="1.89"/>
    <n v="189"/>
    <n v="1"/>
    <n v="1.89"/>
    <x v="53"/>
    <x v="3"/>
    <x v="499"/>
    <x v="0"/>
    <x v="1"/>
    <s v="Tienda Online"/>
    <x v="3"/>
    <n v="5"/>
    <n v="5"/>
  </r>
  <r>
    <s v="V000689"/>
    <s v="978-6-56438-533-6"/>
    <s v="Misery"/>
    <s v="Stephen King"/>
    <x v="4"/>
    <n v="15.21"/>
    <n v="1521"/>
    <n v="1"/>
    <n v="15.21"/>
    <x v="44"/>
    <x v="0"/>
    <x v="500"/>
    <x v="1"/>
    <x v="0"/>
    <s v="Librería Central Madrid"/>
    <x v="2"/>
    <m/>
    <s v="Sin valoración"/>
  </r>
  <r>
    <s v="V000690"/>
    <s v="978-9-51245-317-7"/>
    <s v="La sombra del viento"/>
    <s v="Carlos Ruiz Zafón"/>
    <x v="3"/>
    <n v="1.85"/>
    <n v="185"/>
    <n v="1"/>
    <n v="1.85"/>
    <x v="34"/>
    <x v="0"/>
    <x v="501"/>
    <x v="0"/>
    <x v="1"/>
    <s v="Tienda Online"/>
    <x v="2"/>
    <n v="5"/>
    <n v="5"/>
  </r>
  <r>
    <s v="V000691"/>
    <s v="978-3-39256-242-1"/>
    <s v="El amor en los tiempos del cólera"/>
    <s v="Gabriel García Márquez"/>
    <x v="3"/>
    <n v="1.75"/>
    <n v="175"/>
    <n v="2"/>
    <n v="3.5"/>
    <x v="23"/>
    <x v="1"/>
    <x v="502"/>
    <x v="1"/>
    <x v="1"/>
    <s v="Tienda Online"/>
    <x v="0"/>
    <n v="5"/>
    <n v="5"/>
  </r>
  <r>
    <s v="V000692"/>
    <s v="978-9-20745-529-9"/>
    <s v="Watchmen"/>
    <s v="Alan Moore"/>
    <x v="10"/>
    <n v="17.52"/>
    <n v="1752"/>
    <n v="2"/>
    <n v="35.04"/>
    <x v="18"/>
    <x v="0"/>
    <x v="122"/>
    <x v="1"/>
    <x v="0"/>
    <s v="Librería Central Madrid"/>
    <x v="3"/>
    <n v="5"/>
    <n v="5"/>
  </r>
  <r>
    <s v="V000693"/>
    <s v="978-3-39451-165-5"/>
    <s v="Matilda"/>
    <s v="Roald Dahl"/>
    <x v="6"/>
    <n v="1.19"/>
    <n v="119"/>
    <n v="1"/>
    <n v="1.19"/>
    <x v="11"/>
    <x v="0"/>
    <x v="503"/>
    <x v="0"/>
    <x v="1"/>
    <s v="Tienda Online"/>
    <x v="2"/>
    <n v="5"/>
    <n v="5"/>
  </r>
  <r>
    <s v="V000694"/>
    <s v="978-3-39256-242-1"/>
    <s v="El amor en los tiempos del cólera"/>
    <s v="Gabriel García Márquez"/>
    <x v="3"/>
    <n v="1.75"/>
    <n v="175"/>
    <n v="4"/>
    <n v="7"/>
    <x v="3"/>
    <x v="2"/>
    <x v="504"/>
    <x v="2"/>
    <x v="1"/>
    <s v="Tienda Online"/>
    <x v="2"/>
    <n v="5"/>
    <n v="5"/>
  </r>
  <r>
    <s v="V000695"/>
    <s v="978-1-82357-400-9"/>
    <s v="Harry Potter y la piedra filosofal"/>
    <s v="J.K. Rowling"/>
    <x v="8"/>
    <n v="1.59"/>
    <n v="159"/>
    <n v="2"/>
    <n v="3.18"/>
    <x v="8"/>
    <x v="2"/>
    <x v="505"/>
    <x v="1"/>
    <x v="0"/>
    <s v="Librería Gran Vía"/>
    <x v="3"/>
    <m/>
    <s v="Sin valoración"/>
  </r>
  <r>
    <s v="V000696"/>
    <s v="978-3-97782-833-5"/>
    <s v="V de Vendetta"/>
    <s v="Alan Moore"/>
    <x v="10"/>
    <n v="17.010000000000002"/>
    <n v="1701"/>
    <n v="1"/>
    <n v="17.010000000000002"/>
    <x v="5"/>
    <x v="0"/>
    <x v="506"/>
    <x v="1"/>
    <x v="1"/>
    <s v="Tienda Online"/>
    <x v="1"/>
    <n v="4"/>
    <n v="4"/>
  </r>
  <r>
    <s v="V000697"/>
    <s v="978-3-62565-160-2"/>
    <s v="El día que se perdió la cordura"/>
    <s v="Javier Castillo"/>
    <x v="1"/>
    <n v="19.84"/>
    <n v="1984"/>
    <n v="1"/>
    <n v="19.84"/>
    <x v="23"/>
    <x v="2"/>
    <x v="412"/>
    <x v="2"/>
    <x v="1"/>
    <s v="Tienda Online"/>
    <x v="2"/>
    <n v="5"/>
    <n v="5"/>
  </r>
  <r>
    <s v="V000698"/>
    <s v="978-1-40512-987-1"/>
    <s v="Los juegos del hambre"/>
    <s v="Suzanne Collins"/>
    <x v="8"/>
    <n v="1.49"/>
    <n v="149"/>
    <n v="1"/>
    <n v="1.49"/>
    <x v="29"/>
    <x v="1"/>
    <x v="507"/>
    <x v="0"/>
    <x v="1"/>
    <s v="Tienda Online"/>
    <x v="3"/>
    <n v="3"/>
    <n v="3"/>
  </r>
  <r>
    <s v="V000699"/>
    <s v="978-7-77839-562-1"/>
    <s v="El principito"/>
    <s v="Antoine de Saint-Exupéry"/>
    <x v="6"/>
    <n v="7.92"/>
    <n v="792"/>
    <n v="1"/>
    <n v="7.92"/>
    <x v="61"/>
    <x v="3"/>
    <x v="28"/>
    <x v="2"/>
    <x v="1"/>
    <s v="Tienda Online"/>
    <x v="3"/>
    <n v="4"/>
    <n v="4"/>
  </r>
  <r>
    <s v="V000700"/>
    <s v="978-4-93886-804-8"/>
    <s v="Guerra y paz"/>
    <s v="León Tolstói"/>
    <x v="9"/>
    <n v="21.16"/>
    <n v="2116"/>
    <n v="1"/>
    <n v="21.16"/>
    <x v="44"/>
    <x v="3"/>
    <x v="227"/>
    <x v="1"/>
    <x v="1"/>
    <s v="Tienda Online"/>
    <x v="4"/>
    <n v="4"/>
    <n v="4"/>
  </r>
  <r>
    <s v="V000701"/>
    <s v="978-9-93227-275-8"/>
    <s v="Los hermanos Karamázov"/>
    <s v="Fiódor Dostoyevski"/>
    <x v="9"/>
    <n v="1.89"/>
    <n v="189"/>
    <n v="4"/>
    <n v="7.56"/>
    <x v="53"/>
    <x v="0"/>
    <x v="508"/>
    <x v="0"/>
    <x v="1"/>
    <s v="Tienda Online"/>
    <x v="0"/>
    <n v="5"/>
    <n v="5"/>
  </r>
  <r>
    <s v="V000702"/>
    <s v="978-4-10851-877-2"/>
    <s v="El nombre del viento"/>
    <s v="Patrick Rothfuss"/>
    <x v="2"/>
    <n v="2.19"/>
    <n v="219"/>
    <n v="1"/>
    <n v="2.19"/>
    <x v="17"/>
    <x v="0"/>
    <x v="272"/>
    <x v="2"/>
    <x v="1"/>
    <s v="Tienda Online"/>
    <x v="4"/>
    <n v="5"/>
    <n v="5"/>
  </r>
  <r>
    <s v="V000703"/>
    <s v="978-7-80284-227-6"/>
    <s v="El Señor de los Anillos"/>
    <s v="J.R.R. Tolkien"/>
    <x v="2"/>
    <n v="2.99"/>
    <n v="299"/>
    <n v="1"/>
    <n v="2.99"/>
    <x v="49"/>
    <x v="0"/>
    <x v="178"/>
    <x v="2"/>
    <x v="1"/>
    <s v="Tienda Online"/>
    <x v="1"/>
    <n v="4"/>
    <n v="4"/>
  </r>
  <r>
    <s v="V000704"/>
    <s v="978-9-78522-423-4"/>
    <s v="Maus"/>
    <s v="Art Spiegelman"/>
    <x v="10"/>
    <n v="1.69"/>
    <n v="169"/>
    <n v="1"/>
    <n v="1.69"/>
    <x v="14"/>
    <x v="1"/>
    <x v="45"/>
    <x v="2"/>
    <x v="1"/>
    <s v="Tienda Online"/>
    <x v="0"/>
    <n v="5"/>
    <n v="5"/>
  </r>
  <r>
    <s v="V000705"/>
    <s v="978-7-80284-227-6"/>
    <s v="El Señor de los Anillos"/>
    <s v="J.R.R. Tolkien"/>
    <x v="2"/>
    <n v="31.39"/>
    <n v="3139"/>
    <n v="1"/>
    <n v="31.39"/>
    <x v="1"/>
    <x v="1"/>
    <x v="35"/>
    <x v="1"/>
    <x v="1"/>
    <s v="Tienda Online"/>
    <x v="0"/>
    <n v="5"/>
    <n v="5"/>
  </r>
  <r>
    <s v="V000706"/>
    <s v="978-3-85880-708-0"/>
    <s v="Persépolis"/>
    <s v="Marjane Satrapi"/>
    <x v="10"/>
    <n v="1.59"/>
    <n v="159"/>
    <n v="1"/>
    <n v="1.59"/>
    <x v="37"/>
    <x v="2"/>
    <x v="509"/>
    <x v="2"/>
    <x v="1"/>
    <s v="Tienda Online"/>
    <x v="2"/>
    <m/>
    <s v="Sin valoración"/>
  </r>
  <r>
    <s v="V000707"/>
    <s v="978-3-84364-180-1"/>
    <s v="21 lecciones para el siglo XXI"/>
    <s v="Yuval Noah Harari"/>
    <x v="15"/>
    <n v="15.92"/>
    <n v="1592"/>
    <n v="1"/>
    <n v="15.92"/>
    <x v="60"/>
    <x v="0"/>
    <x v="510"/>
    <x v="0"/>
    <x v="1"/>
    <s v="Tienda Online"/>
    <x v="3"/>
    <n v="5"/>
    <n v="5"/>
  </r>
  <r>
    <s v="V000708"/>
    <s v="978-9-18326-494-6"/>
    <s v="Romancero gitano"/>
    <s v="Federico García Lorca"/>
    <x v="7"/>
    <n v="1.0900000000000001"/>
    <n v="109"/>
    <n v="2"/>
    <n v="2.1800000000000002"/>
    <x v="19"/>
    <x v="3"/>
    <x v="511"/>
    <x v="0"/>
    <x v="1"/>
    <s v="Tienda Online"/>
    <x v="1"/>
    <n v="5"/>
    <n v="5"/>
  </r>
  <r>
    <s v="V000709"/>
    <s v="978-1-16175-981-1"/>
    <s v="Pedro Páramo"/>
    <s v="Juan Rulfo"/>
    <x v="9"/>
    <n v="10.96"/>
    <n v="1096"/>
    <n v="2"/>
    <n v="21.92"/>
    <x v="27"/>
    <x v="1"/>
    <x v="512"/>
    <x v="2"/>
    <x v="1"/>
    <s v="Tienda Online"/>
    <x v="0"/>
    <n v="4"/>
    <n v="4"/>
  </r>
  <r>
    <s v="V000710"/>
    <s v="978-2-63269-597-7"/>
    <s v="La chica de nieve"/>
    <s v="Javier Castillo"/>
    <x v="1"/>
    <n v="1.89"/>
    <n v="189"/>
    <n v="1"/>
    <n v="1.89"/>
    <x v="27"/>
    <x v="0"/>
    <x v="90"/>
    <x v="1"/>
    <x v="1"/>
    <s v="Tienda Online"/>
    <x v="2"/>
    <n v="1"/>
    <n v="1"/>
  </r>
  <r>
    <s v="V000711"/>
    <s v="978-2-26828-775-7"/>
    <s v="Los cuatro acuerdos"/>
    <s v="Miguel Ruiz"/>
    <x v="0"/>
    <n v="10.96"/>
    <n v="1096"/>
    <n v="2"/>
    <n v="21.92"/>
    <x v="49"/>
    <x v="2"/>
    <x v="513"/>
    <x v="1"/>
    <x v="0"/>
    <s v="Librería Gran Vía"/>
    <x v="2"/>
    <n v="5"/>
    <n v="5"/>
  </r>
  <r>
    <s v="V000712"/>
    <s v="978-2-63269-597-7"/>
    <s v="La chica de nieve"/>
    <s v="Javier Castillo"/>
    <x v="1"/>
    <n v="1.89"/>
    <n v="189"/>
    <n v="1"/>
    <n v="1.89"/>
    <x v="65"/>
    <x v="3"/>
    <x v="514"/>
    <x v="0"/>
    <x v="1"/>
    <s v="Tienda Online"/>
    <x v="2"/>
    <n v="4"/>
    <n v="4"/>
  </r>
  <r>
    <s v="V000713"/>
    <s v="978-6-86484-508-5"/>
    <s v="Ficciones"/>
    <s v="Jorge Luis Borges"/>
    <x v="9"/>
    <n v="1.49"/>
    <n v="149"/>
    <n v="1"/>
    <n v="1.49"/>
    <x v="68"/>
    <x v="2"/>
    <x v="506"/>
    <x v="0"/>
    <x v="0"/>
    <s v="Librería Central Madrid"/>
    <x v="1"/>
    <n v="5"/>
    <n v="5"/>
  </r>
  <r>
    <s v="V000714"/>
    <s v="978-1-16175-981-1"/>
    <s v="Pedro Páramo"/>
    <s v="Juan Rulfo"/>
    <x v="9"/>
    <n v="10.32"/>
    <n v="1032"/>
    <n v="1"/>
    <n v="10.32"/>
    <x v="31"/>
    <x v="3"/>
    <x v="415"/>
    <x v="1"/>
    <x v="1"/>
    <s v="Tienda Online"/>
    <x v="4"/>
    <n v="5"/>
    <n v="5"/>
  </r>
  <r>
    <s v="V000715"/>
    <s v="978-7-30289-294-4"/>
    <s v="Nada"/>
    <s v="Carmen Laforet"/>
    <x v="9"/>
    <n v="11.12"/>
    <n v="1112"/>
    <n v="1"/>
    <n v="11.12"/>
    <x v="30"/>
    <x v="2"/>
    <x v="515"/>
    <x v="2"/>
    <x v="1"/>
    <s v="Tienda Online"/>
    <x v="0"/>
    <n v="4"/>
    <n v="4"/>
  </r>
  <r>
    <s v="V000716"/>
    <s v="978-0-96673-333-4"/>
    <s v="Harry Potter y el prisionero de Azkaban"/>
    <s v="J.K. Rowling"/>
    <x v="8"/>
    <n v="15.21"/>
    <n v="1521"/>
    <n v="2"/>
    <n v="30.42"/>
    <x v="20"/>
    <x v="3"/>
    <x v="462"/>
    <x v="1"/>
    <x v="0"/>
    <s v="Librería Central Madrid"/>
    <x v="4"/>
    <n v="5"/>
    <n v="5"/>
  </r>
  <r>
    <s v="V000717"/>
    <s v="978-5-50306-345-0"/>
    <s v="Homo Deus"/>
    <s v="Yuval Noah Harari"/>
    <x v="15"/>
    <n v="2.19"/>
    <n v="219"/>
    <n v="1"/>
    <n v="2.19"/>
    <x v="25"/>
    <x v="3"/>
    <x v="516"/>
    <x v="0"/>
    <x v="1"/>
    <s v="Tienda Online"/>
    <x v="0"/>
    <n v="5"/>
    <n v="5"/>
  </r>
  <r>
    <s v="V000718"/>
    <s v="978-3-17665-693-8"/>
    <s v="La familia de Pascual Duarte"/>
    <s v="Camilo José Cela"/>
    <x v="9"/>
    <n v="10.96"/>
    <n v="1096"/>
    <n v="1"/>
    <n v="10.96"/>
    <x v="7"/>
    <x v="2"/>
    <x v="517"/>
    <x v="2"/>
    <x v="1"/>
    <s v="Tienda Online"/>
    <x v="1"/>
    <n v="4"/>
    <n v="4"/>
  </r>
  <r>
    <s v="V000719"/>
    <s v="978-3-62923-222-9"/>
    <s v="El gen egoísta"/>
    <s v="Richard Dawkins"/>
    <x v="11"/>
    <n v="1.79"/>
    <n v="179"/>
    <n v="1"/>
    <n v="1.79"/>
    <x v="49"/>
    <x v="1"/>
    <x v="483"/>
    <x v="0"/>
    <x v="1"/>
    <s v="Tienda Online"/>
    <x v="4"/>
    <n v="4"/>
    <n v="4"/>
  </r>
  <r>
    <s v="V000720"/>
    <s v="978-8-31643-371-8"/>
    <s v="Hábitos atómicos"/>
    <s v="James Clear"/>
    <x v="0"/>
    <n v="16.059999999999999"/>
    <n v="1606"/>
    <n v="1"/>
    <n v="16.059999999999999"/>
    <x v="45"/>
    <x v="3"/>
    <x v="518"/>
    <x v="1"/>
    <x v="0"/>
    <s v="Librería Barcelona Gòtic"/>
    <x v="0"/>
    <n v="5"/>
    <n v="5"/>
  </r>
  <r>
    <s v="V000721"/>
    <s v="978-3-84364-180-1"/>
    <s v="21 lecciones para el siglo XXI"/>
    <s v="Yuval Noah Harari"/>
    <x v="15"/>
    <n v="15.92"/>
    <n v="1592"/>
    <n v="1"/>
    <n v="15.92"/>
    <x v="67"/>
    <x v="1"/>
    <x v="73"/>
    <x v="0"/>
    <x v="1"/>
    <s v="Tienda Online"/>
    <x v="4"/>
    <n v="3"/>
    <n v="3"/>
  </r>
  <r>
    <s v="V000722"/>
    <s v="978-1-42591-296-3"/>
    <s v="Frankenstein"/>
    <s v="Mary Shelley"/>
    <x v="4"/>
    <n v="1.25"/>
    <n v="125"/>
    <n v="1"/>
    <n v="1.25"/>
    <x v="51"/>
    <x v="3"/>
    <x v="519"/>
    <x v="0"/>
    <x v="1"/>
    <s v="Tienda Online"/>
    <x v="2"/>
    <n v="2"/>
    <n v="2"/>
  </r>
  <r>
    <s v="V000723"/>
    <s v="978-8-68800-243-6"/>
    <s v="El extranjero"/>
    <s v="Albert Camus"/>
    <x v="9"/>
    <n v="11.61"/>
    <n v="1161"/>
    <n v="1"/>
    <n v="11.61"/>
    <x v="64"/>
    <x v="1"/>
    <x v="520"/>
    <x v="1"/>
    <x v="0"/>
    <s v="Librería Barcelona Gòtic"/>
    <x v="2"/>
    <n v="5"/>
    <n v="5"/>
  </r>
  <r>
    <s v="V000724"/>
    <s v="978-4-93748-619-9"/>
    <s v="Perdida"/>
    <s v="Gillian Flynn"/>
    <x v="1"/>
    <n v="14.03"/>
    <n v="1403"/>
    <n v="3"/>
    <n v="42.089999999999996"/>
    <x v="47"/>
    <x v="2"/>
    <x v="316"/>
    <x v="1"/>
    <x v="1"/>
    <s v="Tienda Online"/>
    <x v="2"/>
    <n v="5"/>
    <n v="5"/>
  </r>
  <r>
    <s v="V000725"/>
    <s v="978-9-93227-275-8"/>
    <s v="Los hermanos Karamázov"/>
    <s v="Fiódor Dostoyevski"/>
    <x v="9"/>
    <n v="1.89"/>
    <n v="189"/>
    <n v="1"/>
    <n v="1.89"/>
    <x v="23"/>
    <x v="2"/>
    <x v="344"/>
    <x v="0"/>
    <x v="1"/>
    <s v="Tienda Online"/>
    <x v="3"/>
    <n v="4"/>
    <n v="4"/>
  </r>
  <r>
    <s v="V000726"/>
    <s v="978-9-44671-926-0"/>
    <s v="El Hobbit"/>
    <s v="J.R.R. Tolkien"/>
    <x v="2"/>
    <n v="18.59"/>
    <n v="1859"/>
    <n v="1"/>
    <n v="18.59"/>
    <x v="39"/>
    <x v="0"/>
    <x v="115"/>
    <x v="2"/>
    <x v="1"/>
    <s v="Tienda Online"/>
    <x v="1"/>
    <n v="5"/>
    <n v="5"/>
  </r>
  <r>
    <s v="V000727"/>
    <s v="978-9-78522-423-4"/>
    <s v="Maus"/>
    <s v="Art Spiegelman"/>
    <x v="10"/>
    <n v="13.52"/>
    <n v="1352"/>
    <n v="2"/>
    <n v="27.04"/>
    <x v="49"/>
    <x v="0"/>
    <x v="521"/>
    <x v="0"/>
    <x v="1"/>
    <s v="Tienda Online"/>
    <x v="0"/>
    <n v="4"/>
    <n v="4"/>
  </r>
  <r>
    <s v="V000728"/>
    <s v="978-6-56438-533-6"/>
    <s v="Misery"/>
    <s v="Stephen King"/>
    <x v="4"/>
    <n v="13.52"/>
    <n v="1352"/>
    <n v="3"/>
    <n v="40.56"/>
    <x v="4"/>
    <x v="2"/>
    <x v="436"/>
    <x v="1"/>
    <x v="1"/>
    <s v="Tienda Online"/>
    <x v="3"/>
    <n v="5"/>
    <n v="5"/>
  </r>
  <r>
    <s v="V000729"/>
    <s v="978-2-58520-463-3"/>
    <s v="Sinsajo"/>
    <s v="Suzanne Collins"/>
    <x v="8"/>
    <n v="11.92"/>
    <n v="1192"/>
    <n v="1"/>
    <n v="11.92"/>
    <x v="58"/>
    <x v="3"/>
    <x v="522"/>
    <x v="1"/>
    <x v="0"/>
    <s v="Librería Barcelona Gòtic"/>
    <x v="0"/>
    <n v="5"/>
    <n v="5"/>
  </r>
  <r>
    <s v="V000730"/>
    <s v="978-8-44438-864-9"/>
    <s v="Rayuela"/>
    <s v="Julio Cortázar"/>
    <x v="9"/>
    <n v="1.69"/>
    <n v="169"/>
    <n v="1"/>
    <n v="1.69"/>
    <x v="30"/>
    <x v="3"/>
    <x v="374"/>
    <x v="0"/>
    <x v="0"/>
    <s v="Librería Barcelona Gòtic"/>
    <x v="0"/>
    <n v="4"/>
    <n v="4"/>
  </r>
  <r>
    <s v="V000731"/>
    <s v="978-3-99733-432-0"/>
    <s v="Don Quijote de la Mancha"/>
    <s v="Miguel de Cervantes"/>
    <x v="9"/>
    <n v="20.89"/>
    <n v="2089"/>
    <n v="3"/>
    <n v="62.67"/>
    <x v="7"/>
    <x v="2"/>
    <x v="523"/>
    <x v="1"/>
    <x v="1"/>
    <s v="Tienda Online"/>
    <x v="2"/>
    <m/>
    <s v="Sin valoración"/>
  </r>
  <r>
    <s v="V000732"/>
    <s v="978-7-77839-562-1"/>
    <s v="El principito"/>
    <s v="Antoine de Saint-Exupéry"/>
    <x v="6"/>
    <n v="8.42"/>
    <n v="842"/>
    <n v="1"/>
    <n v="8.42"/>
    <x v="11"/>
    <x v="3"/>
    <x v="524"/>
    <x v="1"/>
    <x v="0"/>
    <s v="Librería Gran Vía"/>
    <x v="0"/>
    <n v="4"/>
    <n v="4"/>
  </r>
  <r>
    <s v="V000733"/>
    <s v="978-6-54597-384-2"/>
    <s v="El temor de un hombre sabio"/>
    <s v="Patrick Rothfuss"/>
    <x v="2"/>
    <n v="2.4900000000000002"/>
    <n v="249"/>
    <n v="2"/>
    <n v="4.9800000000000004"/>
    <x v="67"/>
    <x v="0"/>
    <x v="525"/>
    <x v="0"/>
    <x v="0"/>
    <s v="Librería Valencia Centro"/>
    <x v="0"/>
    <n v="4"/>
    <n v="4"/>
  </r>
  <r>
    <s v="V000734"/>
    <s v="978-2-26828-775-7"/>
    <s v="Los cuatro acuerdos"/>
    <s v="Miguel Ruiz"/>
    <x v="0"/>
    <n v="10.96"/>
    <n v="1096"/>
    <n v="1"/>
    <n v="10.96"/>
    <x v="37"/>
    <x v="3"/>
    <x v="526"/>
    <x v="1"/>
    <x v="0"/>
    <s v="Librería Central Madrid"/>
    <x v="3"/>
    <n v="5"/>
    <n v="5"/>
  </r>
  <r>
    <s v="V000735"/>
    <s v="978-6-10282-499-4"/>
    <s v="Patria"/>
    <s v="Fernando Aramburu"/>
    <x v="3"/>
    <n v="15.92"/>
    <n v="1592"/>
    <n v="2"/>
    <n v="31.84"/>
    <x v="5"/>
    <x v="3"/>
    <x v="527"/>
    <x v="1"/>
    <x v="0"/>
    <s v="Librería Gran Vía"/>
    <x v="4"/>
    <n v="5"/>
    <n v="5"/>
  </r>
  <r>
    <s v="V000736"/>
    <s v="978-2-26828-775-7"/>
    <s v="Los cuatro acuerdos"/>
    <s v="Miguel Ruiz"/>
    <x v="0"/>
    <n v="10.32"/>
    <n v="1032"/>
    <n v="3"/>
    <n v="30.96"/>
    <x v="54"/>
    <x v="2"/>
    <x v="380"/>
    <x v="0"/>
    <x v="1"/>
    <s v="Tienda Online"/>
    <x v="4"/>
    <n v="5"/>
    <n v="5"/>
  </r>
  <r>
    <s v="V000737"/>
    <s v="978-9-51245-317-7"/>
    <s v="La sombra del viento"/>
    <s v="Carlos Ruiz Zafón"/>
    <x v="3"/>
    <n v="1.85"/>
    <n v="185"/>
    <n v="1"/>
    <n v="1.85"/>
    <x v="64"/>
    <x v="2"/>
    <x v="345"/>
    <x v="2"/>
    <x v="1"/>
    <s v="Tienda Online"/>
    <x v="1"/>
    <n v="5"/>
    <n v="5"/>
  </r>
  <r>
    <s v="V000738"/>
    <s v="978-6-10282-499-4"/>
    <s v="Patria"/>
    <s v="Fernando Aramburu"/>
    <x v="3"/>
    <n v="1.99"/>
    <n v="199"/>
    <n v="1"/>
    <n v="1.99"/>
    <x v="63"/>
    <x v="2"/>
    <x v="528"/>
    <x v="1"/>
    <x v="1"/>
    <s v="Tienda Online"/>
    <x v="1"/>
    <n v="5"/>
    <n v="5"/>
  </r>
  <r>
    <s v="V000739"/>
    <s v="978-3-30032-482-2"/>
    <s v="Los hombres que no amaban a las mujeres"/>
    <s v="Stieg Larsson"/>
    <x v="1"/>
    <n v="18.79"/>
    <n v="1879"/>
    <n v="4"/>
    <n v="75.16"/>
    <x v="6"/>
    <x v="3"/>
    <x v="342"/>
    <x v="1"/>
    <x v="1"/>
    <s v="Tienda Online"/>
    <x v="1"/>
    <n v="5"/>
    <n v="5"/>
  </r>
  <r>
    <s v="V000740"/>
    <s v="978-0-22224-871-3"/>
    <s v="Un mundo sin fin"/>
    <s v="Ken Follett"/>
    <x v="16"/>
    <n v="19.46"/>
    <n v="1946"/>
    <n v="1"/>
    <n v="19.46"/>
    <x v="16"/>
    <x v="2"/>
    <x v="71"/>
    <x v="0"/>
    <x v="0"/>
    <s v="Librería Sevilla Triana"/>
    <x v="0"/>
    <n v="4"/>
    <n v="4"/>
  </r>
  <r>
    <s v="V000741"/>
    <s v="978-5-74042-119-1"/>
    <s v="Sapiens"/>
    <s v="Yuval Noah Harari"/>
    <x v="15"/>
    <n v="24.09"/>
    <n v="2409"/>
    <n v="1"/>
    <n v="24.09"/>
    <x v="48"/>
    <x v="3"/>
    <x v="409"/>
    <x v="0"/>
    <x v="0"/>
    <s v="Librería Valencia Centro"/>
    <x v="1"/>
    <n v="5"/>
    <n v="5"/>
  </r>
  <r>
    <s v="V000742"/>
    <s v="978-3-30032-482-2"/>
    <s v="Los hombres que no amaban a las mujeres"/>
    <s v="Stieg Larsson"/>
    <x v="1"/>
    <n v="14.32"/>
    <n v="1432"/>
    <n v="1"/>
    <n v="14.32"/>
    <x v="26"/>
    <x v="0"/>
    <x v="167"/>
    <x v="1"/>
    <x v="0"/>
    <s v="Librería Barcelona Gòtic"/>
    <x v="0"/>
    <n v="5"/>
    <n v="5"/>
  </r>
  <r>
    <s v="V000743"/>
    <s v="978-3-76237-716-0"/>
    <s v="Fahrenheit 451"/>
    <s v="Ray Bradbury"/>
    <x v="12"/>
    <n v="12.51"/>
    <n v="1251"/>
    <n v="1"/>
    <n v="12.51"/>
    <x v="13"/>
    <x v="2"/>
    <x v="529"/>
    <x v="1"/>
    <x v="0"/>
    <s v="Librería Barcelona Gòtic"/>
    <x v="0"/>
    <n v="4"/>
    <n v="4"/>
  </r>
  <r>
    <s v="V000744"/>
    <s v="978-9-71953-348-7"/>
    <s v="It"/>
    <s v="Stephen King"/>
    <x v="4"/>
    <n v="2.29"/>
    <n v="229"/>
    <n v="1"/>
    <n v="2.29"/>
    <x v="43"/>
    <x v="0"/>
    <x v="530"/>
    <x v="2"/>
    <x v="1"/>
    <s v="Tienda Online"/>
    <x v="2"/>
    <n v="4"/>
    <n v="4"/>
  </r>
  <r>
    <s v="V000745"/>
    <s v="978-0-62772-845-5"/>
    <s v="Drácula"/>
    <s v="Bram Stoker"/>
    <x v="4"/>
    <n v="14.19"/>
    <n v="1419"/>
    <n v="1"/>
    <n v="14.19"/>
    <x v="16"/>
    <x v="2"/>
    <x v="531"/>
    <x v="0"/>
    <x v="0"/>
    <s v="Librería Barcelona Gòtic"/>
    <x v="0"/>
    <n v="4"/>
    <n v="4"/>
  </r>
  <r>
    <s v="V000746"/>
    <s v="978-3-62565-160-2"/>
    <s v="El día que se perdió la cordura"/>
    <s v="Javier Castillo"/>
    <x v="1"/>
    <n v="17.010000000000002"/>
    <n v="1701"/>
    <n v="1"/>
    <n v="17.010000000000002"/>
    <x v="3"/>
    <x v="1"/>
    <x v="532"/>
    <x v="1"/>
    <x v="0"/>
    <s v="Librería Central Madrid"/>
    <x v="2"/>
    <n v="4"/>
    <n v="4"/>
  </r>
  <r>
    <s v="V000747"/>
    <s v="978-3-28131-621-7"/>
    <s v="El Aleph"/>
    <s v="Jorge Luis Borges"/>
    <x v="9"/>
    <n v="11.81"/>
    <n v="1181"/>
    <n v="2"/>
    <n v="23.62"/>
    <x v="26"/>
    <x v="1"/>
    <x v="533"/>
    <x v="2"/>
    <x v="1"/>
    <s v="Tienda Online"/>
    <x v="1"/>
    <n v="5"/>
    <n v="5"/>
  </r>
  <r>
    <s v="V000748"/>
    <s v="978-8-11504-796-1"/>
    <s v="El código Da Vinci"/>
    <s v="Dan Brown"/>
    <x v="1"/>
    <n v="14.36"/>
    <n v="1436"/>
    <n v="2"/>
    <n v="28.72"/>
    <x v="29"/>
    <x v="1"/>
    <x v="216"/>
    <x v="2"/>
    <x v="1"/>
    <s v="Tienda Online"/>
    <x v="0"/>
    <n v="5"/>
    <n v="5"/>
  </r>
  <r>
    <s v="V000749"/>
    <s v="978-9-18326-494-6"/>
    <s v="Romancero gitano"/>
    <s v="Federico García Lorca"/>
    <x v="7"/>
    <n v="8.7200000000000006"/>
    <n v="872"/>
    <n v="1"/>
    <n v="8.7200000000000006"/>
    <x v="69"/>
    <x v="3"/>
    <x v="534"/>
    <x v="2"/>
    <x v="1"/>
    <s v="Tienda Online"/>
    <x v="4"/>
    <n v="4"/>
    <n v="4"/>
  </r>
  <r>
    <s v="V000750"/>
    <s v="978-6-86484-508-5"/>
    <s v="Ficciones"/>
    <s v="Jorge Luis Borges"/>
    <x v="9"/>
    <n v="16.39"/>
    <n v="1639"/>
    <n v="1"/>
    <n v="16.39"/>
    <x v="27"/>
    <x v="0"/>
    <x v="535"/>
    <x v="1"/>
    <x v="0"/>
    <s v="Librería Central Madrid"/>
    <x v="2"/>
    <n v="4"/>
    <n v="4"/>
  </r>
  <r>
    <s v="V000751"/>
    <s v="978-7-30289-294-4"/>
    <s v="Nada"/>
    <s v="Carmen Laforet"/>
    <x v="9"/>
    <n v="1.39"/>
    <n v="139"/>
    <n v="1"/>
    <n v="1.39"/>
    <x v="42"/>
    <x v="1"/>
    <x v="536"/>
    <x v="2"/>
    <x v="1"/>
    <s v="Tienda Online"/>
    <x v="4"/>
    <n v="5"/>
    <n v="5"/>
  </r>
  <r>
    <s v="V000752"/>
    <s v="978-7-10425-839-4"/>
    <s v="El paciente silencioso"/>
    <s v="Alex Michaelides"/>
    <x v="1"/>
    <n v="14.32"/>
    <n v="1432"/>
    <n v="1"/>
    <n v="14.32"/>
    <x v="48"/>
    <x v="2"/>
    <x v="12"/>
    <x v="1"/>
    <x v="1"/>
    <s v="Tienda Online"/>
    <x v="2"/>
    <n v="3"/>
    <n v="3"/>
  </r>
  <r>
    <s v="V000753"/>
    <s v="978-3-39256-242-1"/>
    <s v="El amor en los tiempos del cólera"/>
    <s v="Gabriel García Márquez"/>
    <x v="3"/>
    <n v="1.75"/>
    <n v="175"/>
    <n v="1"/>
    <n v="1.75"/>
    <x v="6"/>
    <x v="0"/>
    <x v="136"/>
    <x v="1"/>
    <x v="1"/>
    <s v="Tienda Online"/>
    <x v="2"/>
    <n v="5"/>
    <n v="5"/>
  </r>
  <r>
    <s v="V000754"/>
    <s v="978-8-21395-704-6"/>
    <s v="1984"/>
    <s v="George Orwell"/>
    <x v="12"/>
    <n v="15.65"/>
    <n v="1565"/>
    <n v="1"/>
    <n v="15.65"/>
    <x v="44"/>
    <x v="3"/>
    <x v="537"/>
    <x v="0"/>
    <x v="1"/>
    <s v="Tienda Online"/>
    <x v="2"/>
    <n v="5"/>
    <n v="5"/>
  </r>
  <r>
    <s v="V000755"/>
    <s v="978-9-38864-107-1"/>
    <s v="James y el melocotón gigante"/>
    <s v="Roald Dahl"/>
    <x v="6"/>
    <n v="9.81"/>
    <n v="981"/>
    <n v="4"/>
    <n v="39.24"/>
    <x v="24"/>
    <x v="2"/>
    <x v="538"/>
    <x v="2"/>
    <x v="1"/>
    <s v="Tienda Online"/>
    <x v="4"/>
    <m/>
    <s v="Sin valoración"/>
  </r>
  <r>
    <s v="V000756"/>
    <s v="978-7-77839-562-1"/>
    <s v="El principito"/>
    <s v="Antoine de Saint-Exupéry"/>
    <x v="6"/>
    <n v="0.99"/>
    <n v="99"/>
    <n v="3"/>
    <n v="2.9699999999999998"/>
    <x v="9"/>
    <x v="1"/>
    <x v="302"/>
    <x v="2"/>
    <x v="1"/>
    <s v="Tienda Online"/>
    <x v="1"/>
    <n v="5"/>
    <n v="5"/>
  </r>
  <r>
    <s v="V000757"/>
    <s v="978-5-19287-626-3"/>
    <s v="Coraline"/>
    <s v="Neil Gaiman"/>
    <x v="8"/>
    <n v="12.51"/>
    <n v="1251"/>
    <n v="1"/>
    <n v="12.51"/>
    <x v="29"/>
    <x v="1"/>
    <x v="304"/>
    <x v="0"/>
    <x v="1"/>
    <s v="Tienda Online"/>
    <x v="0"/>
    <n v="5"/>
    <n v="5"/>
  </r>
  <r>
    <s v="V000758"/>
    <s v="978-5-74042-119-1"/>
    <s v="Sapiens"/>
    <s v="Yuval Noah Harari"/>
    <x v="15"/>
    <n v="2.19"/>
    <n v="219"/>
    <n v="1"/>
    <n v="2.19"/>
    <x v="37"/>
    <x v="2"/>
    <x v="347"/>
    <x v="2"/>
    <x v="1"/>
    <s v="Tienda Online"/>
    <x v="2"/>
    <n v="5"/>
    <n v="5"/>
  </r>
  <r>
    <s v="V000759"/>
    <s v="978-9-72493-614-8"/>
    <s v="El chef en casa"/>
    <s v="Jamie Oliver"/>
    <x v="14"/>
    <n v="17.91"/>
    <n v="1791"/>
    <n v="1"/>
    <n v="17.91"/>
    <x v="1"/>
    <x v="1"/>
    <x v="539"/>
    <x v="0"/>
    <x v="1"/>
    <s v="Tienda Online"/>
    <x v="4"/>
    <n v="4"/>
    <n v="4"/>
  </r>
  <r>
    <s v="V000760"/>
    <s v="978-3-39256-242-1"/>
    <s v="El amor en los tiempos del cólera"/>
    <s v="Gabriel García Márquez"/>
    <x v="3"/>
    <n v="14.88"/>
    <n v="1488"/>
    <n v="2"/>
    <n v="29.76"/>
    <x v="23"/>
    <x v="2"/>
    <x v="540"/>
    <x v="0"/>
    <x v="1"/>
    <s v="Tienda Online"/>
    <x v="2"/>
    <n v="5"/>
    <n v="5"/>
  </r>
  <r>
    <s v="V000761"/>
    <s v="978-6-86484-508-5"/>
    <s v="Ficciones"/>
    <s v="Jorge Luis Borges"/>
    <x v="9"/>
    <n v="1.49"/>
    <n v="149"/>
    <n v="1"/>
    <n v="1.49"/>
    <x v="42"/>
    <x v="0"/>
    <x v="494"/>
    <x v="0"/>
    <x v="1"/>
    <s v="Tienda Online"/>
    <x v="0"/>
    <n v="4"/>
    <n v="4"/>
  </r>
  <r>
    <s v="V000762"/>
    <s v="978-1-48469-545-2"/>
    <s v="Origen"/>
    <s v="Dan Brown"/>
    <x v="1"/>
    <n v="17.91"/>
    <n v="1791"/>
    <n v="2"/>
    <n v="35.82"/>
    <x v="69"/>
    <x v="1"/>
    <x v="446"/>
    <x v="1"/>
    <x v="0"/>
    <s v="Librería Gran Vía"/>
    <x v="4"/>
    <n v="5"/>
    <n v="5"/>
  </r>
  <r>
    <s v="V000763"/>
    <s v="978-1-13278-859-4"/>
    <s v="Cien años de soledad"/>
    <s v="Gabriel García Márquez"/>
    <x v="3"/>
    <n v="1.89"/>
    <n v="189"/>
    <n v="1"/>
    <n v="1.89"/>
    <x v="65"/>
    <x v="3"/>
    <x v="97"/>
    <x v="1"/>
    <x v="0"/>
    <s v="Librería Gran Vía"/>
    <x v="2"/>
    <n v="4"/>
    <n v="4"/>
  </r>
  <r>
    <s v="V000764"/>
    <s v="978-8-44973-887-5"/>
    <s v="Ángeles y demonios"/>
    <s v="Dan Brown"/>
    <x v="1"/>
    <n v="13.52"/>
    <n v="1352"/>
    <n v="1"/>
    <n v="13.52"/>
    <x v="43"/>
    <x v="3"/>
    <x v="541"/>
    <x v="0"/>
    <x v="0"/>
    <s v="Librería Barcelona Gòtic"/>
    <x v="4"/>
    <n v="4"/>
    <n v="4"/>
  </r>
  <r>
    <s v="V000765"/>
    <s v="978-0-87110-667-3"/>
    <s v="Charlie y la fábrica de chocolate"/>
    <s v="Roald Dahl"/>
    <x v="6"/>
    <n v="10.119999999999999"/>
    <n v="1012"/>
    <n v="1"/>
    <n v="10.119999999999999"/>
    <x v="24"/>
    <x v="2"/>
    <x v="542"/>
    <x v="2"/>
    <x v="1"/>
    <s v="Tienda Online"/>
    <x v="2"/>
    <n v="4"/>
    <n v="4"/>
  </r>
  <r>
    <s v="V000766"/>
    <s v="978-3-62565-160-2"/>
    <s v="El día que se perdió la cordura"/>
    <s v="Javier Castillo"/>
    <x v="1"/>
    <n v="17.010000000000002"/>
    <n v="1701"/>
    <n v="3"/>
    <n v="51.03"/>
    <x v="53"/>
    <x v="3"/>
    <x v="543"/>
    <x v="1"/>
    <x v="0"/>
    <s v="Librería Sevilla Triana"/>
    <x v="2"/>
    <m/>
    <s v="Sin valoración"/>
  </r>
  <r>
    <s v="V000767"/>
    <s v="978-3-62565-160-2"/>
    <s v="El día que se perdió la cordura"/>
    <s v="Javier Castillo"/>
    <x v="1"/>
    <n v="19.84"/>
    <n v="1984"/>
    <n v="1"/>
    <n v="19.84"/>
    <x v="26"/>
    <x v="3"/>
    <x v="516"/>
    <x v="2"/>
    <x v="1"/>
    <s v="Tienda Online"/>
    <x v="1"/>
    <n v="5"/>
    <n v="5"/>
  </r>
  <r>
    <s v="V000768"/>
    <s v="978-9-71348-641-4"/>
    <s v="Veinte poemas de amor"/>
    <s v="Pablo Neruda"/>
    <x v="7"/>
    <n v="8.42"/>
    <n v="842"/>
    <n v="1"/>
    <n v="8.42"/>
    <x v="47"/>
    <x v="2"/>
    <x v="420"/>
    <x v="2"/>
    <x v="1"/>
    <s v="Tienda Online"/>
    <x v="0"/>
    <n v="4"/>
    <n v="4"/>
  </r>
  <r>
    <s v="V000769"/>
    <s v="978-6-86484-508-5"/>
    <s v="Ficciones"/>
    <s v="Jorge Luis Borges"/>
    <x v="9"/>
    <n v="1.49"/>
    <n v="149"/>
    <n v="1"/>
    <n v="1.49"/>
    <x v="6"/>
    <x v="2"/>
    <x v="191"/>
    <x v="0"/>
    <x v="0"/>
    <s v="Librería Gran Vía"/>
    <x v="0"/>
    <n v="4"/>
    <n v="4"/>
  </r>
  <r>
    <s v="V000770"/>
    <s v="978-0-13905-195-3"/>
    <s v="Rebelión en la granja"/>
    <s v="George Orwell"/>
    <x v="3"/>
    <n v="1.25"/>
    <n v="125"/>
    <n v="1"/>
    <n v="1.25"/>
    <x v="70"/>
    <x v="2"/>
    <x v="544"/>
    <x v="1"/>
    <x v="0"/>
    <s v="Librería Sevilla Triana"/>
    <x v="0"/>
    <n v="3"/>
    <n v="3"/>
  </r>
  <r>
    <s v="V000771"/>
    <s v="978-9-72493-614-8"/>
    <s v="El chef en casa"/>
    <s v="Jamie Oliver"/>
    <x v="14"/>
    <n v="1.99"/>
    <n v="199"/>
    <n v="1"/>
    <n v="1.99"/>
    <x v="63"/>
    <x v="2"/>
    <x v="545"/>
    <x v="0"/>
    <x v="0"/>
    <s v="Librería Sevilla Triana"/>
    <x v="3"/>
    <n v="4"/>
    <n v="4"/>
  </r>
  <r>
    <s v="V000772"/>
    <s v="978-6-86484-508-5"/>
    <s v="Ficciones"/>
    <s v="Jorge Luis Borges"/>
    <x v="9"/>
    <n v="11.92"/>
    <n v="1192"/>
    <n v="1"/>
    <n v="11.92"/>
    <x v="6"/>
    <x v="0"/>
    <x v="546"/>
    <x v="2"/>
    <x v="1"/>
    <s v="Tienda Online"/>
    <x v="1"/>
    <n v="4"/>
    <n v="4"/>
  </r>
  <r>
    <s v="V000773"/>
    <s v="978-4-99593-763-1"/>
    <s v="Crimen y castigo"/>
    <s v="Fiódor Dostoyevski"/>
    <x v="9"/>
    <n v="14.19"/>
    <n v="1419"/>
    <n v="1"/>
    <n v="14.19"/>
    <x v="10"/>
    <x v="3"/>
    <x v="547"/>
    <x v="1"/>
    <x v="1"/>
    <s v="Tienda Online"/>
    <x v="1"/>
    <n v="5"/>
    <n v="5"/>
  </r>
  <r>
    <s v="V000774"/>
    <s v="978-9-72493-614-8"/>
    <s v="El chef en casa"/>
    <s v="Jamie Oliver"/>
    <x v="14"/>
    <n v="21.89"/>
    <n v="2189"/>
    <n v="2"/>
    <n v="43.78"/>
    <x v="38"/>
    <x v="0"/>
    <x v="548"/>
    <x v="0"/>
    <x v="1"/>
    <s v="Tienda Online"/>
    <x v="0"/>
    <n v="5"/>
    <n v="5"/>
  </r>
  <r>
    <s v="V000775"/>
    <s v="978-1-48469-545-2"/>
    <s v="Origen"/>
    <s v="Dan Brown"/>
    <x v="1"/>
    <n v="20.89"/>
    <n v="2089"/>
    <n v="1"/>
    <n v="20.89"/>
    <x v="36"/>
    <x v="1"/>
    <x v="549"/>
    <x v="2"/>
    <x v="1"/>
    <s v="Tienda Online"/>
    <x v="0"/>
    <n v="5"/>
    <n v="5"/>
  </r>
  <r>
    <s v="V000776"/>
    <s v="978-8-11504-796-1"/>
    <s v="El código Da Vinci"/>
    <s v="Dan Brown"/>
    <x v="1"/>
    <n v="13.52"/>
    <n v="1352"/>
    <n v="1"/>
    <n v="13.52"/>
    <x v="6"/>
    <x v="2"/>
    <x v="550"/>
    <x v="1"/>
    <x v="1"/>
    <s v="Tienda Online"/>
    <x v="3"/>
    <n v="5"/>
    <n v="5"/>
  </r>
  <r>
    <s v="V000777"/>
    <s v="978-4-28301-352-8"/>
    <s v="El prisionero del cielo"/>
    <s v="Carlos Ruiz Zafón"/>
    <x v="3"/>
    <n v="18.79"/>
    <n v="1879"/>
    <n v="1"/>
    <n v="18.79"/>
    <x v="33"/>
    <x v="1"/>
    <x v="551"/>
    <x v="2"/>
    <x v="1"/>
    <s v="Tienda Online"/>
    <x v="4"/>
    <n v="4"/>
    <n v="4"/>
  </r>
  <r>
    <s v="V000778"/>
    <s v="978-6-38893-559-9"/>
    <s v="Dune"/>
    <s v="Frank Herbert"/>
    <x v="12"/>
    <n v="20.61"/>
    <n v="2061"/>
    <n v="2"/>
    <n v="41.22"/>
    <x v="17"/>
    <x v="3"/>
    <x v="236"/>
    <x v="1"/>
    <x v="0"/>
    <s v="Librería Central Madrid"/>
    <x v="4"/>
    <n v="5"/>
    <n v="5"/>
  </r>
  <r>
    <s v="V000779"/>
    <s v="978-0-87110-667-3"/>
    <s v="Charlie y la fábrica de chocolate"/>
    <s v="Roald Dahl"/>
    <x v="6"/>
    <n v="13.09"/>
    <n v="1309"/>
    <n v="2"/>
    <n v="26.18"/>
    <x v="58"/>
    <x v="1"/>
    <x v="11"/>
    <x v="0"/>
    <x v="0"/>
    <s v="Librería Sevilla Triana"/>
    <x v="2"/>
    <n v="4"/>
    <n v="4"/>
  </r>
  <r>
    <s v="V000780"/>
    <s v="978-3-50857-508-5"/>
    <s v="Piense y hágase rico"/>
    <s v="Napoleon Hill"/>
    <x v="5"/>
    <n v="1.46"/>
    <n v="146"/>
    <n v="1"/>
    <n v="1.46"/>
    <x v="48"/>
    <x v="3"/>
    <x v="53"/>
    <x v="2"/>
    <x v="1"/>
    <s v="Tienda Online"/>
    <x v="1"/>
    <n v="4"/>
    <n v="4"/>
  </r>
  <r>
    <s v="V000781"/>
    <s v="978-0-87110-667-3"/>
    <s v="Charlie y la fábrica de chocolate"/>
    <s v="Roald Dahl"/>
    <x v="6"/>
    <n v="10.119999999999999"/>
    <n v="1012"/>
    <n v="2"/>
    <n v="20.239999999999998"/>
    <x v="52"/>
    <x v="2"/>
    <x v="471"/>
    <x v="1"/>
    <x v="1"/>
    <s v="Tienda Online"/>
    <x v="4"/>
    <n v="4"/>
    <n v="4"/>
  </r>
  <r>
    <s v="V000782"/>
    <s v="978-4-10851-877-2"/>
    <s v="El nombre del viento"/>
    <s v="Patrick Rothfuss"/>
    <x v="2"/>
    <n v="19.71"/>
    <n v="1971"/>
    <n v="2"/>
    <n v="39.42"/>
    <x v="51"/>
    <x v="2"/>
    <x v="246"/>
    <x v="0"/>
    <x v="0"/>
    <s v="Librería Valencia Centro"/>
    <x v="4"/>
    <n v="3"/>
    <n v="3"/>
  </r>
  <r>
    <s v="V000783"/>
    <s v="978-7-77839-562-1"/>
    <s v="El principito"/>
    <s v="Antoine de Saint-Exupéry"/>
    <x v="6"/>
    <n v="10.89"/>
    <n v="1089"/>
    <n v="1"/>
    <n v="10.89"/>
    <x v="56"/>
    <x v="1"/>
    <x v="53"/>
    <x v="1"/>
    <x v="1"/>
    <s v="Tienda Online"/>
    <x v="3"/>
    <n v="5"/>
    <n v="5"/>
  </r>
  <r>
    <s v="V000784"/>
    <s v="978-9-93227-275-8"/>
    <s v="Los hermanos Karamázov"/>
    <s v="Fiódor Dostoyevski"/>
    <x v="9"/>
    <n v="15.12"/>
    <n v="1512"/>
    <n v="1"/>
    <n v="15.12"/>
    <x v="36"/>
    <x v="3"/>
    <x v="21"/>
    <x v="0"/>
    <x v="1"/>
    <s v="Tienda Online"/>
    <x v="0"/>
    <n v="4"/>
    <n v="4"/>
  </r>
  <r>
    <s v="V000785"/>
    <s v="978-7-80284-227-6"/>
    <s v="El Señor de los Anillos"/>
    <s v="J.R.R. Tolkien"/>
    <x v="2"/>
    <n v="2.99"/>
    <n v="299"/>
    <n v="1"/>
    <n v="2.99"/>
    <x v="35"/>
    <x v="0"/>
    <x v="15"/>
    <x v="1"/>
    <x v="0"/>
    <s v="Librería Gran Vía"/>
    <x v="0"/>
    <n v="5"/>
    <n v="5"/>
  </r>
  <r>
    <s v="V000786"/>
    <s v="978-8-31643-371-8"/>
    <s v="Hábitos atómicos"/>
    <s v="James Clear"/>
    <x v="0"/>
    <n v="15.12"/>
    <n v="1512"/>
    <n v="2"/>
    <n v="30.24"/>
    <x v="1"/>
    <x v="3"/>
    <x v="552"/>
    <x v="1"/>
    <x v="0"/>
    <s v="Librería Barcelona Gòtic"/>
    <x v="0"/>
    <n v="2"/>
    <n v="2"/>
  </r>
  <r>
    <s v="V000787"/>
    <s v="978-3-97782-833-5"/>
    <s v="V de Vendetta"/>
    <s v="Alan Moore"/>
    <x v="10"/>
    <n v="15.12"/>
    <n v="1512"/>
    <n v="2"/>
    <n v="30.24"/>
    <x v="25"/>
    <x v="1"/>
    <x v="305"/>
    <x v="2"/>
    <x v="1"/>
    <s v="Tienda Online"/>
    <x v="0"/>
    <n v="2"/>
    <n v="2"/>
  </r>
  <r>
    <s v="V000788"/>
    <s v="978-7-30289-294-4"/>
    <s v="Nada"/>
    <s v="Carmen Laforet"/>
    <x v="9"/>
    <n v="12.51"/>
    <n v="1251"/>
    <n v="1"/>
    <n v="12.51"/>
    <x v="66"/>
    <x v="2"/>
    <x v="553"/>
    <x v="1"/>
    <x v="0"/>
    <s v="Librería Valencia Centro"/>
    <x v="3"/>
    <n v="4"/>
    <n v="4"/>
  </r>
  <r>
    <s v="V000789"/>
    <s v="978-3-85880-708-0"/>
    <s v="Persépolis"/>
    <s v="Marjane Satrapi"/>
    <x v="10"/>
    <n v="1.59"/>
    <n v="159"/>
    <n v="1"/>
    <n v="1.59"/>
    <x v="8"/>
    <x v="3"/>
    <x v="453"/>
    <x v="2"/>
    <x v="1"/>
    <s v="Tienda Online"/>
    <x v="1"/>
    <n v="5"/>
    <n v="5"/>
  </r>
  <r>
    <s v="V000790"/>
    <s v="978-5-19287-626-3"/>
    <s v="Coraline"/>
    <s v="Neil Gaiman"/>
    <x v="8"/>
    <n v="11.81"/>
    <n v="1181"/>
    <n v="1"/>
    <n v="11.81"/>
    <x v="64"/>
    <x v="3"/>
    <x v="63"/>
    <x v="1"/>
    <x v="0"/>
    <s v="Librería Valencia Centro"/>
    <x v="3"/>
    <n v="4"/>
    <n v="4"/>
  </r>
  <r>
    <s v="V000791"/>
    <s v="978-5-19287-626-3"/>
    <s v="Coraline"/>
    <s v="Neil Gaiman"/>
    <x v="8"/>
    <n v="11.12"/>
    <n v="1112"/>
    <n v="1"/>
    <n v="11.12"/>
    <x v="58"/>
    <x v="1"/>
    <x v="554"/>
    <x v="2"/>
    <x v="1"/>
    <s v="Tienda Online"/>
    <x v="1"/>
    <n v="5"/>
    <n v="5"/>
  </r>
  <r>
    <s v="V000792"/>
    <s v="978-6-45093-167-3"/>
    <s v="Paula"/>
    <s v="Isabel Allende"/>
    <x v="13"/>
    <n v="13.52"/>
    <n v="1352"/>
    <n v="1"/>
    <n v="13.52"/>
    <x v="67"/>
    <x v="2"/>
    <x v="555"/>
    <x v="2"/>
    <x v="1"/>
    <s v="Tienda Online"/>
    <x v="0"/>
    <n v="4"/>
    <n v="4"/>
  </r>
  <r>
    <s v="V000793"/>
    <s v="978-0-96673-333-4"/>
    <s v="Harry Potter y el prisionero de Azkaban"/>
    <s v="J.K. Rowling"/>
    <x v="8"/>
    <n v="18.59"/>
    <n v="1859"/>
    <n v="1"/>
    <n v="18.59"/>
    <x v="55"/>
    <x v="2"/>
    <x v="556"/>
    <x v="2"/>
    <x v="1"/>
    <s v="Tienda Online"/>
    <x v="0"/>
    <n v="3"/>
    <n v="3"/>
  </r>
  <r>
    <s v="V000794"/>
    <s v="978-9-65461-316-8"/>
    <s v="Padre rico, padre pobre"/>
    <s v="Robert Kiyosaki"/>
    <x v="5"/>
    <n v="15.21"/>
    <n v="1521"/>
    <n v="1"/>
    <n v="15.21"/>
    <x v="37"/>
    <x v="1"/>
    <x v="108"/>
    <x v="1"/>
    <x v="1"/>
    <s v="Tienda Online"/>
    <x v="2"/>
    <n v="4"/>
    <n v="4"/>
  </r>
  <r>
    <s v="V000795"/>
    <s v="978-7-77839-562-1"/>
    <s v="El principito"/>
    <s v="Antoine de Saint-Exupéry"/>
    <x v="6"/>
    <n v="10.89"/>
    <n v="1089"/>
    <n v="2"/>
    <n v="21.78"/>
    <x v="24"/>
    <x v="1"/>
    <x v="126"/>
    <x v="0"/>
    <x v="1"/>
    <s v="Tienda Online"/>
    <x v="2"/>
    <n v="2"/>
    <n v="2"/>
  </r>
  <r>
    <s v="V000796"/>
    <s v="978-5-85674-296-1"/>
    <s v="Harry Potter y la cámara secreta"/>
    <s v="J.K. Rowling"/>
    <x v="8"/>
    <n v="13.52"/>
    <n v="1352"/>
    <n v="1"/>
    <n v="13.52"/>
    <x v="64"/>
    <x v="3"/>
    <x v="557"/>
    <x v="1"/>
    <x v="0"/>
    <s v="Librería Central Madrid"/>
    <x v="4"/>
    <n v="4"/>
    <n v="4"/>
  </r>
  <r>
    <s v="V000797"/>
    <s v="978-3-39256-242-1"/>
    <s v="El amor en los tiempos del cólera"/>
    <s v="Gabriel García Márquez"/>
    <x v="3"/>
    <n v="15.75"/>
    <n v="1575"/>
    <n v="3"/>
    <n v="47.25"/>
    <x v="7"/>
    <x v="1"/>
    <x v="248"/>
    <x v="0"/>
    <x v="0"/>
    <s v="Librería Barcelona Gòtic"/>
    <x v="0"/>
    <m/>
    <s v="Sin valoración"/>
  </r>
  <r>
    <s v="V000798"/>
    <s v="978-3-62923-222-9"/>
    <s v="El gen egoísta"/>
    <s v="Richard Dawkins"/>
    <x v="11"/>
    <n v="15.21"/>
    <n v="1521"/>
    <n v="1"/>
    <n v="15.21"/>
    <x v="7"/>
    <x v="2"/>
    <x v="90"/>
    <x v="1"/>
    <x v="1"/>
    <s v="Tienda Online"/>
    <x v="2"/>
    <n v="4"/>
    <n v="4"/>
  </r>
  <r>
    <s v="V000799"/>
    <s v="978-0-87110-667-3"/>
    <s v="Charlie y la fábrica de chocolate"/>
    <s v="Roald Dahl"/>
    <x v="6"/>
    <n v="13.09"/>
    <n v="1309"/>
    <n v="4"/>
    <n v="52.36"/>
    <x v="52"/>
    <x v="1"/>
    <x v="296"/>
    <x v="2"/>
    <x v="1"/>
    <s v="Tienda Online"/>
    <x v="2"/>
    <n v="5"/>
    <n v="5"/>
  </r>
  <r>
    <s v="V000800"/>
    <s v="978-6-54597-384-2"/>
    <s v="El temor de un hombre sabio"/>
    <s v="Patrick Rothfuss"/>
    <x v="2"/>
    <n v="27.39"/>
    <n v="2739"/>
    <n v="3"/>
    <n v="82.17"/>
    <x v="63"/>
    <x v="3"/>
    <x v="243"/>
    <x v="2"/>
    <x v="1"/>
    <s v="Tienda Online"/>
    <x v="3"/>
    <n v="5"/>
    <n v="5"/>
  </r>
  <r>
    <s v="V000801"/>
    <s v="978-9-38864-107-1"/>
    <s v="James y el melocotón gigante"/>
    <s v="Roald Dahl"/>
    <x v="6"/>
    <n v="8.7200000000000006"/>
    <n v="872"/>
    <n v="1"/>
    <n v="8.7200000000000006"/>
    <x v="56"/>
    <x v="0"/>
    <x v="558"/>
    <x v="2"/>
    <x v="1"/>
    <s v="Tienda Online"/>
    <x v="1"/>
    <n v="5"/>
    <n v="5"/>
  </r>
  <r>
    <s v="V000802"/>
    <s v="978-3-39451-165-5"/>
    <s v="Matilda"/>
    <s v="Roald Dahl"/>
    <x v="6"/>
    <n v="13.09"/>
    <n v="1309"/>
    <n v="1"/>
    <n v="13.09"/>
    <x v="9"/>
    <x v="1"/>
    <x v="98"/>
    <x v="2"/>
    <x v="1"/>
    <s v="Tienda Online"/>
    <x v="0"/>
    <n v="5"/>
    <n v="5"/>
  </r>
  <r>
    <s v="V000803"/>
    <s v="978-8-68800-243-6"/>
    <s v="El extranjero"/>
    <s v="Albert Camus"/>
    <x v="9"/>
    <n v="10.32"/>
    <n v="1032"/>
    <n v="3"/>
    <n v="30.96"/>
    <x v="60"/>
    <x v="3"/>
    <x v="559"/>
    <x v="2"/>
    <x v="1"/>
    <s v="Tienda Online"/>
    <x v="4"/>
    <n v="3"/>
    <n v="3"/>
  </r>
  <r>
    <s v="V000804"/>
    <s v="978-4-99593-763-1"/>
    <s v="Crimen y castigo"/>
    <s v="Fiódor Dostoyevski"/>
    <x v="9"/>
    <n v="13.55"/>
    <n v="1355"/>
    <n v="1"/>
    <n v="13.55"/>
    <x v="7"/>
    <x v="0"/>
    <x v="241"/>
    <x v="2"/>
    <x v="1"/>
    <s v="Tienda Online"/>
    <x v="0"/>
    <n v="4"/>
    <n v="4"/>
  </r>
  <r>
    <s v="V000805"/>
    <s v="978-9-38864-107-1"/>
    <s v="James y el melocotón gigante"/>
    <s v="Roald Dahl"/>
    <x v="6"/>
    <n v="1.0900000000000001"/>
    <n v="109"/>
    <n v="1"/>
    <n v="1.0900000000000001"/>
    <x v="24"/>
    <x v="3"/>
    <x v="99"/>
    <x v="1"/>
    <x v="0"/>
    <s v="Librería Barcelona Gòtic"/>
    <x v="2"/>
    <n v="4"/>
    <n v="4"/>
  </r>
  <r>
    <s v="V000806"/>
    <s v="978-1-40512-987-1"/>
    <s v="Los juegos del hambre"/>
    <s v="Suzanne Collins"/>
    <x v="8"/>
    <n v="1.49"/>
    <n v="149"/>
    <n v="2"/>
    <n v="2.98"/>
    <x v="9"/>
    <x v="2"/>
    <x v="540"/>
    <x v="0"/>
    <x v="0"/>
    <s v="Librería Central Madrid"/>
    <x v="0"/>
    <n v="4"/>
    <n v="4"/>
  </r>
  <r>
    <s v="V000807"/>
    <s v="978-5-50306-345-0"/>
    <s v="Homo Deus"/>
    <s v="Yuval Noah Harari"/>
    <x v="15"/>
    <n v="2.2999999999999998"/>
    <n v="230"/>
    <n v="1"/>
    <n v="2.2999999999999998"/>
    <x v="60"/>
    <x v="3"/>
    <x v="560"/>
    <x v="0"/>
    <x v="1"/>
    <s v="Tienda Online"/>
    <x v="0"/>
    <n v="2"/>
    <n v="2"/>
  </r>
  <r>
    <s v="V000808"/>
    <s v="978-0-87110-667-3"/>
    <s v="Charlie y la fábrica de chocolate"/>
    <s v="Roald Dahl"/>
    <x v="6"/>
    <n v="10.71"/>
    <n v="1071"/>
    <n v="1"/>
    <n v="10.71"/>
    <x v="61"/>
    <x v="1"/>
    <x v="27"/>
    <x v="1"/>
    <x v="0"/>
    <s v="Librería Sevilla Triana"/>
    <x v="1"/>
    <n v="4"/>
    <n v="4"/>
  </r>
  <r>
    <s v="V000809"/>
    <s v="978-3-14207-924-5"/>
    <s v="La casa de los espíritus"/>
    <s v="Isabel Allende"/>
    <x v="3"/>
    <n v="19.690000000000001"/>
    <n v="1969"/>
    <n v="2"/>
    <n v="39.380000000000003"/>
    <x v="26"/>
    <x v="0"/>
    <x v="561"/>
    <x v="1"/>
    <x v="0"/>
    <s v="Librería Valencia Centro"/>
    <x v="3"/>
    <n v="4"/>
    <n v="4"/>
  </r>
  <r>
    <s v="V000810"/>
    <s v="978-6-45093-167-3"/>
    <s v="Paula"/>
    <s v="Isabel Allende"/>
    <x v="13"/>
    <n v="14.31"/>
    <n v="1431"/>
    <n v="1"/>
    <n v="14.31"/>
    <x v="23"/>
    <x v="0"/>
    <x v="141"/>
    <x v="2"/>
    <x v="1"/>
    <s v="Tienda Online"/>
    <x v="1"/>
    <m/>
    <s v="Sin valoración"/>
  </r>
  <r>
    <s v="V000811"/>
    <s v="978-8-44438-864-9"/>
    <s v="Rayuela"/>
    <s v="Julio Cortázar"/>
    <x v="9"/>
    <n v="13.52"/>
    <n v="1352"/>
    <n v="1"/>
    <n v="13.52"/>
    <x v="46"/>
    <x v="1"/>
    <x v="562"/>
    <x v="1"/>
    <x v="0"/>
    <s v="Librería Sevilla Triana"/>
    <x v="4"/>
    <n v="4"/>
    <n v="4"/>
  </r>
  <r>
    <s v="V000812"/>
    <s v="978-7-19071-878-8"/>
    <s v="El poder del ahora"/>
    <s v="Eckhart Tolle"/>
    <x v="0"/>
    <n v="11.92"/>
    <n v="1192"/>
    <n v="1"/>
    <n v="11.92"/>
    <x v="46"/>
    <x v="2"/>
    <x v="563"/>
    <x v="2"/>
    <x v="1"/>
    <s v="Tienda Online"/>
    <x v="0"/>
    <n v="5"/>
    <n v="5"/>
  </r>
  <r>
    <s v="V000813"/>
    <s v="978-1-13278-859-4"/>
    <s v="Cien años de soledad"/>
    <s v="Gabriel García Márquez"/>
    <x v="3"/>
    <n v="17.010000000000002"/>
    <n v="1701"/>
    <n v="1"/>
    <n v="17.010000000000002"/>
    <x v="50"/>
    <x v="0"/>
    <x v="4"/>
    <x v="2"/>
    <x v="1"/>
    <s v="Tienda Online"/>
    <x v="1"/>
    <n v="5"/>
    <n v="5"/>
  </r>
  <r>
    <s v="V000814"/>
    <s v="978-9-18326-494-6"/>
    <s v="Romancero gitano"/>
    <s v="Federico García Lorca"/>
    <x v="7"/>
    <n v="1.0900000000000001"/>
    <n v="109"/>
    <n v="2"/>
    <n v="2.1800000000000002"/>
    <x v="0"/>
    <x v="2"/>
    <x v="564"/>
    <x v="0"/>
    <x v="0"/>
    <s v="Librería Barcelona Gòtic"/>
    <x v="1"/>
    <n v="3"/>
    <n v="3"/>
  </r>
  <r>
    <s v="V000815"/>
    <s v="978-3-14207-924-5"/>
    <s v="La casa de los espíritus"/>
    <s v="Isabel Allende"/>
    <x v="3"/>
    <n v="18.79"/>
    <n v="1879"/>
    <n v="2"/>
    <n v="37.58"/>
    <x v="64"/>
    <x v="0"/>
    <x v="87"/>
    <x v="2"/>
    <x v="1"/>
    <s v="Tienda Online"/>
    <x v="0"/>
    <n v="5"/>
    <n v="5"/>
  </r>
  <r>
    <s v="V000816"/>
    <s v="978-5-74042-119-1"/>
    <s v="Sapiens"/>
    <s v="Yuval Noah Harari"/>
    <x v="15"/>
    <n v="18.61"/>
    <n v="1861"/>
    <n v="2"/>
    <n v="37.22"/>
    <x v="7"/>
    <x v="2"/>
    <x v="165"/>
    <x v="2"/>
    <x v="1"/>
    <s v="Tienda Online"/>
    <x v="2"/>
    <n v="4"/>
    <n v="4"/>
  </r>
  <r>
    <s v="V000817"/>
    <s v="978-2-18981-709-1"/>
    <s v="Una breve historia del tiempo"/>
    <s v="Stephen Hawking"/>
    <x v="11"/>
    <n v="13.52"/>
    <n v="1352"/>
    <n v="2"/>
    <n v="27.04"/>
    <x v="60"/>
    <x v="1"/>
    <x v="519"/>
    <x v="2"/>
    <x v="1"/>
    <s v="Tienda Online"/>
    <x v="4"/>
    <n v="4"/>
    <n v="4"/>
  </r>
  <r>
    <s v="V000818"/>
    <s v="978-3-76237-716-0"/>
    <s v="Fahrenheit 451"/>
    <s v="Ray Bradbury"/>
    <x v="12"/>
    <n v="11.81"/>
    <n v="1181"/>
    <n v="1"/>
    <n v="11.81"/>
    <x v="54"/>
    <x v="2"/>
    <x v="258"/>
    <x v="0"/>
    <x v="1"/>
    <s v="Tienda Online"/>
    <x v="2"/>
    <n v="5"/>
    <n v="5"/>
  </r>
  <r>
    <s v="V000819"/>
    <s v="978-3-39451-165-5"/>
    <s v="Matilda"/>
    <s v="Roald Dahl"/>
    <x v="6"/>
    <n v="1.19"/>
    <n v="119"/>
    <n v="4"/>
    <n v="4.76"/>
    <x v="11"/>
    <x v="0"/>
    <x v="200"/>
    <x v="2"/>
    <x v="1"/>
    <s v="Tienda Online"/>
    <x v="4"/>
    <n v="4"/>
    <n v="4"/>
  </r>
  <r>
    <s v="V000820"/>
    <s v="978-6-22676-467-5"/>
    <s v="Choque de Reyes"/>
    <s v="George R.R. Martin"/>
    <x v="2"/>
    <n v="21.89"/>
    <n v="2189"/>
    <n v="2"/>
    <n v="43.78"/>
    <x v="35"/>
    <x v="1"/>
    <x v="56"/>
    <x v="0"/>
    <x v="0"/>
    <s v="Librería Barcelona Gòtic"/>
    <x v="0"/>
    <n v="5"/>
    <n v="5"/>
  </r>
  <r>
    <s v="V000821"/>
    <s v="978-1-16630-767-8"/>
    <s v="Los pilares de la Tierra"/>
    <s v="Ken Follett"/>
    <x v="16"/>
    <n v="2.19"/>
    <n v="219"/>
    <n v="1"/>
    <n v="2.19"/>
    <x v="44"/>
    <x v="1"/>
    <x v="565"/>
    <x v="1"/>
    <x v="1"/>
    <s v="Tienda Online"/>
    <x v="4"/>
    <n v="4"/>
    <n v="4"/>
  </r>
  <r>
    <s v="V000822"/>
    <s v="978-9-38864-107-1"/>
    <s v="James y el melocotón gigante"/>
    <s v="Roald Dahl"/>
    <x v="6"/>
    <n v="9.27"/>
    <n v="927"/>
    <n v="1"/>
    <n v="9.27"/>
    <x v="9"/>
    <x v="0"/>
    <x v="566"/>
    <x v="2"/>
    <x v="1"/>
    <s v="Tienda Online"/>
    <x v="4"/>
    <n v="5"/>
    <n v="5"/>
  </r>
  <r>
    <s v="V000823"/>
    <s v="978-8-21395-704-6"/>
    <s v="1984"/>
    <s v="George Orwell"/>
    <x v="12"/>
    <n v="1.49"/>
    <n v="149"/>
    <n v="1"/>
    <n v="1.49"/>
    <x v="37"/>
    <x v="1"/>
    <x v="567"/>
    <x v="2"/>
    <x v="1"/>
    <s v="Tienda Online"/>
    <x v="4"/>
    <n v="5"/>
    <n v="5"/>
  </r>
  <r>
    <s v="V000824"/>
    <s v="978-1-40512-987-1"/>
    <s v="Los juegos del hambre"/>
    <s v="Suzanne Collins"/>
    <x v="8"/>
    <n v="1.49"/>
    <n v="149"/>
    <n v="1"/>
    <n v="1.49"/>
    <x v="34"/>
    <x v="2"/>
    <x v="122"/>
    <x v="0"/>
    <x v="0"/>
    <s v="Librería Valencia Centro"/>
    <x v="2"/>
    <n v="4"/>
    <n v="4"/>
  </r>
  <r>
    <s v="V000825"/>
    <s v="978-3-30032-482-2"/>
    <s v="Los hombres que no amaban a las mujeres"/>
    <s v="Stieg Larsson"/>
    <x v="1"/>
    <n v="19.690000000000001"/>
    <n v="1969"/>
    <n v="1"/>
    <n v="19.690000000000001"/>
    <x v="5"/>
    <x v="1"/>
    <x v="568"/>
    <x v="1"/>
    <x v="1"/>
    <s v="Tienda Online"/>
    <x v="2"/>
    <n v="4"/>
    <n v="4"/>
  </r>
  <r>
    <s v="V000826"/>
    <s v="978-2-18981-709-1"/>
    <s v="Una breve historia del tiempo"/>
    <s v="Stephen Hawking"/>
    <x v="11"/>
    <n v="18.59"/>
    <n v="1859"/>
    <n v="1"/>
    <n v="18.59"/>
    <x v="50"/>
    <x v="0"/>
    <x v="569"/>
    <x v="0"/>
    <x v="1"/>
    <s v="Tienda Online"/>
    <x v="4"/>
    <n v="5"/>
    <n v="5"/>
  </r>
  <r>
    <s v="V000827"/>
    <s v="978-4-99593-763-1"/>
    <s v="Crimen y castigo"/>
    <s v="Fiódor Dostoyevski"/>
    <x v="9"/>
    <n v="14.19"/>
    <n v="1419"/>
    <n v="1"/>
    <n v="14.19"/>
    <x v="32"/>
    <x v="2"/>
    <x v="182"/>
    <x v="1"/>
    <x v="1"/>
    <s v="Tienda Online"/>
    <x v="2"/>
    <m/>
    <s v="Sin valoración"/>
  </r>
  <r>
    <s v="V000828"/>
    <s v="978-2-46509-573-3"/>
    <s v="La peste"/>
    <s v="Albert Camus"/>
    <x v="9"/>
    <n v="13.41"/>
    <n v="1341"/>
    <n v="1"/>
    <n v="13.41"/>
    <x v="63"/>
    <x v="0"/>
    <x v="570"/>
    <x v="2"/>
    <x v="1"/>
    <s v="Tienda Online"/>
    <x v="2"/>
    <n v="5"/>
    <n v="5"/>
  </r>
  <r>
    <s v="V000829"/>
    <s v="978-8-21395-704-6"/>
    <s v="1984"/>
    <s v="George Orwell"/>
    <x v="12"/>
    <n v="1.49"/>
    <n v="149"/>
    <n v="1"/>
    <n v="1.49"/>
    <x v="26"/>
    <x v="3"/>
    <x v="571"/>
    <x v="2"/>
    <x v="1"/>
    <s v="Tienda Online"/>
    <x v="4"/>
    <n v="5"/>
    <n v="5"/>
  </r>
  <r>
    <s v="V000830"/>
    <s v="978-9-72493-614-8"/>
    <s v="El chef en casa"/>
    <s v="Jamie Oliver"/>
    <x v="14"/>
    <n v="1.99"/>
    <n v="199"/>
    <n v="1"/>
    <n v="1.99"/>
    <x v="53"/>
    <x v="2"/>
    <x v="136"/>
    <x v="0"/>
    <x v="0"/>
    <s v="Librería Gran Vía"/>
    <x v="1"/>
    <n v="4"/>
    <n v="4"/>
  </r>
  <r>
    <s v="V000831"/>
    <s v="978-0-96673-333-4"/>
    <s v="Harry Potter y el prisionero de Azkaban"/>
    <s v="J.K. Rowling"/>
    <x v="8"/>
    <n v="18.59"/>
    <n v="1859"/>
    <n v="1"/>
    <n v="18.59"/>
    <x v="55"/>
    <x v="2"/>
    <x v="572"/>
    <x v="2"/>
    <x v="1"/>
    <s v="Tienda Online"/>
    <x v="1"/>
    <n v="5"/>
    <n v="5"/>
  </r>
  <r>
    <s v="V000832"/>
    <s v="978-9-44671-926-0"/>
    <s v="El Hobbit"/>
    <s v="J.R.R. Tolkien"/>
    <x v="2"/>
    <n v="1.69"/>
    <n v="169"/>
    <n v="1"/>
    <n v="1.69"/>
    <x v="2"/>
    <x v="3"/>
    <x v="505"/>
    <x v="2"/>
    <x v="1"/>
    <s v="Tienda Online"/>
    <x v="0"/>
    <n v="4"/>
    <n v="4"/>
  </r>
  <r>
    <s v="V000833"/>
    <s v="978-7-77839-562-1"/>
    <s v="El principito"/>
    <s v="Antoine de Saint-Exupéry"/>
    <x v="6"/>
    <n v="8.91"/>
    <n v="891"/>
    <n v="1"/>
    <n v="8.91"/>
    <x v="62"/>
    <x v="0"/>
    <x v="573"/>
    <x v="1"/>
    <x v="1"/>
    <s v="Tienda Online"/>
    <x v="4"/>
    <m/>
    <s v="Sin valoración"/>
  </r>
  <r>
    <s v="V000834"/>
    <s v="978-0-62772-845-5"/>
    <s v="Drácula"/>
    <s v="Bram Stoker"/>
    <x v="4"/>
    <n v="1.29"/>
    <n v="129"/>
    <n v="1"/>
    <n v="1.29"/>
    <x v="35"/>
    <x v="0"/>
    <x v="574"/>
    <x v="2"/>
    <x v="1"/>
    <s v="Tienda Online"/>
    <x v="3"/>
    <n v="4"/>
    <n v="4"/>
  </r>
  <r>
    <s v="V000835"/>
    <s v="978-9-18326-494-6"/>
    <s v="Romancero gitano"/>
    <s v="Federico García Lorca"/>
    <x v="7"/>
    <n v="1.0900000000000001"/>
    <n v="109"/>
    <n v="1"/>
    <n v="1.0900000000000001"/>
    <x v="16"/>
    <x v="2"/>
    <x v="575"/>
    <x v="1"/>
    <x v="0"/>
    <s v="Librería Sevilla Triana"/>
    <x v="2"/>
    <n v="3"/>
    <n v="3"/>
  </r>
  <r>
    <s v="V000836"/>
    <s v="978-9-44671-926-0"/>
    <s v="El Hobbit"/>
    <s v="J.R.R. Tolkien"/>
    <x v="2"/>
    <n v="1.69"/>
    <n v="169"/>
    <n v="1"/>
    <n v="1.69"/>
    <x v="66"/>
    <x v="0"/>
    <x v="460"/>
    <x v="1"/>
    <x v="0"/>
    <s v="Librería Barcelona Gòtic"/>
    <x v="0"/>
    <n v="5"/>
    <n v="5"/>
  </r>
  <r>
    <s v="V000837"/>
    <s v="978-7-77839-562-1"/>
    <s v="El principito"/>
    <s v="Antoine de Saint-Exupéry"/>
    <x v="6"/>
    <n v="7.92"/>
    <n v="792"/>
    <n v="1"/>
    <n v="7.92"/>
    <x v="11"/>
    <x v="3"/>
    <x v="144"/>
    <x v="0"/>
    <x v="0"/>
    <s v="Librería Sevilla Triana"/>
    <x v="0"/>
    <n v="5"/>
    <n v="5"/>
  </r>
  <r>
    <s v="V000838"/>
    <s v="978-9-71348-641-4"/>
    <s v="Veinte poemas de amor"/>
    <s v="Pablo Neruda"/>
    <x v="7"/>
    <n v="0.99"/>
    <n v="99"/>
    <n v="1"/>
    <n v="0.99"/>
    <x v="68"/>
    <x v="1"/>
    <x v="576"/>
    <x v="1"/>
    <x v="1"/>
    <s v="Tienda Online"/>
    <x v="1"/>
    <n v="5"/>
    <n v="5"/>
  </r>
  <r>
    <s v="V000839"/>
    <s v="978-6-45093-167-3"/>
    <s v="Paula"/>
    <s v="Isabel Allende"/>
    <x v="13"/>
    <n v="1.59"/>
    <n v="159"/>
    <n v="1"/>
    <n v="1.59"/>
    <x v="46"/>
    <x v="3"/>
    <x v="294"/>
    <x v="0"/>
    <x v="1"/>
    <s v="Tienda Online"/>
    <x v="3"/>
    <m/>
    <s v="Sin valoración"/>
  </r>
  <r>
    <s v="V000840"/>
    <s v="978-4-97684-597-3"/>
    <s v="American Gods"/>
    <s v="Neil Gaiman"/>
    <x v="2"/>
    <n v="21.89"/>
    <n v="2189"/>
    <n v="1"/>
    <n v="21.89"/>
    <x v="0"/>
    <x v="0"/>
    <x v="568"/>
    <x v="2"/>
    <x v="1"/>
    <s v="Tienda Online"/>
    <x v="4"/>
    <n v="4"/>
    <n v="4"/>
  </r>
  <r>
    <s v="V000841"/>
    <s v="978-8-44438-864-9"/>
    <s v="Rayuela"/>
    <s v="Julio Cortázar"/>
    <x v="9"/>
    <n v="1.69"/>
    <n v="169"/>
    <n v="4"/>
    <n v="6.76"/>
    <x v="3"/>
    <x v="2"/>
    <x v="577"/>
    <x v="2"/>
    <x v="1"/>
    <s v="Tienda Online"/>
    <x v="3"/>
    <n v="5"/>
    <n v="5"/>
  </r>
  <r>
    <s v="V000842"/>
    <s v="978-7-19071-878-8"/>
    <s v="El poder del ahora"/>
    <s v="Eckhart Tolle"/>
    <x v="0"/>
    <n v="1.49"/>
    <n v="149"/>
    <n v="1"/>
    <n v="1.49"/>
    <x v="39"/>
    <x v="1"/>
    <x v="578"/>
    <x v="2"/>
    <x v="1"/>
    <s v="Tienda Online"/>
    <x v="2"/>
    <n v="4"/>
    <n v="4"/>
  </r>
  <r>
    <s v="V000843"/>
    <s v="978-4-97684-597-3"/>
    <s v="American Gods"/>
    <s v="Neil Gaiman"/>
    <x v="2"/>
    <n v="1.99"/>
    <n v="199"/>
    <n v="4"/>
    <n v="7.96"/>
    <x v="44"/>
    <x v="1"/>
    <x v="579"/>
    <x v="1"/>
    <x v="1"/>
    <s v="Tienda Online"/>
    <x v="1"/>
    <n v="4"/>
    <n v="4"/>
  </r>
  <r>
    <s v="V000844"/>
    <s v="978-4-28301-352-8"/>
    <s v="El prisionero del cielo"/>
    <s v="Carlos Ruiz Zafón"/>
    <x v="3"/>
    <n v="1.79"/>
    <n v="179"/>
    <n v="2"/>
    <n v="3.58"/>
    <x v="32"/>
    <x v="3"/>
    <x v="580"/>
    <x v="1"/>
    <x v="0"/>
    <s v="Librería Gran Vía"/>
    <x v="1"/>
    <m/>
    <s v="Sin valoración"/>
  </r>
  <r>
    <s v="V000845"/>
    <s v="978-4-93748-619-9"/>
    <s v="Perdida"/>
    <s v="Gillian Flynn"/>
    <x v="1"/>
    <n v="1.32"/>
    <n v="132"/>
    <n v="1"/>
    <n v="1.32"/>
    <x v="51"/>
    <x v="2"/>
    <x v="581"/>
    <x v="1"/>
    <x v="1"/>
    <s v="Tienda Online"/>
    <x v="4"/>
    <n v="5"/>
    <n v="5"/>
  </r>
  <r>
    <s v="V000846"/>
    <s v="978-1-42591-296-3"/>
    <s v="Frankenstein"/>
    <s v="Mary Shelley"/>
    <x v="4"/>
    <n v="10.119999999999999"/>
    <n v="1012"/>
    <n v="1"/>
    <n v="10.119999999999999"/>
    <x v="45"/>
    <x v="2"/>
    <x v="166"/>
    <x v="2"/>
    <x v="1"/>
    <s v="Tienda Online"/>
    <x v="3"/>
    <n v="5"/>
    <n v="5"/>
  </r>
  <r>
    <s v="V000847"/>
    <s v="978-5-85674-296-1"/>
    <s v="Harry Potter y la cámara secreta"/>
    <s v="J.K. Rowling"/>
    <x v="8"/>
    <n v="1.59"/>
    <n v="159"/>
    <n v="1"/>
    <n v="1.59"/>
    <x v="60"/>
    <x v="1"/>
    <x v="582"/>
    <x v="0"/>
    <x v="1"/>
    <s v="Tienda Online"/>
    <x v="0"/>
    <n v="5"/>
    <n v="5"/>
  </r>
  <r>
    <s v="V000848"/>
    <s v="978-6-56438-533-6"/>
    <s v="Misery"/>
    <s v="Stephen King"/>
    <x v="4"/>
    <n v="18.59"/>
    <n v="1859"/>
    <n v="2"/>
    <n v="37.18"/>
    <x v="25"/>
    <x v="3"/>
    <x v="516"/>
    <x v="2"/>
    <x v="1"/>
    <s v="Tienda Online"/>
    <x v="0"/>
    <n v="3"/>
    <n v="3"/>
  </r>
  <r>
    <s v="V000849"/>
    <s v="978-9-78522-423-4"/>
    <s v="Maus"/>
    <s v="Art Spiegelman"/>
    <x v="10"/>
    <n v="17.75"/>
    <n v="1775"/>
    <n v="3"/>
    <n v="53.25"/>
    <x v="17"/>
    <x v="0"/>
    <x v="583"/>
    <x v="1"/>
    <x v="0"/>
    <s v="Librería Gran Vía"/>
    <x v="1"/>
    <m/>
    <s v="Sin valoración"/>
  </r>
  <r>
    <s v="V000850"/>
    <s v="978-0-51104-158-0"/>
    <s v="Manual de cocina fácil"/>
    <s v="Karlos Arguiñano"/>
    <x v="14"/>
    <n v="1.79"/>
    <n v="179"/>
    <n v="1"/>
    <n v="1.79"/>
    <x v="12"/>
    <x v="3"/>
    <x v="584"/>
    <x v="1"/>
    <x v="1"/>
    <s v="Tienda Online"/>
    <x v="4"/>
    <n v="5"/>
    <n v="5"/>
  </r>
  <r>
    <s v="V000851"/>
    <s v="978-3-54118-204-1"/>
    <s v="Juego de Tronos"/>
    <s v="George R.R. Martin"/>
    <x v="2"/>
    <n v="15.92"/>
    <n v="1592"/>
    <n v="1"/>
    <n v="15.92"/>
    <x v="1"/>
    <x v="3"/>
    <x v="585"/>
    <x v="2"/>
    <x v="1"/>
    <s v="Tienda Online"/>
    <x v="2"/>
    <n v="4"/>
    <n v="4"/>
  </r>
  <r>
    <s v="V000852"/>
    <s v="978-2-17455-620-1"/>
    <s v="Cosmos"/>
    <s v="Carl Sagan"/>
    <x v="11"/>
    <n v="17.010000000000002"/>
    <n v="1701"/>
    <n v="1"/>
    <n v="17.010000000000002"/>
    <x v="40"/>
    <x v="3"/>
    <x v="586"/>
    <x v="0"/>
    <x v="1"/>
    <s v="Tienda Online"/>
    <x v="1"/>
    <n v="1"/>
    <n v="1"/>
  </r>
  <r>
    <s v="V000853"/>
    <s v="978-4-97684-597-3"/>
    <s v="American Gods"/>
    <s v="Neil Gaiman"/>
    <x v="2"/>
    <n v="20.89"/>
    <n v="2089"/>
    <n v="4"/>
    <n v="83.56"/>
    <x v="27"/>
    <x v="3"/>
    <x v="194"/>
    <x v="0"/>
    <x v="1"/>
    <s v="Tienda Online"/>
    <x v="0"/>
    <n v="4"/>
    <n v="4"/>
  </r>
  <r>
    <s v="V000854"/>
    <s v="978-5-19287-626-3"/>
    <s v="Coraline"/>
    <s v="Neil Gaiman"/>
    <x v="8"/>
    <n v="11.12"/>
    <n v="1112"/>
    <n v="1"/>
    <n v="11.12"/>
    <x v="34"/>
    <x v="0"/>
    <x v="463"/>
    <x v="0"/>
    <x v="1"/>
    <s v="Tienda Online"/>
    <x v="3"/>
    <n v="4"/>
    <n v="4"/>
  </r>
  <r>
    <s v="V000855"/>
    <s v="978-6-86484-508-5"/>
    <s v="Ficciones"/>
    <s v="Jorge Luis Borges"/>
    <x v="9"/>
    <n v="16.39"/>
    <n v="1639"/>
    <n v="1"/>
    <n v="16.39"/>
    <x v="66"/>
    <x v="0"/>
    <x v="437"/>
    <x v="1"/>
    <x v="0"/>
    <s v="Librería Central Madrid"/>
    <x v="0"/>
    <n v="5"/>
    <n v="5"/>
  </r>
  <r>
    <s v="V000856"/>
    <s v="978-0-13905-195-3"/>
    <s v="Rebelión en la granja"/>
    <s v="George Orwell"/>
    <x v="3"/>
    <n v="1"/>
    <n v="100"/>
    <n v="2"/>
    <n v="2"/>
    <x v="44"/>
    <x v="0"/>
    <x v="519"/>
    <x v="0"/>
    <x v="1"/>
    <s v="Tienda Online"/>
    <x v="1"/>
    <n v="4"/>
    <n v="4"/>
  </r>
  <r>
    <s v="V000857"/>
    <s v="978-2-18981-709-1"/>
    <s v="Una breve historia del tiempo"/>
    <s v="Stephen Hawking"/>
    <x v="11"/>
    <n v="1.69"/>
    <n v="169"/>
    <n v="3"/>
    <n v="5.07"/>
    <x v="57"/>
    <x v="2"/>
    <x v="587"/>
    <x v="0"/>
    <x v="0"/>
    <s v="Librería Valencia Centro"/>
    <x v="0"/>
    <n v="2"/>
    <n v="2"/>
  </r>
  <r>
    <s v="V000858"/>
    <s v="978-5-19287-626-3"/>
    <s v="Coraline"/>
    <s v="Neil Gaiman"/>
    <x v="8"/>
    <n v="1.39"/>
    <n v="139"/>
    <n v="3"/>
    <n v="4.17"/>
    <x v="8"/>
    <x v="1"/>
    <x v="508"/>
    <x v="0"/>
    <x v="1"/>
    <s v="Tienda Online"/>
    <x v="3"/>
    <n v="4"/>
    <n v="4"/>
  </r>
  <r>
    <s v="V000859"/>
    <s v="978-4-93886-804-8"/>
    <s v="Guerra y paz"/>
    <s v="León Tolstói"/>
    <x v="9"/>
    <n v="27.39"/>
    <n v="2739"/>
    <n v="1"/>
    <n v="27.39"/>
    <x v="7"/>
    <x v="2"/>
    <x v="334"/>
    <x v="2"/>
    <x v="1"/>
    <s v="Tienda Online"/>
    <x v="4"/>
    <n v="2"/>
    <n v="2"/>
  </r>
  <r>
    <s v="V000860"/>
    <s v="978-3-85880-708-0"/>
    <s v="Persépolis"/>
    <s v="Marjane Satrapi"/>
    <x v="10"/>
    <n v="1.59"/>
    <n v="159"/>
    <n v="1"/>
    <n v="1.59"/>
    <x v="55"/>
    <x v="1"/>
    <x v="588"/>
    <x v="1"/>
    <x v="0"/>
    <s v="Librería Gran Vía"/>
    <x v="3"/>
    <n v="5"/>
    <n v="5"/>
  </r>
  <r>
    <s v="V000861"/>
    <s v="978-6-10282-499-4"/>
    <s v="Patria"/>
    <s v="Fernando Aramburu"/>
    <x v="3"/>
    <n v="20.89"/>
    <n v="2089"/>
    <n v="2"/>
    <n v="41.78"/>
    <x v="43"/>
    <x v="2"/>
    <x v="589"/>
    <x v="1"/>
    <x v="1"/>
    <s v="Tienda Online"/>
    <x v="1"/>
    <n v="4"/>
    <n v="4"/>
  </r>
  <r>
    <s v="V000862"/>
    <s v="978-0-22224-871-3"/>
    <s v="Un mundo sin fin"/>
    <s v="Ken Follett"/>
    <x v="16"/>
    <n v="18.32"/>
    <n v="1832"/>
    <n v="1"/>
    <n v="18.32"/>
    <x v="59"/>
    <x v="3"/>
    <x v="205"/>
    <x v="1"/>
    <x v="1"/>
    <s v="Tienda Online"/>
    <x v="3"/>
    <n v="5"/>
    <n v="5"/>
  </r>
  <r>
    <s v="V000863"/>
    <s v="978-2-58520-463-3"/>
    <s v="Sinsajo"/>
    <s v="Suzanne Collins"/>
    <x v="8"/>
    <n v="16.39"/>
    <n v="1639"/>
    <n v="2"/>
    <n v="32.78"/>
    <x v="60"/>
    <x v="2"/>
    <x v="570"/>
    <x v="1"/>
    <x v="1"/>
    <s v="Tienda Online"/>
    <x v="2"/>
    <n v="2"/>
    <n v="2"/>
  </r>
  <r>
    <s v="V000864"/>
    <s v="978-4-93748-619-9"/>
    <s v="Perdida"/>
    <s v="Gillian Flynn"/>
    <x v="1"/>
    <n v="18.149999999999999"/>
    <n v="1815"/>
    <n v="2"/>
    <n v="36.299999999999997"/>
    <x v="4"/>
    <x v="1"/>
    <x v="590"/>
    <x v="0"/>
    <x v="0"/>
    <s v="Librería Sevilla Triana"/>
    <x v="1"/>
    <n v="5"/>
    <n v="5"/>
  </r>
  <r>
    <s v="V000865"/>
    <s v="978-3-17665-693-8"/>
    <s v="La familia de Pascual Duarte"/>
    <s v="Camilo José Cela"/>
    <x v="9"/>
    <n v="1.29"/>
    <n v="129"/>
    <n v="1"/>
    <n v="1.29"/>
    <x v="30"/>
    <x v="1"/>
    <x v="68"/>
    <x v="2"/>
    <x v="1"/>
    <s v="Tienda Online"/>
    <x v="2"/>
    <n v="5"/>
    <n v="5"/>
  </r>
  <r>
    <s v="V000866"/>
    <s v="978-0-51104-158-0"/>
    <s v="Manual de cocina fácil"/>
    <s v="Karlos Arguiñano"/>
    <x v="14"/>
    <n v="16.11"/>
    <n v="1611"/>
    <n v="1"/>
    <n v="16.11"/>
    <x v="57"/>
    <x v="0"/>
    <x v="90"/>
    <x v="0"/>
    <x v="1"/>
    <s v="Tienda Online"/>
    <x v="3"/>
    <n v="4"/>
    <n v="4"/>
  </r>
  <r>
    <s v="V000867"/>
    <s v="978-9-44671-926-0"/>
    <s v="El Hobbit"/>
    <s v="J.R.R. Tolkien"/>
    <x v="2"/>
    <n v="13.52"/>
    <n v="1352"/>
    <n v="1"/>
    <n v="13.52"/>
    <x v="60"/>
    <x v="3"/>
    <x v="24"/>
    <x v="2"/>
    <x v="1"/>
    <s v="Tienda Online"/>
    <x v="3"/>
    <n v="5"/>
    <n v="5"/>
  </r>
  <r>
    <s v="V000868"/>
    <s v="978-9-72493-614-8"/>
    <s v="El chef en casa"/>
    <s v="Jamie Oliver"/>
    <x v="14"/>
    <n v="21.89"/>
    <n v="2189"/>
    <n v="2"/>
    <n v="43.78"/>
    <x v="59"/>
    <x v="1"/>
    <x v="204"/>
    <x v="1"/>
    <x v="0"/>
    <s v="Librería Sevilla Triana"/>
    <x v="0"/>
    <n v="5"/>
    <n v="5"/>
  </r>
  <r>
    <s v="V000869"/>
    <s v="978-8-31643-371-8"/>
    <s v="Hábitos atómicos"/>
    <s v="James Clear"/>
    <x v="0"/>
    <n v="19.84"/>
    <n v="1984"/>
    <n v="1"/>
    <n v="19.84"/>
    <x v="60"/>
    <x v="1"/>
    <x v="37"/>
    <x v="2"/>
    <x v="1"/>
    <s v="Tienda Online"/>
    <x v="4"/>
    <n v="1"/>
    <n v="1"/>
  </r>
  <r>
    <s v="V000870"/>
    <s v="978-3-50857-508-5"/>
    <s v="Piense y hágase rico"/>
    <s v="Napoleon Hill"/>
    <x v="5"/>
    <n v="1.39"/>
    <n v="139"/>
    <n v="1"/>
    <n v="1.39"/>
    <x v="14"/>
    <x v="0"/>
    <x v="591"/>
    <x v="0"/>
    <x v="1"/>
    <s v="Tienda Online"/>
    <x v="0"/>
    <n v="5"/>
    <n v="5"/>
  </r>
  <r>
    <s v="V000871"/>
    <s v="978-5-50306-345-0"/>
    <s v="Homo Deus"/>
    <s v="Yuval Noah Harari"/>
    <x v="15"/>
    <n v="19.71"/>
    <n v="1971"/>
    <n v="1"/>
    <n v="19.71"/>
    <x v="46"/>
    <x v="1"/>
    <x v="441"/>
    <x v="2"/>
    <x v="1"/>
    <s v="Tienda Online"/>
    <x v="2"/>
    <n v="4"/>
    <n v="4"/>
  </r>
  <r>
    <s v="V000872"/>
    <s v="978-2-63269-597-7"/>
    <s v="La chica de nieve"/>
    <s v="Javier Castillo"/>
    <x v="1"/>
    <n v="1.89"/>
    <n v="189"/>
    <n v="1"/>
    <n v="1.89"/>
    <x v="67"/>
    <x v="2"/>
    <x v="423"/>
    <x v="1"/>
    <x v="1"/>
    <s v="Tienda Online"/>
    <x v="0"/>
    <n v="3"/>
    <n v="3"/>
  </r>
  <r>
    <s v="V000873"/>
    <s v="978-1-40512-987-1"/>
    <s v="Los juegos del hambre"/>
    <s v="Suzanne Collins"/>
    <x v="8"/>
    <n v="1.49"/>
    <n v="149"/>
    <n v="3"/>
    <n v="4.47"/>
    <x v="61"/>
    <x v="2"/>
    <x v="592"/>
    <x v="1"/>
    <x v="0"/>
    <s v="Librería Sevilla Triana"/>
    <x v="2"/>
    <n v="3"/>
    <n v="3"/>
  </r>
  <r>
    <s v="V000874"/>
    <s v="978-6-22676-467-5"/>
    <s v="Choque de Reyes"/>
    <s v="George R.R. Martin"/>
    <x v="2"/>
    <n v="17.91"/>
    <n v="1791"/>
    <n v="1"/>
    <n v="17.91"/>
    <x v="22"/>
    <x v="3"/>
    <x v="593"/>
    <x v="0"/>
    <x v="0"/>
    <s v="Librería Valencia Centro"/>
    <x v="4"/>
    <n v="5"/>
    <n v="5"/>
  </r>
  <r>
    <s v="V000875"/>
    <s v="978-9-44671-926-0"/>
    <s v="El Hobbit"/>
    <s v="J.R.R. Tolkien"/>
    <x v="2"/>
    <n v="15.21"/>
    <n v="1521"/>
    <n v="2"/>
    <n v="30.42"/>
    <x v="0"/>
    <x v="2"/>
    <x v="225"/>
    <x v="1"/>
    <x v="0"/>
    <s v="Librería Central Madrid"/>
    <x v="2"/>
    <n v="3"/>
    <n v="3"/>
  </r>
  <r>
    <s v="V000876"/>
    <s v="978-6-34957-196-1"/>
    <s v="El resplandor"/>
    <s v="Stephen King"/>
    <x v="4"/>
    <n v="19.84"/>
    <n v="1984"/>
    <n v="1"/>
    <n v="19.84"/>
    <x v="51"/>
    <x v="1"/>
    <x v="439"/>
    <x v="2"/>
    <x v="1"/>
    <s v="Tienda Online"/>
    <x v="3"/>
    <n v="5"/>
    <n v="5"/>
  </r>
  <r>
    <s v="V000877"/>
    <s v="978-1-42591-296-3"/>
    <s v="Frankenstein"/>
    <s v="Mary Shelley"/>
    <x v="4"/>
    <n v="13.09"/>
    <n v="1309"/>
    <n v="1"/>
    <n v="13.09"/>
    <x v="54"/>
    <x v="2"/>
    <x v="400"/>
    <x v="2"/>
    <x v="1"/>
    <s v="Tienda Online"/>
    <x v="4"/>
    <n v="3"/>
    <n v="3"/>
  </r>
  <r>
    <s v="V000878"/>
    <s v="978-9-20745-529-9"/>
    <s v="Watchmen"/>
    <s v="Alan Moore"/>
    <x v="10"/>
    <n v="2.19"/>
    <n v="219"/>
    <n v="1"/>
    <n v="2.19"/>
    <x v="19"/>
    <x v="0"/>
    <x v="356"/>
    <x v="1"/>
    <x v="0"/>
    <s v="Librería Sevilla Triana"/>
    <x v="1"/>
    <n v="3"/>
    <n v="3"/>
  </r>
  <r>
    <s v="V000879"/>
    <s v="978-3-28131-621-7"/>
    <s v="El Aleph"/>
    <s v="Jorge Luis Borges"/>
    <x v="9"/>
    <n v="11.12"/>
    <n v="1112"/>
    <n v="1"/>
    <n v="11.12"/>
    <x v="66"/>
    <x v="3"/>
    <x v="594"/>
    <x v="1"/>
    <x v="1"/>
    <s v="Tienda Online"/>
    <x v="0"/>
    <n v="5"/>
    <n v="5"/>
  </r>
  <r>
    <s v="V000880"/>
    <s v="978-5-50306-345-0"/>
    <s v="Homo Deus"/>
    <s v="Yuval Noah Harari"/>
    <x v="15"/>
    <n v="19.71"/>
    <n v="1971"/>
    <n v="3"/>
    <n v="59.13"/>
    <x v="5"/>
    <x v="0"/>
    <x v="204"/>
    <x v="0"/>
    <x v="1"/>
    <s v="Tienda Online"/>
    <x v="1"/>
    <n v="3"/>
    <n v="3"/>
  </r>
  <r>
    <s v="V000881"/>
    <s v="978-8-36062-833-8"/>
    <s v="Crónicas marcianas"/>
    <s v="Ray Bradbury"/>
    <x v="12"/>
    <n v="1.52"/>
    <n v="152"/>
    <n v="1"/>
    <n v="1.52"/>
    <x v="55"/>
    <x v="3"/>
    <x v="595"/>
    <x v="0"/>
    <x v="1"/>
    <s v="Tienda Online"/>
    <x v="2"/>
    <n v="5"/>
    <n v="5"/>
  </r>
  <r>
    <s v="V000882"/>
    <s v="978-6-86484-508-5"/>
    <s v="Ficciones"/>
    <s v="Jorge Luis Borges"/>
    <x v="9"/>
    <n v="15.65"/>
    <n v="1565"/>
    <n v="1"/>
    <n v="15.65"/>
    <x v="2"/>
    <x v="0"/>
    <x v="86"/>
    <x v="0"/>
    <x v="0"/>
    <s v="Librería Valencia Centro"/>
    <x v="2"/>
    <n v="5"/>
    <n v="5"/>
  </r>
  <r>
    <s v="V000883"/>
    <s v="978-9-44671-926-0"/>
    <s v="El Hobbit"/>
    <s v="J.R.R. Tolkien"/>
    <x v="2"/>
    <n v="17.75"/>
    <n v="1775"/>
    <n v="1"/>
    <n v="17.75"/>
    <x v="17"/>
    <x v="0"/>
    <x v="596"/>
    <x v="2"/>
    <x v="1"/>
    <s v="Tienda Online"/>
    <x v="0"/>
    <n v="4"/>
    <n v="4"/>
  </r>
  <r>
    <s v="V000884"/>
    <s v="978-9-71953-348-7"/>
    <s v="It"/>
    <s v="Stephen King"/>
    <x v="4"/>
    <n v="24.04"/>
    <n v="2404"/>
    <n v="1"/>
    <n v="24.04"/>
    <x v="59"/>
    <x v="0"/>
    <x v="268"/>
    <x v="2"/>
    <x v="1"/>
    <s v="Tienda Online"/>
    <x v="1"/>
    <n v="5"/>
    <n v="5"/>
  </r>
  <r>
    <s v="V000885"/>
    <s v="978-2-18981-709-1"/>
    <s v="Una breve historia del tiempo"/>
    <s v="Stephen Hawking"/>
    <x v="11"/>
    <n v="17.75"/>
    <n v="1775"/>
    <n v="1"/>
    <n v="17.75"/>
    <x v="25"/>
    <x v="1"/>
    <x v="597"/>
    <x v="0"/>
    <x v="1"/>
    <s v="Tienda Online"/>
    <x v="3"/>
    <n v="3"/>
    <n v="3"/>
  </r>
  <r>
    <s v="V000886"/>
    <s v="978-3-39451-165-5"/>
    <s v="Matilda"/>
    <s v="Roald Dahl"/>
    <x v="6"/>
    <n v="1.19"/>
    <n v="119"/>
    <n v="1"/>
    <n v="1.19"/>
    <x v="62"/>
    <x v="3"/>
    <x v="598"/>
    <x v="1"/>
    <x v="1"/>
    <s v="Tienda Online"/>
    <x v="0"/>
    <n v="5"/>
    <n v="5"/>
  </r>
  <r>
    <s v="V000887"/>
    <s v="978-0-87110-667-3"/>
    <s v="Charlie y la fábrica de chocolate"/>
    <s v="Roald Dahl"/>
    <x v="6"/>
    <n v="1.19"/>
    <n v="119"/>
    <n v="4"/>
    <n v="4.76"/>
    <x v="9"/>
    <x v="1"/>
    <x v="599"/>
    <x v="0"/>
    <x v="0"/>
    <s v="Librería Barcelona Gòtic"/>
    <x v="4"/>
    <n v="4"/>
    <n v="4"/>
  </r>
  <r>
    <s v="V000888"/>
    <s v="978-3-30032-482-2"/>
    <s v="Los hombres que no amaban a las mujeres"/>
    <s v="Stieg Larsson"/>
    <x v="1"/>
    <n v="18.79"/>
    <n v="1879"/>
    <n v="1"/>
    <n v="18.79"/>
    <x v="4"/>
    <x v="3"/>
    <x v="514"/>
    <x v="2"/>
    <x v="1"/>
    <s v="Tienda Online"/>
    <x v="4"/>
    <n v="3"/>
    <n v="3"/>
  </r>
  <r>
    <s v="V000889"/>
    <s v="978-6-22676-467-5"/>
    <s v="Choque de Reyes"/>
    <s v="George R.R. Martin"/>
    <x v="2"/>
    <n v="20.89"/>
    <n v="2089"/>
    <n v="2"/>
    <n v="41.78"/>
    <x v="68"/>
    <x v="0"/>
    <x v="24"/>
    <x v="0"/>
    <x v="1"/>
    <s v="Tienda Online"/>
    <x v="0"/>
    <m/>
    <s v="Sin valoración"/>
  </r>
  <r>
    <s v="V000890"/>
    <s v="978-3-54118-204-1"/>
    <s v="Juego de Tronos"/>
    <s v="George R.R. Martin"/>
    <x v="2"/>
    <n v="21.89"/>
    <n v="2189"/>
    <n v="1"/>
    <n v="21.89"/>
    <x v="63"/>
    <x v="1"/>
    <x v="600"/>
    <x v="1"/>
    <x v="1"/>
    <s v="Tienda Online"/>
    <x v="2"/>
    <n v="3"/>
    <n v="3"/>
  </r>
  <r>
    <s v="V000891"/>
    <s v="978-1-40512-987-1"/>
    <s v="Los juegos del hambre"/>
    <s v="Suzanne Collins"/>
    <x v="8"/>
    <n v="1.49"/>
    <n v="149"/>
    <n v="2"/>
    <n v="2.98"/>
    <x v="60"/>
    <x v="2"/>
    <x v="536"/>
    <x v="2"/>
    <x v="1"/>
    <s v="Tienda Online"/>
    <x v="3"/>
    <n v="5"/>
    <n v="5"/>
  </r>
  <r>
    <s v="V000892"/>
    <s v="978-5-74042-119-1"/>
    <s v="Sapiens"/>
    <s v="Yuval Noah Harari"/>
    <x v="15"/>
    <n v="2.19"/>
    <n v="219"/>
    <n v="1"/>
    <n v="2.19"/>
    <x v="8"/>
    <x v="3"/>
    <x v="211"/>
    <x v="1"/>
    <x v="1"/>
    <s v="Tienda Online"/>
    <x v="1"/>
    <n v="5"/>
    <n v="5"/>
  </r>
  <r>
    <s v="V000893"/>
    <s v="978-3-62565-160-2"/>
    <s v="El día que se perdió la cordura"/>
    <s v="Javier Castillo"/>
    <x v="1"/>
    <n v="20.79"/>
    <n v="2079"/>
    <n v="2"/>
    <n v="41.58"/>
    <x v="4"/>
    <x v="1"/>
    <x v="410"/>
    <x v="0"/>
    <x v="0"/>
    <s v="Librería Sevilla Triana"/>
    <x v="0"/>
    <n v="5"/>
    <n v="5"/>
  </r>
  <r>
    <s v="V000894"/>
    <s v="978-1-48469-545-2"/>
    <s v="Origen"/>
    <s v="Dan Brown"/>
    <x v="1"/>
    <n v="20.89"/>
    <n v="2089"/>
    <n v="1"/>
    <n v="20.89"/>
    <x v="47"/>
    <x v="3"/>
    <x v="601"/>
    <x v="1"/>
    <x v="0"/>
    <s v="Librería Barcelona Gòtic"/>
    <x v="2"/>
    <n v="5"/>
    <n v="5"/>
  </r>
  <r>
    <s v="V000895"/>
    <s v="978-9-93227-275-8"/>
    <s v="Los hermanos Karamázov"/>
    <s v="Fiódor Dostoyevski"/>
    <x v="9"/>
    <n v="16.059999999999999"/>
    <n v="1606"/>
    <n v="1"/>
    <n v="16.059999999999999"/>
    <x v="33"/>
    <x v="0"/>
    <x v="137"/>
    <x v="1"/>
    <x v="0"/>
    <s v="Librería Sevilla Triana"/>
    <x v="3"/>
    <n v="5"/>
    <n v="5"/>
  </r>
  <r>
    <s v="V000896"/>
    <s v="978-1-16175-981-1"/>
    <s v="Pedro Páramo"/>
    <s v="Juan Rulfo"/>
    <x v="9"/>
    <n v="1.29"/>
    <n v="129"/>
    <n v="2"/>
    <n v="2.58"/>
    <x v="13"/>
    <x v="2"/>
    <x v="602"/>
    <x v="0"/>
    <x v="0"/>
    <s v="Librería Barcelona Gòtic"/>
    <x v="3"/>
    <n v="4"/>
    <n v="4"/>
  </r>
  <r>
    <s v="V000897"/>
    <s v="978-0-96673-333-4"/>
    <s v="Harry Potter y el prisionero de Azkaban"/>
    <s v="J.K. Rowling"/>
    <x v="8"/>
    <n v="1.69"/>
    <n v="169"/>
    <n v="2"/>
    <n v="3.38"/>
    <x v="61"/>
    <x v="0"/>
    <x v="603"/>
    <x v="1"/>
    <x v="1"/>
    <s v="Tienda Online"/>
    <x v="0"/>
    <n v="4"/>
    <n v="4"/>
  </r>
  <r>
    <s v="V000898"/>
    <s v="978-6-86484-508-5"/>
    <s v="Ficciones"/>
    <s v="Jorge Luis Borges"/>
    <x v="9"/>
    <n v="11.92"/>
    <n v="1192"/>
    <n v="2"/>
    <n v="23.84"/>
    <x v="0"/>
    <x v="3"/>
    <x v="98"/>
    <x v="2"/>
    <x v="1"/>
    <s v="Tienda Online"/>
    <x v="1"/>
    <n v="1"/>
    <n v="1"/>
  </r>
  <r>
    <s v="V000899"/>
    <s v="978-6-45093-167-3"/>
    <s v="Paula"/>
    <s v="Isabel Allende"/>
    <x v="13"/>
    <n v="12.72"/>
    <n v="1272"/>
    <n v="1"/>
    <n v="12.72"/>
    <x v="69"/>
    <x v="2"/>
    <x v="604"/>
    <x v="0"/>
    <x v="0"/>
    <s v="Librería Barcelona Gòtic"/>
    <x v="0"/>
    <n v="2"/>
    <n v="2"/>
  </r>
  <r>
    <s v="V000900"/>
    <s v="978-8-79514-100-9"/>
    <s v="La chica en la telaraña"/>
    <s v="David Lagercrantz"/>
    <x v="1"/>
    <n v="16.11"/>
    <n v="1611"/>
    <n v="1"/>
    <n v="16.11"/>
    <x v="13"/>
    <x v="1"/>
    <x v="605"/>
    <x v="2"/>
    <x v="1"/>
    <s v="Tienda Online"/>
    <x v="2"/>
    <m/>
    <s v="Sin valoración"/>
  </r>
  <r>
    <s v="V000901"/>
    <s v="978-2-26828-775-7"/>
    <s v="Los cuatro acuerdos"/>
    <s v="Miguel Ruiz"/>
    <x v="0"/>
    <n v="1.29"/>
    <n v="129"/>
    <n v="1"/>
    <n v="1.29"/>
    <x v="36"/>
    <x v="3"/>
    <x v="149"/>
    <x v="2"/>
    <x v="1"/>
    <s v="Tienda Online"/>
    <x v="2"/>
    <n v="5"/>
    <n v="5"/>
  </r>
  <r>
    <s v="V000902"/>
    <s v="978-4-28301-352-8"/>
    <s v="El prisionero del cielo"/>
    <s v="Carlos Ruiz Zafón"/>
    <x v="3"/>
    <n v="1.79"/>
    <n v="179"/>
    <n v="1"/>
    <n v="1.79"/>
    <x v="67"/>
    <x v="3"/>
    <x v="254"/>
    <x v="0"/>
    <x v="1"/>
    <s v="Tienda Online"/>
    <x v="1"/>
    <n v="4"/>
    <n v="4"/>
  </r>
  <r>
    <s v="V000903"/>
    <s v="978-4-97684-597-3"/>
    <s v="American Gods"/>
    <s v="Neil Gaiman"/>
    <x v="2"/>
    <n v="17.91"/>
    <n v="1791"/>
    <n v="1"/>
    <n v="17.91"/>
    <x v="66"/>
    <x v="3"/>
    <x v="361"/>
    <x v="0"/>
    <x v="1"/>
    <s v="Tienda Online"/>
    <x v="3"/>
    <n v="5"/>
    <n v="5"/>
  </r>
  <r>
    <s v="V000904"/>
    <s v="978-7-47388-533-8"/>
    <s v="Los besos"/>
    <s v="Manuel Vilas"/>
    <x v="3"/>
    <n v="19.84"/>
    <n v="1984"/>
    <n v="1"/>
    <n v="19.84"/>
    <x v="5"/>
    <x v="1"/>
    <x v="606"/>
    <x v="0"/>
    <x v="0"/>
    <s v="Librería Gran Vía"/>
    <x v="3"/>
    <n v="5"/>
    <n v="5"/>
  </r>
  <r>
    <s v="V000905"/>
    <s v="978-7-19071-878-8"/>
    <s v="El poder del ahora"/>
    <s v="Eckhart Tolle"/>
    <x v="0"/>
    <n v="13.41"/>
    <n v="1341"/>
    <n v="1"/>
    <n v="13.41"/>
    <x v="28"/>
    <x v="3"/>
    <x v="205"/>
    <x v="2"/>
    <x v="1"/>
    <s v="Tienda Online"/>
    <x v="1"/>
    <n v="5"/>
    <n v="5"/>
  </r>
  <r>
    <s v="V000906"/>
    <s v="978-7-17100-789-1"/>
    <s v="Carrie"/>
    <s v="Stephen King"/>
    <x v="4"/>
    <n v="15.65"/>
    <n v="1565"/>
    <n v="1"/>
    <n v="15.65"/>
    <x v="50"/>
    <x v="3"/>
    <x v="263"/>
    <x v="1"/>
    <x v="1"/>
    <s v="Tienda Online"/>
    <x v="4"/>
    <n v="3"/>
    <n v="3"/>
  </r>
  <r>
    <s v="V000907"/>
    <s v="978-3-39256-242-1"/>
    <s v="El amor en los tiempos del cólera"/>
    <s v="Gabriel García Márquez"/>
    <x v="3"/>
    <n v="19.25"/>
    <n v="1925"/>
    <n v="1"/>
    <n v="19.25"/>
    <x v="66"/>
    <x v="0"/>
    <x v="428"/>
    <x v="1"/>
    <x v="1"/>
    <s v="Tienda Online"/>
    <x v="1"/>
    <m/>
    <s v="Sin valoración"/>
  </r>
  <r>
    <s v="V000908"/>
    <s v="978-8-21395-704-6"/>
    <s v="1984"/>
    <s v="George Orwell"/>
    <x v="12"/>
    <n v="1.49"/>
    <n v="149"/>
    <n v="1"/>
    <n v="1.49"/>
    <x v="30"/>
    <x v="0"/>
    <x v="607"/>
    <x v="2"/>
    <x v="1"/>
    <s v="Tienda Online"/>
    <x v="3"/>
    <n v="5"/>
    <n v="5"/>
  </r>
  <r>
    <s v="V000909"/>
    <s v="978-4-99593-763-1"/>
    <s v="Crimen y castigo"/>
    <s v="Fiódor Dostoyevski"/>
    <x v="9"/>
    <n v="10.32"/>
    <n v="1032"/>
    <n v="1"/>
    <n v="10.32"/>
    <x v="27"/>
    <x v="0"/>
    <x v="608"/>
    <x v="2"/>
    <x v="1"/>
    <s v="Tienda Online"/>
    <x v="3"/>
    <n v="5"/>
    <n v="5"/>
  </r>
  <r>
    <s v="V000910"/>
    <s v="978-9-20745-529-9"/>
    <s v="Watchmen"/>
    <s v="Alan Moore"/>
    <x v="10"/>
    <n v="18.61"/>
    <n v="1861"/>
    <n v="2"/>
    <n v="37.22"/>
    <x v="39"/>
    <x v="3"/>
    <x v="609"/>
    <x v="1"/>
    <x v="0"/>
    <s v="Librería Barcelona Gòtic"/>
    <x v="1"/>
    <n v="5"/>
    <n v="5"/>
  </r>
  <r>
    <s v="V000911"/>
    <s v="978-8-11504-796-1"/>
    <s v="El código Da Vinci"/>
    <s v="Dan Brown"/>
    <x v="1"/>
    <n v="1.69"/>
    <n v="169"/>
    <n v="3"/>
    <n v="5.07"/>
    <x v="68"/>
    <x v="2"/>
    <x v="610"/>
    <x v="0"/>
    <x v="1"/>
    <s v="Tienda Online"/>
    <x v="2"/>
    <n v="5"/>
    <n v="5"/>
  </r>
  <r>
    <s v="V000912"/>
    <s v="978-2-17455-620-1"/>
    <s v="Cosmos"/>
    <s v="Carl Sagan"/>
    <x v="11"/>
    <n v="19.84"/>
    <n v="1984"/>
    <n v="2"/>
    <n v="39.68"/>
    <x v="36"/>
    <x v="0"/>
    <x v="410"/>
    <x v="1"/>
    <x v="0"/>
    <s v="Librería Valencia Centro"/>
    <x v="4"/>
    <n v="5"/>
    <n v="5"/>
  </r>
  <r>
    <s v="V000913"/>
    <s v="978-7-19071-878-8"/>
    <s v="El poder del ahora"/>
    <s v="Eckhart Tolle"/>
    <x v="0"/>
    <n v="11.92"/>
    <n v="1192"/>
    <n v="1"/>
    <n v="11.92"/>
    <x v="26"/>
    <x v="2"/>
    <x v="611"/>
    <x v="1"/>
    <x v="1"/>
    <s v="Tienda Online"/>
    <x v="2"/>
    <n v="5"/>
    <n v="5"/>
  </r>
  <r>
    <s v="V000914"/>
    <s v="978-3-99733-432-0"/>
    <s v="Don Quijote de la Mancha"/>
    <s v="Miguel de Cervantes"/>
    <x v="9"/>
    <n v="20.89"/>
    <n v="2089"/>
    <n v="1"/>
    <n v="20.89"/>
    <x v="45"/>
    <x v="3"/>
    <x v="536"/>
    <x v="1"/>
    <x v="1"/>
    <s v="Tienda Online"/>
    <x v="1"/>
    <n v="5"/>
    <n v="5"/>
  </r>
  <r>
    <s v="V000915"/>
    <s v="978-1-13278-859-4"/>
    <s v="Cien años de soledad"/>
    <s v="Gabriel García Márquez"/>
    <x v="3"/>
    <n v="20.79"/>
    <n v="2079"/>
    <n v="2"/>
    <n v="41.58"/>
    <x v="40"/>
    <x v="2"/>
    <x v="612"/>
    <x v="0"/>
    <x v="1"/>
    <s v="Tienda Online"/>
    <x v="4"/>
    <n v="5"/>
    <n v="5"/>
  </r>
  <r>
    <s v="V000916"/>
    <s v="978-7-30289-294-4"/>
    <s v="Nada"/>
    <s v="Carmen Laforet"/>
    <x v="9"/>
    <n v="12.51"/>
    <n v="1251"/>
    <n v="1"/>
    <n v="12.51"/>
    <x v="54"/>
    <x v="3"/>
    <x v="613"/>
    <x v="2"/>
    <x v="1"/>
    <s v="Tienda Online"/>
    <x v="2"/>
    <n v="5"/>
    <n v="5"/>
  </r>
  <r>
    <s v="V000917"/>
    <s v="978-2-46509-573-3"/>
    <s v="La peste"/>
    <s v="Albert Camus"/>
    <x v="9"/>
    <n v="13.41"/>
    <n v="1341"/>
    <n v="1"/>
    <n v="13.41"/>
    <x v="28"/>
    <x v="0"/>
    <x v="614"/>
    <x v="2"/>
    <x v="1"/>
    <s v="Tienda Online"/>
    <x v="1"/>
    <n v="5"/>
    <n v="5"/>
  </r>
  <r>
    <s v="V000918"/>
    <s v="978-0-87110-667-3"/>
    <s v="Charlie y la fábrica de chocolate"/>
    <s v="Roald Dahl"/>
    <x v="6"/>
    <n v="10.119999999999999"/>
    <n v="1012"/>
    <n v="1"/>
    <n v="10.119999999999999"/>
    <x v="56"/>
    <x v="0"/>
    <x v="544"/>
    <x v="0"/>
    <x v="1"/>
    <s v="Tienda Online"/>
    <x v="0"/>
    <n v="5"/>
    <n v="5"/>
  </r>
  <r>
    <s v="V000919"/>
    <s v="978-3-39451-165-5"/>
    <s v="Matilda"/>
    <s v="Roald Dahl"/>
    <x v="6"/>
    <n v="10.71"/>
    <n v="1071"/>
    <n v="2"/>
    <n v="21.42"/>
    <x v="52"/>
    <x v="3"/>
    <x v="219"/>
    <x v="0"/>
    <x v="1"/>
    <s v="Tienda Online"/>
    <x v="1"/>
    <n v="5"/>
    <n v="5"/>
  </r>
  <r>
    <s v="V000920"/>
    <s v="978-0-40007-169-0"/>
    <s v="El Principito ilustrado"/>
    <s v="Antoine de Saint-Exupéry"/>
    <x v="6"/>
    <n v="1.59"/>
    <n v="159"/>
    <n v="1"/>
    <n v="1.59"/>
    <x v="52"/>
    <x v="2"/>
    <x v="615"/>
    <x v="2"/>
    <x v="1"/>
    <s v="Tienda Online"/>
    <x v="3"/>
    <n v="3"/>
    <n v="3"/>
  </r>
  <r>
    <s v="V000921"/>
    <s v="978-4-93748-619-9"/>
    <s v="Perdida"/>
    <s v="Gillian Flynn"/>
    <x v="1"/>
    <n v="1.32"/>
    <n v="132"/>
    <n v="2"/>
    <n v="2.64"/>
    <x v="57"/>
    <x v="3"/>
    <x v="616"/>
    <x v="2"/>
    <x v="1"/>
    <s v="Tienda Online"/>
    <x v="1"/>
    <n v="4"/>
    <n v="4"/>
  </r>
  <r>
    <s v="V000922"/>
    <s v="978-1-42591-296-3"/>
    <s v="Frankenstein"/>
    <s v="Mary Shelley"/>
    <x v="4"/>
    <n v="10.119999999999999"/>
    <n v="1012"/>
    <n v="1"/>
    <n v="10.119999999999999"/>
    <x v="37"/>
    <x v="3"/>
    <x v="33"/>
    <x v="2"/>
    <x v="1"/>
    <s v="Tienda Online"/>
    <x v="1"/>
    <n v="4"/>
    <n v="4"/>
  </r>
  <r>
    <s v="V000923"/>
    <s v="978-7-10425-839-4"/>
    <s v="El paciente silencioso"/>
    <s v="Alex Michaelides"/>
    <x v="1"/>
    <n v="14.32"/>
    <n v="1432"/>
    <n v="1"/>
    <n v="14.32"/>
    <x v="13"/>
    <x v="1"/>
    <x v="600"/>
    <x v="2"/>
    <x v="1"/>
    <s v="Tienda Online"/>
    <x v="0"/>
    <n v="5"/>
    <n v="5"/>
  </r>
  <r>
    <s v="V000924"/>
    <s v="978-3-30032-482-2"/>
    <s v="Los hombres que no amaban a las mujeres"/>
    <s v="Stieg Larsson"/>
    <x v="1"/>
    <n v="14.32"/>
    <n v="1432"/>
    <n v="1"/>
    <n v="14.32"/>
    <x v="5"/>
    <x v="0"/>
    <x v="97"/>
    <x v="1"/>
    <x v="1"/>
    <s v="Tienda Online"/>
    <x v="0"/>
    <n v="4"/>
    <n v="4"/>
  </r>
  <r>
    <s v="V000925"/>
    <s v="978-9-93227-275-8"/>
    <s v="Los hermanos Karamázov"/>
    <s v="Fiódor Dostoyevski"/>
    <x v="9"/>
    <n v="1.89"/>
    <n v="189"/>
    <n v="1"/>
    <n v="1.89"/>
    <x v="2"/>
    <x v="3"/>
    <x v="617"/>
    <x v="2"/>
    <x v="1"/>
    <s v="Tienda Online"/>
    <x v="0"/>
    <m/>
    <s v="Sin valoración"/>
  </r>
  <r>
    <s v="V000926"/>
    <s v="978-2-58520-463-3"/>
    <s v="Sinsajo"/>
    <s v="Suzanne Collins"/>
    <x v="8"/>
    <n v="1.49"/>
    <n v="149"/>
    <n v="2"/>
    <n v="2.98"/>
    <x v="60"/>
    <x v="2"/>
    <x v="87"/>
    <x v="0"/>
    <x v="0"/>
    <s v="Librería Gran Vía"/>
    <x v="4"/>
    <n v="4"/>
    <n v="4"/>
  </r>
  <r>
    <s v="V000927"/>
    <s v="978-8-36062-833-8"/>
    <s v="Crónicas marcianas"/>
    <s v="Ray Bradbury"/>
    <x v="12"/>
    <n v="16.72"/>
    <n v="1672"/>
    <n v="3"/>
    <n v="50.16"/>
    <x v="51"/>
    <x v="2"/>
    <x v="618"/>
    <x v="0"/>
    <x v="1"/>
    <s v="Tienda Online"/>
    <x v="1"/>
    <n v="5"/>
    <n v="5"/>
  </r>
  <r>
    <s v="V000928"/>
    <s v="978-6-38893-559-9"/>
    <s v="Dune"/>
    <s v="Frank Herbert"/>
    <x v="12"/>
    <n v="2.29"/>
    <n v="229"/>
    <n v="1"/>
    <n v="2.29"/>
    <x v="68"/>
    <x v="2"/>
    <x v="619"/>
    <x v="1"/>
    <x v="1"/>
    <s v="Tienda Online"/>
    <x v="1"/>
    <n v="3"/>
    <n v="3"/>
  </r>
  <r>
    <s v="V000929"/>
    <s v="978-6-54597-384-2"/>
    <s v="El temor de un hombre sabio"/>
    <s v="Patrick Rothfuss"/>
    <x v="2"/>
    <n v="2.4900000000000002"/>
    <n v="249"/>
    <n v="1"/>
    <n v="2.4900000000000002"/>
    <x v="48"/>
    <x v="1"/>
    <x v="404"/>
    <x v="2"/>
    <x v="1"/>
    <s v="Tienda Online"/>
    <x v="1"/>
    <n v="5"/>
    <n v="5"/>
  </r>
  <r>
    <s v="V000930"/>
    <s v="978-4-10851-877-2"/>
    <s v="El nombre del viento"/>
    <s v="Patrick Rothfuss"/>
    <x v="2"/>
    <n v="17.52"/>
    <n v="1752"/>
    <n v="1"/>
    <n v="17.52"/>
    <x v="1"/>
    <x v="2"/>
    <x v="620"/>
    <x v="0"/>
    <x v="1"/>
    <s v="Tienda Online"/>
    <x v="3"/>
    <n v="4"/>
    <n v="4"/>
  </r>
  <r>
    <s v="V000931"/>
    <s v="978-0-62772-845-5"/>
    <s v="Drácula"/>
    <s v="Bram Stoker"/>
    <x v="4"/>
    <n v="1.29"/>
    <n v="129"/>
    <n v="2"/>
    <n v="2.58"/>
    <x v="22"/>
    <x v="1"/>
    <x v="621"/>
    <x v="0"/>
    <x v="0"/>
    <s v="Librería Central Madrid"/>
    <x v="3"/>
    <n v="4"/>
    <n v="4"/>
  </r>
  <r>
    <s v="V000932"/>
    <s v="978-6-22676-467-5"/>
    <s v="Choque de Reyes"/>
    <s v="George R.R. Martin"/>
    <x v="2"/>
    <n v="21.89"/>
    <n v="2189"/>
    <n v="1"/>
    <n v="21.89"/>
    <x v="39"/>
    <x v="2"/>
    <x v="111"/>
    <x v="2"/>
    <x v="1"/>
    <s v="Tienda Online"/>
    <x v="1"/>
    <m/>
    <s v="Sin valoración"/>
  </r>
  <r>
    <s v="V000933"/>
    <s v="978-2-92240-263-6"/>
    <s v="La casa de Bernarda Alba"/>
    <s v="Federico García Lorca"/>
    <x v="17"/>
    <n v="1.04"/>
    <n v="104"/>
    <n v="2"/>
    <n v="2.08"/>
    <x v="53"/>
    <x v="1"/>
    <x v="320"/>
    <x v="2"/>
    <x v="1"/>
    <s v="Tienda Online"/>
    <x v="4"/>
    <n v="5"/>
    <n v="5"/>
  </r>
  <r>
    <s v="V000934"/>
    <s v="978-8-33416-619-1"/>
    <s v="La chica del tren"/>
    <s v="Paula Hawkins"/>
    <x v="1"/>
    <n v="1.59"/>
    <n v="159"/>
    <n v="1"/>
    <n v="1.59"/>
    <x v="2"/>
    <x v="0"/>
    <x v="512"/>
    <x v="2"/>
    <x v="1"/>
    <s v="Tienda Online"/>
    <x v="4"/>
    <n v="5"/>
    <n v="5"/>
  </r>
  <r>
    <s v="V000935"/>
    <s v="978-1-68082-927-8"/>
    <s v="Náuseas"/>
    <s v="Jean-Paul Sartre"/>
    <x v="9"/>
    <n v="1.39"/>
    <n v="139"/>
    <n v="3"/>
    <n v="4.17"/>
    <x v="64"/>
    <x v="0"/>
    <x v="352"/>
    <x v="0"/>
    <x v="0"/>
    <s v="Librería Sevilla Triana"/>
    <x v="2"/>
    <n v="4"/>
    <n v="4"/>
  </r>
  <r>
    <s v="V000936"/>
    <s v="978-6-10282-499-4"/>
    <s v="Patria"/>
    <s v="Fernando Aramburu"/>
    <x v="3"/>
    <n v="20.89"/>
    <n v="2089"/>
    <n v="1"/>
    <n v="20.89"/>
    <x v="16"/>
    <x v="3"/>
    <x v="622"/>
    <x v="1"/>
    <x v="1"/>
    <s v="Tienda Online"/>
    <x v="3"/>
    <n v="3"/>
    <n v="3"/>
  </r>
  <r>
    <s v="V000937"/>
    <s v="978-8-27342-840-9"/>
    <s v="Stardust"/>
    <s v="Neil Gaiman"/>
    <x v="2"/>
    <n v="17.489999999999998"/>
    <n v="1749"/>
    <n v="1"/>
    <n v="17.489999999999998"/>
    <x v="39"/>
    <x v="3"/>
    <x v="623"/>
    <x v="1"/>
    <x v="0"/>
    <s v="Librería Sevilla Triana"/>
    <x v="2"/>
    <n v="5"/>
    <n v="5"/>
  </r>
  <r>
    <s v="V000938"/>
    <s v="978-0-62772-845-5"/>
    <s v="Drácula"/>
    <s v="Bram Stoker"/>
    <x v="4"/>
    <n v="13.55"/>
    <n v="1355"/>
    <n v="1"/>
    <n v="13.55"/>
    <x v="12"/>
    <x v="0"/>
    <x v="60"/>
    <x v="1"/>
    <x v="1"/>
    <s v="Tienda Online"/>
    <x v="4"/>
    <n v="5"/>
    <n v="5"/>
  </r>
  <r>
    <s v="V000939"/>
    <s v="978-6-22676-467-5"/>
    <s v="Choque de Reyes"/>
    <s v="George R.R. Martin"/>
    <x v="2"/>
    <n v="20.89"/>
    <n v="2089"/>
    <n v="3"/>
    <n v="62.67"/>
    <x v="12"/>
    <x v="0"/>
    <x v="500"/>
    <x v="1"/>
    <x v="1"/>
    <s v="Tienda Online"/>
    <x v="3"/>
    <n v="5"/>
    <n v="5"/>
  </r>
  <r>
    <s v="V000940"/>
    <s v="978-6-45093-167-3"/>
    <s v="Paula"/>
    <s v="Isabel Allende"/>
    <x v="13"/>
    <n v="1.59"/>
    <n v="159"/>
    <n v="1"/>
    <n v="1.59"/>
    <x v="6"/>
    <x v="1"/>
    <x v="624"/>
    <x v="1"/>
    <x v="0"/>
    <s v="Librería Valencia Centro"/>
    <x v="1"/>
    <n v="5"/>
    <n v="5"/>
  </r>
  <r>
    <s v="V000941"/>
    <s v="978-1-48469-545-2"/>
    <s v="Origen"/>
    <s v="Dan Brown"/>
    <x v="1"/>
    <n v="21.89"/>
    <n v="2189"/>
    <n v="1"/>
    <n v="21.89"/>
    <x v="46"/>
    <x v="1"/>
    <x v="224"/>
    <x v="2"/>
    <x v="1"/>
    <s v="Tienda Online"/>
    <x v="1"/>
    <n v="2"/>
    <n v="2"/>
  </r>
  <r>
    <s v="V000942"/>
    <s v="978-8-36062-833-8"/>
    <s v="Crónicas marcianas"/>
    <s v="Ray Bradbury"/>
    <x v="12"/>
    <n v="15.96"/>
    <n v="1596"/>
    <n v="2"/>
    <n v="31.92"/>
    <x v="42"/>
    <x v="1"/>
    <x v="625"/>
    <x v="2"/>
    <x v="1"/>
    <s v="Tienda Online"/>
    <x v="2"/>
    <n v="4"/>
    <n v="4"/>
  </r>
  <r>
    <s v="V000943"/>
    <s v="978-6-10282-499-4"/>
    <s v="Patria"/>
    <s v="Fernando Aramburu"/>
    <x v="3"/>
    <n v="1.99"/>
    <n v="199"/>
    <n v="1"/>
    <n v="1.99"/>
    <x v="45"/>
    <x v="3"/>
    <x v="525"/>
    <x v="0"/>
    <x v="0"/>
    <s v="Librería Sevilla Triana"/>
    <x v="1"/>
    <n v="5"/>
    <n v="5"/>
  </r>
  <r>
    <s v="V000944"/>
    <s v="978-7-80284-227-6"/>
    <s v="El Señor de los Anillos"/>
    <s v="J.R.R. Tolkien"/>
    <x v="2"/>
    <n v="2.99"/>
    <n v="299"/>
    <n v="3"/>
    <n v="8.9700000000000006"/>
    <x v="37"/>
    <x v="0"/>
    <x v="539"/>
    <x v="0"/>
    <x v="1"/>
    <s v="Tienda Online"/>
    <x v="1"/>
    <n v="5"/>
    <n v="5"/>
  </r>
  <r>
    <s v="V000945"/>
    <s v="978-4-97684-597-3"/>
    <s v="American Gods"/>
    <s v="Neil Gaiman"/>
    <x v="2"/>
    <n v="1.99"/>
    <n v="199"/>
    <n v="1"/>
    <n v="1.99"/>
    <x v="5"/>
    <x v="1"/>
    <x v="626"/>
    <x v="1"/>
    <x v="0"/>
    <s v="Librería Gran Vía"/>
    <x v="0"/>
    <n v="2"/>
    <n v="2"/>
  </r>
  <r>
    <s v="V000946"/>
    <s v="978-7-19071-878-8"/>
    <s v="El poder del ahora"/>
    <s v="Eckhart Tolle"/>
    <x v="0"/>
    <n v="15.65"/>
    <n v="1565"/>
    <n v="1"/>
    <n v="15.65"/>
    <x v="28"/>
    <x v="1"/>
    <x v="627"/>
    <x v="0"/>
    <x v="0"/>
    <s v="Librería Gran Vía"/>
    <x v="0"/>
    <m/>
    <s v="Sin valoración"/>
  </r>
  <r>
    <s v="V000947"/>
    <s v="978-8-11504-796-1"/>
    <s v="El código Da Vinci"/>
    <s v="Dan Brown"/>
    <x v="1"/>
    <n v="1.69"/>
    <n v="169"/>
    <n v="1"/>
    <n v="1.69"/>
    <x v="25"/>
    <x v="1"/>
    <x v="628"/>
    <x v="1"/>
    <x v="0"/>
    <s v="Librería Gran Vía"/>
    <x v="3"/>
    <n v="5"/>
    <n v="5"/>
  </r>
  <r>
    <s v="V000948"/>
    <s v="978-5-50306-345-0"/>
    <s v="Homo Deus"/>
    <s v="Yuval Noah Harari"/>
    <x v="15"/>
    <n v="24.09"/>
    <n v="2409"/>
    <n v="2"/>
    <n v="48.18"/>
    <x v="33"/>
    <x v="0"/>
    <x v="601"/>
    <x v="0"/>
    <x v="0"/>
    <s v="Librería Sevilla Triana"/>
    <x v="0"/>
    <m/>
    <s v="Sin valoración"/>
  </r>
  <r>
    <s v="V000949"/>
    <s v="978-0-62772-845-5"/>
    <s v="Drácula"/>
    <s v="Bram Stoker"/>
    <x v="4"/>
    <n v="1.29"/>
    <n v="129"/>
    <n v="1"/>
    <n v="1.29"/>
    <x v="54"/>
    <x v="0"/>
    <x v="629"/>
    <x v="2"/>
    <x v="1"/>
    <s v="Tienda Online"/>
    <x v="2"/>
    <n v="4"/>
    <n v="4"/>
  </r>
  <r>
    <s v="V000950"/>
    <s v="978-3-76237-716-0"/>
    <s v="Fahrenheit 451"/>
    <s v="Ray Bradbury"/>
    <x v="12"/>
    <n v="1.39"/>
    <n v="139"/>
    <n v="1"/>
    <n v="1.39"/>
    <x v="18"/>
    <x v="1"/>
    <x v="461"/>
    <x v="1"/>
    <x v="1"/>
    <s v="Tienda Online"/>
    <x v="4"/>
    <m/>
    <s v="Sin valoración"/>
  </r>
  <r>
    <s v="V000951"/>
    <s v="978-9-78522-423-4"/>
    <s v="Maus"/>
    <s v="Art Spiegelman"/>
    <x v="10"/>
    <n v="1.69"/>
    <n v="169"/>
    <n v="1"/>
    <n v="1.69"/>
    <x v="60"/>
    <x v="3"/>
    <x v="399"/>
    <x v="1"/>
    <x v="1"/>
    <s v="Tienda Online"/>
    <x v="4"/>
    <n v="5"/>
    <n v="5"/>
  </r>
  <r>
    <s v="V000952"/>
    <s v="978-9-20745-529-9"/>
    <s v="Watchmen"/>
    <s v="Alan Moore"/>
    <x v="10"/>
    <n v="2.19"/>
    <n v="219"/>
    <n v="3"/>
    <n v="6.57"/>
    <x v="65"/>
    <x v="1"/>
    <x v="583"/>
    <x v="1"/>
    <x v="1"/>
    <s v="Tienda Online"/>
    <x v="2"/>
    <n v="4"/>
    <n v="4"/>
  </r>
  <r>
    <s v="V000953"/>
    <s v="978-1-40512-987-1"/>
    <s v="Los juegos del hambre"/>
    <s v="Suzanne Collins"/>
    <x v="8"/>
    <n v="16.39"/>
    <n v="1639"/>
    <n v="1"/>
    <n v="16.39"/>
    <x v="58"/>
    <x v="0"/>
    <x v="217"/>
    <x v="0"/>
    <x v="0"/>
    <s v="Librería Central Madrid"/>
    <x v="1"/>
    <n v="4"/>
    <n v="4"/>
  </r>
  <r>
    <s v="V000954"/>
    <s v="978-9-78522-423-4"/>
    <s v="Maus"/>
    <s v="Art Spiegelman"/>
    <x v="10"/>
    <n v="17.75"/>
    <n v="1775"/>
    <n v="2"/>
    <n v="35.5"/>
    <x v="36"/>
    <x v="2"/>
    <x v="630"/>
    <x v="1"/>
    <x v="1"/>
    <s v="Tienda Online"/>
    <x v="3"/>
    <n v="4"/>
    <n v="4"/>
  </r>
  <r>
    <s v="V000955"/>
    <s v="978-9-93227-275-8"/>
    <s v="Los hermanos Karamázov"/>
    <s v="Fiódor Dostoyevski"/>
    <x v="9"/>
    <n v="1.89"/>
    <n v="189"/>
    <n v="1"/>
    <n v="1.89"/>
    <x v="63"/>
    <x v="2"/>
    <x v="313"/>
    <x v="0"/>
    <x v="1"/>
    <s v="Tienda Online"/>
    <x v="2"/>
    <n v="5"/>
    <n v="5"/>
  </r>
  <r>
    <s v="V000956"/>
    <s v="978-2-92240-263-6"/>
    <s v="La casa de Bernarda Alba"/>
    <s v="Federico García Lorca"/>
    <x v="17"/>
    <n v="1.04"/>
    <n v="104"/>
    <n v="2"/>
    <n v="2.08"/>
    <x v="33"/>
    <x v="0"/>
    <x v="198"/>
    <x v="2"/>
    <x v="1"/>
    <s v="Tienda Online"/>
    <x v="4"/>
    <n v="4"/>
    <n v="4"/>
  </r>
  <r>
    <s v="V000957"/>
    <s v="978-5-85674-296-1"/>
    <s v="Harry Potter y la cámara secreta"/>
    <s v="J.K. Rowling"/>
    <x v="8"/>
    <n v="12.72"/>
    <n v="1272"/>
    <n v="1"/>
    <n v="12.72"/>
    <x v="9"/>
    <x v="1"/>
    <x v="601"/>
    <x v="1"/>
    <x v="1"/>
    <s v="Tienda Online"/>
    <x v="0"/>
    <n v="3"/>
    <n v="3"/>
  </r>
  <r>
    <s v="V000958"/>
    <s v="978-8-44973-887-5"/>
    <s v="Ángeles y demonios"/>
    <s v="Dan Brown"/>
    <x v="1"/>
    <n v="1.69"/>
    <n v="169"/>
    <n v="1"/>
    <n v="1.69"/>
    <x v="32"/>
    <x v="0"/>
    <x v="631"/>
    <x v="1"/>
    <x v="0"/>
    <s v="Librería Barcelona Gòtic"/>
    <x v="1"/>
    <n v="5"/>
    <n v="5"/>
  </r>
  <r>
    <s v="V000959"/>
    <s v="978-0-22224-871-3"/>
    <s v="Un mundo sin fin"/>
    <s v="Ken Follett"/>
    <x v="16"/>
    <n v="2.29"/>
    <n v="229"/>
    <n v="1"/>
    <n v="2.29"/>
    <x v="31"/>
    <x v="1"/>
    <x v="383"/>
    <x v="2"/>
    <x v="1"/>
    <s v="Tienda Online"/>
    <x v="1"/>
    <n v="4"/>
    <n v="4"/>
  </r>
  <r>
    <s v="V000960"/>
    <s v="978-8-21395-704-6"/>
    <s v="1984"/>
    <s v="George Orwell"/>
    <x v="12"/>
    <n v="1.49"/>
    <n v="149"/>
    <n v="1"/>
    <n v="1.49"/>
    <x v="68"/>
    <x v="0"/>
    <x v="53"/>
    <x v="2"/>
    <x v="1"/>
    <s v="Tienda Online"/>
    <x v="3"/>
    <n v="4"/>
    <n v="4"/>
  </r>
  <r>
    <s v="V000961"/>
    <s v="978-5-85674-296-1"/>
    <s v="Harry Potter y la cámara secreta"/>
    <s v="J.K. Rowling"/>
    <x v="8"/>
    <n v="17.489999999999998"/>
    <n v="1749"/>
    <n v="2"/>
    <n v="34.979999999999997"/>
    <x v="35"/>
    <x v="0"/>
    <x v="45"/>
    <x v="1"/>
    <x v="1"/>
    <s v="Tienda Online"/>
    <x v="3"/>
    <n v="4"/>
    <n v="4"/>
  </r>
  <r>
    <s v="V000962"/>
    <s v="978-5-85674-296-1"/>
    <s v="Harry Potter y la cámara secreta"/>
    <s v="J.K. Rowling"/>
    <x v="8"/>
    <n v="1.59"/>
    <n v="159"/>
    <n v="1"/>
    <n v="1.59"/>
    <x v="20"/>
    <x v="1"/>
    <x v="625"/>
    <x v="1"/>
    <x v="1"/>
    <s v="Tienda Online"/>
    <x v="2"/>
    <n v="3"/>
    <n v="3"/>
  </r>
  <r>
    <s v="V000963"/>
    <s v="978-9-18326-494-6"/>
    <s v="Romancero gitano"/>
    <s v="Federico García Lorca"/>
    <x v="7"/>
    <n v="11.99"/>
    <n v="1199"/>
    <n v="1"/>
    <n v="11.99"/>
    <x v="3"/>
    <x v="2"/>
    <x v="632"/>
    <x v="1"/>
    <x v="1"/>
    <s v="Tienda Online"/>
    <x v="4"/>
    <n v="5"/>
    <n v="5"/>
  </r>
  <r>
    <s v="V000964"/>
    <s v="978-3-31417-573-6"/>
    <s v="Ana Karenina"/>
    <s v="León Tolstói"/>
    <x v="9"/>
    <n v="1.69"/>
    <n v="169"/>
    <n v="3"/>
    <n v="5.07"/>
    <x v="54"/>
    <x v="3"/>
    <x v="364"/>
    <x v="1"/>
    <x v="0"/>
    <s v="Librería Central Madrid"/>
    <x v="4"/>
    <n v="4"/>
    <n v="4"/>
  </r>
  <r>
    <s v="V000965"/>
    <s v="978-6-10282-499-4"/>
    <s v="Patria"/>
    <s v="Fernando Aramburu"/>
    <x v="3"/>
    <n v="16.91"/>
    <n v="1691"/>
    <n v="1"/>
    <n v="16.91"/>
    <x v="4"/>
    <x v="1"/>
    <x v="633"/>
    <x v="2"/>
    <x v="1"/>
    <s v="Tienda Online"/>
    <x v="1"/>
    <n v="5"/>
    <n v="5"/>
  </r>
  <r>
    <s v="V000966"/>
    <s v="978-7-47388-533-8"/>
    <s v="Los besos"/>
    <s v="Manuel Vilas"/>
    <x v="3"/>
    <n v="16.059999999999999"/>
    <n v="1606"/>
    <n v="1"/>
    <n v="16.059999999999999"/>
    <x v="10"/>
    <x v="3"/>
    <x v="463"/>
    <x v="0"/>
    <x v="0"/>
    <s v="Librería Valencia Centro"/>
    <x v="4"/>
    <n v="4"/>
    <n v="4"/>
  </r>
  <r>
    <s v="V000967"/>
    <s v="978-3-84364-180-1"/>
    <s v="21 lecciones para el siglo XXI"/>
    <s v="Yuval Noah Harari"/>
    <x v="15"/>
    <n v="1.99"/>
    <n v="199"/>
    <n v="2"/>
    <n v="3.98"/>
    <x v="0"/>
    <x v="1"/>
    <x v="451"/>
    <x v="0"/>
    <x v="1"/>
    <s v="Tienda Online"/>
    <x v="1"/>
    <n v="4"/>
    <n v="4"/>
  </r>
  <r>
    <s v="V000968"/>
    <s v="978-8-27342-840-9"/>
    <s v="Stardust"/>
    <s v="Neil Gaiman"/>
    <x v="2"/>
    <n v="1.67"/>
    <n v="167"/>
    <n v="1"/>
    <n v="1.67"/>
    <x v="27"/>
    <x v="1"/>
    <x v="76"/>
    <x v="2"/>
    <x v="1"/>
    <s v="Tienda Online"/>
    <x v="3"/>
    <n v="1"/>
    <n v="1"/>
  </r>
  <r>
    <s v="V000969"/>
    <s v="978-0-51104-158-0"/>
    <s v="Manual de cocina fácil"/>
    <s v="Karlos Arguiñano"/>
    <x v="14"/>
    <n v="1.79"/>
    <n v="179"/>
    <n v="1"/>
    <n v="1.79"/>
    <x v="48"/>
    <x v="3"/>
    <x v="634"/>
    <x v="1"/>
    <x v="0"/>
    <s v="Librería Central Madrid"/>
    <x v="3"/>
    <n v="5"/>
    <n v="5"/>
  </r>
  <r>
    <s v="V000970"/>
    <s v="978-2-18981-709-1"/>
    <s v="Una breve historia del tiempo"/>
    <s v="Stephen Hawking"/>
    <x v="11"/>
    <n v="15.21"/>
    <n v="1521"/>
    <n v="1"/>
    <n v="15.21"/>
    <x v="32"/>
    <x v="1"/>
    <x v="204"/>
    <x v="1"/>
    <x v="1"/>
    <s v="Tienda Online"/>
    <x v="1"/>
    <n v="5"/>
    <n v="5"/>
  </r>
  <r>
    <s v="V000971"/>
    <s v="978-9-71348-641-4"/>
    <s v="Veinte poemas de amor"/>
    <s v="Pablo Neruda"/>
    <x v="7"/>
    <n v="8.91"/>
    <n v="891"/>
    <n v="1"/>
    <n v="8.91"/>
    <x v="57"/>
    <x v="0"/>
    <x v="139"/>
    <x v="1"/>
    <x v="0"/>
    <s v="Librería Central Madrid"/>
    <x v="3"/>
    <n v="5"/>
    <n v="5"/>
  </r>
  <r>
    <s v="V000972"/>
    <s v="978-4-93748-619-9"/>
    <s v="Perdida"/>
    <s v="Gillian Flynn"/>
    <x v="1"/>
    <n v="1.65"/>
    <n v="165"/>
    <n v="1"/>
    <n v="1.65"/>
    <x v="45"/>
    <x v="2"/>
    <x v="260"/>
    <x v="0"/>
    <x v="1"/>
    <s v="Tienda Online"/>
    <x v="1"/>
    <n v="5"/>
    <n v="5"/>
  </r>
  <r>
    <s v="V000973"/>
    <s v="978-0-51104-158-0"/>
    <s v="Manual de cocina fácil"/>
    <s v="Karlos Arguiñano"/>
    <x v="14"/>
    <n v="1.79"/>
    <n v="179"/>
    <n v="1"/>
    <n v="1.79"/>
    <x v="48"/>
    <x v="3"/>
    <x v="258"/>
    <x v="2"/>
    <x v="1"/>
    <s v="Tienda Online"/>
    <x v="1"/>
    <m/>
    <s v="Sin valoración"/>
  </r>
  <r>
    <s v="V000974"/>
    <s v="978-3-85880-708-0"/>
    <s v="Persépolis"/>
    <s v="Marjane Satrapi"/>
    <x v="10"/>
    <n v="1.59"/>
    <n v="159"/>
    <n v="1"/>
    <n v="1.59"/>
    <x v="51"/>
    <x v="0"/>
    <x v="635"/>
    <x v="0"/>
    <x v="1"/>
    <s v="Tienda Online"/>
    <x v="2"/>
    <n v="5"/>
    <n v="5"/>
  </r>
  <r>
    <s v="V000975"/>
    <s v="978-5-85674-296-1"/>
    <s v="Harry Potter y la cámara secreta"/>
    <s v="J.K. Rowling"/>
    <x v="8"/>
    <n v="17.489999999999998"/>
    <n v="1749"/>
    <n v="1"/>
    <n v="17.489999999999998"/>
    <x v="58"/>
    <x v="0"/>
    <x v="636"/>
    <x v="2"/>
    <x v="1"/>
    <s v="Tienda Online"/>
    <x v="1"/>
    <n v="4"/>
    <n v="4"/>
  </r>
  <r>
    <s v="V000976"/>
    <s v="978-7-77839-562-1"/>
    <s v="El principito"/>
    <s v="Antoine de Saint-Exupéry"/>
    <x v="6"/>
    <n v="0.99"/>
    <n v="99"/>
    <n v="1"/>
    <n v="0.99"/>
    <x v="24"/>
    <x v="2"/>
    <x v="637"/>
    <x v="0"/>
    <x v="0"/>
    <s v="Librería Sevilla Triana"/>
    <x v="0"/>
    <n v="5"/>
    <n v="5"/>
  </r>
  <r>
    <s v="V000977"/>
    <s v="978-6-94259-569-2"/>
    <s v="El juego del ángel"/>
    <s v="Carlos Ruiz Zafón"/>
    <x v="3"/>
    <n v="1.85"/>
    <n v="185"/>
    <n v="1"/>
    <n v="1.85"/>
    <x v="27"/>
    <x v="3"/>
    <x v="554"/>
    <x v="1"/>
    <x v="1"/>
    <s v="Tienda Online"/>
    <x v="4"/>
    <n v="5"/>
    <n v="5"/>
  </r>
  <r>
    <s v="V000978"/>
    <s v="978-2-18981-709-1"/>
    <s v="Una breve historia del tiempo"/>
    <s v="Stephen Hawking"/>
    <x v="11"/>
    <n v="1.69"/>
    <n v="169"/>
    <n v="2"/>
    <n v="3.38"/>
    <x v="19"/>
    <x v="1"/>
    <x v="638"/>
    <x v="0"/>
    <x v="1"/>
    <s v="Tienda Online"/>
    <x v="3"/>
    <n v="5"/>
    <n v="5"/>
  </r>
  <r>
    <s v="V000979"/>
    <s v="978-5-74042-119-1"/>
    <s v="Sapiens"/>
    <s v="Yuval Noah Harari"/>
    <x v="15"/>
    <n v="2.2999999999999998"/>
    <n v="230"/>
    <n v="2"/>
    <n v="4.5999999999999996"/>
    <x v="48"/>
    <x v="2"/>
    <x v="167"/>
    <x v="1"/>
    <x v="1"/>
    <s v="Tienda Online"/>
    <x v="2"/>
    <n v="5"/>
    <n v="5"/>
  </r>
  <r>
    <s v="V000980"/>
    <s v="978-9-20745-529-9"/>
    <s v="Watchmen"/>
    <s v="Alan Moore"/>
    <x v="10"/>
    <n v="17.52"/>
    <n v="1752"/>
    <n v="2"/>
    <n v="35.04"/>
    <x v="68"/>
    <x v="2"/>
    <x v="639"/>
    <x v="1"/>
    <x v="0"/>
    <s v="Librería Sevilla Triana"/>
    <x v="1"/>
    <n v="5"/>
    <n v="5"/>
  </r>
  <r>
    <s v="V000981"/>
    <s v="978-5-19287-626-3"/>
    <s v="Coraline"/>
    <s v="Neil Gaiman"/>
    <x v="8"/>
    <n v="15.29"/>
    <n v="1529"/>
    <n v="1"/>
    <n v="15.29"/>
    <x v="20"/>
    <x v="3"/>
    <x v="603"/>
    <x v="1"/>
    <x v="0"/>
    <s v="Librería Gran Vía"/>
    <x v="2"/>
    <n v="4"/>
    <n v="4"/>
  </r>
  <r>
    <s v="V000982"/>
    <s v="978-6-10282-499-4"/>
    <s v="Patria"/>
    <s v="Fernando Aramburu"/>
    <x v="3"/>
    <n v="20.89"/>
    <n v="2089"/>
    <n v="1"/>
    <n v="20.89"/>
    <x v="67"/>
    <x v="3"/>
    <x v="3"/>
    <x v="2"/>
    <x v="1"/>
    <s v="Tienda Online"/>
    <x v="1"/>
    <n v="4"/>
    <n v="4"/>
  </r>
  <r>
    <s v="V000983"/>
    <s v="978-1-40512-987-1"/>
    <s v="Los juegos del hambre"/>
    <s v="Suzanne Collins"/>
    <x v="8"/>
    <n v="13.41"/>
    <n v="1341"/>
    <n v="1"/>
    <n v="13.41"/>
    <x v="34"/>
    <x v="2"/>
    <x v="640"/>
    <x v="0"/>
    <x v="1"/>
    <s v="Tienda Online"/>
    <x v="0"/>
    <n v="5"/>
    <n v="5"/>
  </r>
  <r>
    <s v="V000984"/>
    <s v="978-7-19071-878-8"/>
    <s v="El poder del ahora"/>
    <s v="Eckhart Tolle"/>
    <x v="0"/>
    <n v="16.39"/>
    <n v="1639"/>
    <n v="2"/>
    <n v="32.78"/>
    <x v="34"/>
    <x v="1"/>
    <x v="469"/>
    <x v="0"/>
    <x v="1"/>
    <s v="Tienda Online"/>
    <x v="1"/>
    <n v="3"/>
    <n v="3"/>
  </r>
  <r>
    <s v="V000985"/>
    <s v="978-9-44671-926-0"/>
    <s v="El Hobbit"/>
    <s v="J.R.R. Tolkien"/>
    <x v="2"/>
    <n v="1.69"/>
    <n v="169"/>
    <n v="1"/>
    <n v="1.69"/>
    <x v="8"/>
    <x v="0"/>
    <x v="641"/>
    <x v="0"/>
    <x v="1"/>
    <s v="Tienda Online"/>
    <x v="1"/>
    <n v="4"/>
    <n v="4"/>
  </r>
  <r>
    <s v="V000986"/>
    <s v="978-4-10851-877-2"/>
    <s v="El nombre del viento"/>
    <s v="Patrick Rothfuss"/>
    <x v="2"/>
    <n v="19.71"/>
    <n v="1971"/>
    <n v="1"/>
    <n v="19.71"/>
    <x v="49"/>
    <x v="3"/>
    <x v="642"/>
    <x v="2"/>
    <x v="1"/>
    <s v="Tienda Online"/>
    <x v="0"/>
    <n v="5"/>
    <n v="5"/>
  </r>
  <r>
    <s v="V000987"/>
    <s v="978-1-13278-859-4"/>
    <s v="Cien años de soledad"/>
    <s v="Gabriel García Márquez"/>
    <x v="3"/>
    <n v="1.89"/>
    <n v="189"/>
    <n v="4"/>
    <n v="7.56"/>
    <x v="64"/>
    <x v="0"/>
    <x v="257"/>
    <x v="2"/>
    <x v="1"/>
    <s v="Tienda Online"/>
    <x v="4"/>
    <n v="5"/>
    <n v="5"/>
  </r>
  <r>
    <s v="V000988"/>
    <s v="978-2-63269-597-7"/>
    <s v="La chica de nieve"/>
    <s v="Javier Castillo"/>
    <x v="1"/>
    <n v="1.89"/>
    <n v="189"/>
    <n v="1"/>
    <n v="1.89"/>
    <x v="42"/>
    <x v="3"/>
    <x v="643"/>
    <x v="1"/>
    <x v="1"/>
    <s v="Tienda Online"/>
    <x v="4"/>
    <n v="4"/>
    <n v="4"/>
  </r>
  <r>
    <s v="V000989"/>
    <s v="978-0-13905-195-3"/>
    <s v="Rebelión en la granja"/>
    <s v="George Orwell"/>
    <x v="3"/>
    <n v="1"/>
    <n v="100"/>
    <n v="2"/>
    <n v="2"/>
    <x v="69"/>
    <x v="3"/>
    <x v="549"/>
    <x v="1"/>
    <x v="0"/>
    <s v="Librería Barcelona Gòtic"/>
    <x v="3"/>
    <n v="3"/>
    <n v="3"/>
  </r>
  <r>
    <s v="V000990"/>
    <s v="978-7-80284-227-6"/>
    <s v="El Señor de los Anillos"/>
    <s v="J.R.R. Tolkien"/>
    <x v="2"/>
    <n v="23.92"/>
    <n v="2392"/>
    <n v="1"/>
    <n v="23.92"/>
    <x v="60"/>
    <x v="1"/>
    <x v="305"/>
    <x v="1"/>
    <x v="0"/>
    <s v="Librería Central Madrid"/>
    <x v="1"/>
    <n v="3"/>
    <n v="3"/>
  </r>
  <r>
    <s v="V000991"/>
    <s v="978-7-10425-839-4"/>
    <s v="El paciente silencioso"/>
    <s v="Alex Michaelides"/>
    <x v="1"/>
    <n v="14.32"/>
    <n v="1432"/>
    <n v="1"/>
    <n v="14.32"/>
    <x v="25"/>
    <x v="0"/>
    <x v="529"/>
    <x v="2"/>
    <x v="1"/>
    <s v="Tienda Online"/>
    <x v="3"/>
    <n v="5"/>
    <n v="5"/>
  </r>
  <r>
    <s v="V000992"/>
    <s v="978-8-33416-619-1"/>
    <s v="La chica del tren"/>
    <s v="Paula Hawkins"/>
    <x v="1"/>
    <n v="1.59"/>
    <n v="159"/>
    <n v="2"/>
    <n v="3.18"/>
    <x v="3"/>
    <x v="3"/>
    <x v="644"/>
    <x v="1"/>
    <x v="0"/>
    <s v="Librería Gran Vía"/>
    <x v="0"/>
    <n v="4"/>
    <n v="4"/>
  </r>
  <r>
    <s v="V000993"/>
    <s v="978-7-80284-227-6"/>
    <s v="El Señor de los Anillos"/>
    <s v="J.R.R. Tolkien"/>
    <x v="2"/>
    <n v="2.99"/>
    <n v="299"/>
    <n v="1"/>
    <n v="2.99"/>
    <x v="0"/>
    <x v="1"/>
    <x v="66"/>
    <x v="2"/>
    <x v="1"/>
    <s v="Tienda Online"/>
    <x v="1"/>
    <n v="5"/>
    <n v="5"/>
  </r>
  <r>
    <s v="V000994"/>
    <s v="978-1-16175-981-1"/>
    <s v="Pedro Páramo"/>
    <s v="Juan Rulfo"/>
    <x v="9"/>
    <n v="10.32"/>
    <n v="1032"/>
    <n v="1"/>
    <n v="10.32"/>
    <x v="32"/>
    <x v="2"/>
    <x v="645"/>
    <x v="0"/>
    <x v="0"/>
    <s v="Librería Sevilla Triana"/>
    <x v="4"/>
    <n v="5"/>
    <n v="5"/>
  </r>
  <r>
    <s v="V000995"/>
    <s v="978-8-31643-371-8"/>
    <s v="Hábitos atómicos"/>
    <s v="James Clear"/>
    <x v="0"/>
    <n v="19.84"/>
    <n v="1984"/>
    <n v="2"/>
    <n v="39.68"/>
    <x v="68"/>
    <x v="0"/>
    <x v="589"/>
    <x v="2"/>
    <x v="1"/>
    <s v="Tienda Online"/>
    <x v="3"/>
    <n v="4"/>
    <n v="4"/>
  </r>
  <r>
    <s v="V000996"/>
    <s v="978-6-94259-569-2"/>
    <s v="El juego del ángel"/>
    <s v="Carlos Ruiz Zafón"/>
    <x v="3"/>
    <n v="1.85"/>
    <n v="185"/>
    <n v="1"/>
    <n v="1.85"/>
    <x v="60"/>
    <x v="3"/>
    <x v="646"/>
    <x v="0"/>
    <x v="1"/>
    <s v="Tienda Online"/>
    <x v="0"/>
    <n v="3"/>
    <n v="3"/>
  </r>
  <r>
    <s v="V000997"/>
    <s v="978-3-31417-573-6"/>
    <s v="Ana Karenina"/>
    <s v="León Tolstói"/>
    <x v="9"/>
    <n v="1.69"/>
    <n v="169"/>
    <n v="1"/>
    <n v="1.69"/>
    <x v="18"/>
    <x v="1"/>
    <x v="647"/>
    <x v="2"/>
    <x v="1"/>
    <s v="Tienda Online"/>
    <x v="3"/>
    <n v="3"/>
    <n v="3"/>
  </r>
  <r>
    <s v="V000998"/>
    <s v="978-6-34957-196-1"/>
    <s v="El resplandor"/>
    <s v="Stephen King"/>
    <x v="4"/>
    <n v="19.84"/>
    <n v="1984"/>
    <n v="1"/>
    <n v="19.84"/>
    <x v="70"/>
    <x v="1"/>
    <x v="648"/>
    <x v="2"/>
    <x v="1"/>
    <s v="Tienda Online"/>
    <x v="1"/>
    <n v="5"/>
    <n v="5"/>
  </r>
  <r>
    <s v="V000999"/>
    <s v="978-6-38893-559-9"/>
    <s v="Dune"/>
    <s v="Frank Herbert"/>
    <x v="12"/>
    <n v="25.19"/>
    <n v="2519"/>
    <n v="1"/>
    <n v="25.19"/>
    <x v="63"/>
    <x v="1"/>
    <x v="649"/>
    <x v="1"/>
    <x v="1"/>
    <s v="Tienda Online"/>
    <x v="3"/>
    <n v="5"/>
    <n v="5"/>
  </r>
  <r>
    <s v="V001000"/>
    <s v="978-3-17665-693-8"/>
    <s v="La familia de Pascual Duarte"/>
    <s v="Camilo José Cela"/>
    <x v="9"/>
    <n v="10.96"/>
    <n v="1096"/>
    <n v="1"/>
    <n v="10.96"/>
    <x v="48"/>
    <x v="2"/>
    <x v="598"/>
    <x v="0"/>
    <x v="0"/>
    <s v="Librería Central Madrid"/>
    <x v="4"/>
    <m/>
    <s v="Sin valoración"/>
  </r>
  <r>
    <s v="V001001"/>
    <s v="978-5-19287-626-3"/>
    <s v="Coraline"/>
    <s v="Neil Gaiman"/>
    <x v="8"/>
    <n v="11.81"/>
    <n v="1181"/>
    <n v="1"/>
    <n v="11.81"/>
    <x v="8"/>
    <x v="0"/>
    <x v="504"/>
    <x v="2"/>
    <x v="1"/>
    <s v="Tienda Online"/>
    <x v="0"/>
    <n v="4"/>
    <n v="4"/>
  </r>
  <r>
    <s v="V001002"/>
    <s v="978-2-26828-775-7"/>
    <s v="Los cuatro acuerdos"/>
    <s v="Miguel Ruiz"/>
    <x v="0"/>
    <n v="10.32"/>
    <n v="1032"/>
    <n v="2"/>
    <n v="20.64"/>
    <x v="1"/>
    <x v="3"/>
    <x v="554"/>
    <x v="0"/>
    <x v="1"/>
    <s v="Tienda Online"/>
    <x v="3"/>
    <n v="5"/>
    <n v="5"/>
  </r>
  <r>
    <s v="V001003"/>
    <s v="978-1-16175-981-1"/>
    <s v="Pedro Páramo"/>
    <s v="Juan Rulfo"/>
    <x v="9"/>
    <n v="1.29"/>
    <n v="129"/>
    <n v="1"/>
    <n v="1.29"/>
    <x v="47"/>
    <x v="1"/>
    <x v="466"/>
    <x v="0"/>
    <x v="0"/>
    <s v="Librería Sevilla Triana"/>
    <x v="1"/>
    <n v="4"/>
    <n v="4"/>
  </r>
  <r>
    <s v="V001004"/>
    <s v="978-6-46434-564-5"/>
    <s v="En llamas"/>
    <s v="Suzanne Collins"/>
    <x v="8"/>
    <n v="12.66"/>
    <n v="1266"/>
    <n v="1"/>
    <n v="12.66"/>
    <x v="61"/>
    <x v="3"/>
    <x v="650"/>
    <x v="2"/>
    <x v="1"/>
    <s v="Tienda Online"/>
    <x v="1"/>
    <n v="4"/>
    <n v="4"/>
  </r>
  <r>
    <s v="V001005"/>
    <s v="978-0-40007-169-0"/>
    <s v="El Principito ilustrado"/>
    <s v="Antoine de Saint-Exupéry"/>
    <x v="6"/>
    <n v="1.59"/>
    <n v="159"/>
    <n v="2"/>
    <n v="3.18"/>
    <x v="61"/>
    <x v="1"/>
    <x v="651"/>
    <x v="1"/>
    <x v="1"/>
    <s v="Tienda Online"/>
    <x v="1"/>
    <n v="5"/>
    <n v="5"/>
  </r>
  <r>
    <s v="V001006"/>
    <s v="978-6-94259-569-2"/>
    <s v="El juego del ángel"/>
    <s v="Carlos Ruiz Zafón"/>
    <x v="3"/>
    <n v="1.48"/>
    <n v="148"/>
    <n v="1"/>
    <n v="1.48"/>
    <x v="59"/>
    <x v="3"/>
    <x v="175"/>
    <x v="0"/>
    <x v="1"/>
    <s v="Tienda Online"/>
    <x v="3"/>
    <n v="5"/>
    <n v="5"/>
  </r>
  <r>
    <s v="V001007"/>
    <s v="978-3-28131-621-7"/>
    <s v="El Aleph"/>
    <s v="Jorge Luis Borges"/>
    <x v="9"/>
    <n v="11.12"/>
    <n v="1112"/>
    <n v="1"/>
    <n v="11.12"/>
    <x v="26"/>
    <x v="1"/>
    <x v="652"/>
    <x v="1"/>
    <x v="1"/>
    <s v="Tienda Online"/>
    <x v="4"/>
    <n v="3"/>
    <n v="3"/>
  </r>
  <r>
    <s v="V001008"/>
    <s v="978-9-71348-641-4"/>
    <s v="Veinte poemas de amor"/>
    <s v="Pablo Neruda"/>
    <x v="7"/>
    <n v="0.99"/>
    <n v="99"/>
    <n v="2"/>
    <n v="1.98"/>
    <x v="49"/>
    <x v="2"/>
    <x v="461"/>
    <x v="0"/>
    <x v="0"/>
    <s v="Librería Barcelona Gòtic"/>
    <x v="1"/>
    <n v="4"/>
    <n v="4"/>
  </r>
  <r>
    <s v="V001009"/>
    <s v="978-2-26828-775-7"/>
    <s v="Los cuatro acuerdos"/>
    <s v="Miguel Ruiz"/>
    <x v="0"/>
    <n v="1.29"/>
    <n v="129"/>
    <n v="4"/>
    <n v="5.16"/>
    <x v="22"/>
    <x v="2"/>
    <x v="653"/>
    <x v="1"/>
    <x v="1"/>
    <s v="Tienda Online"/>
    <x v="2"/>
    <n v="3"/>
    <n v="3"/>
  </r>
  <r>
    <s v="V001010"/>
    <s v="978-8-27342-840-9"/>
    <s v="Stardust"/>
    <s v="Neil Gaiman"/>
    <x v="2"/>
    <n v="1.59"/>
    <n v="159"/>
    <n v="3"/>
    <n v="4.7700000000000005"/>
    <x v="34"/>
    <x v="0"/>
    <x v="654"/>
    <x v="2"/>
    <x v="1"/>
    <s v="Tienda Online"/>
    <x v="2"/>
    <m/>
    <s v="Sin valoración"/>
  </r>
  <r>
    <s v="V001011"/>
    <s v="978-6-54597-384-2"/>
    <s v="El temor de un hombre sabio"/>
    <s v="Patrick Rothfuss"/>
    <x v="2"/>
    <n v="2.4900000000000002"/>
    <n v="249"/>
    <n v="1"/>
    <n v="2.4900000000000002"/>
    <x v="48"/>
    <x v="0"/>
    <x v="655"/>
    <x v="0"/>
    <x v="1"/>
    <s v="Tienda Online"/>
    <x v="1"/>
    <n v="4"/>
    <n v="4"/>
  </r>
  <r>
    <s v="V001012"/>
    <s v="978-8-31643-371-8"/>
    <s v="Hábitos atómicos"/>
    <s v="James Clear"/>
    <x v="0"/>
    <n v="19.84"/>
    <n v="1984"/>
    <n v="1"/>
    <n v="19.84"/>
    <x v="51"/>
    <x v="0"/>
    <x v="298"/>
    <x v="1"/>
    <x v="1"/>
    <s v="Tienda Online"/>
    <x v="4"/>
    <n v="5"/>
    <n v="5"/>
  </r>
  <r>
    <s v="V001013"/>
    <s v="978-6-22676-467-5"/>
    <s v="Choque de Reyes"/>
    <s v="George R.R. Martin"/>
    <x v="2"/>
    <n v="21.89"/>
    <n v="2189"/>
    <n v="1"/>
    <n v="21.89"/>
    <x v="33"/>
    <x v="1"/>
    <x v="656"/>
    <x v="1"/>
    <x v="0"/>
    <s v="Librería Central Madrid"/>
    <x v="1"/>
    <n v="5"/>
    <n v="5"/>
  </r>
  <r>
    <s v="V001014"/>
    <s v="978-0-62772-845-5"/>
    <s v="Drácula"/>
    <s v="Bram Stoker"/>
    <x v="4"/>
    <n v="14.19"/>
    <n v="1419"/>
    <n v="2"/>
    <n v="28.38"/>
    <x v="17"/>
    <x v="1"/>
    <x v="636"/>
    <x v="0"/>
    <x v="1"/>
    <s v="Tienda Online"/>
    <x v="3"/>
    <m/>
    <s v="Sin valoración"/>
  </r>
  <r>
    <s v="V001015"/>
    <s v="978-2-63269-597-7"/>
    <s v="La chica de nieve"/>
    <s v="Javier Castillo"/>
    <x v="1"/>
    <n v="16.059999999999999"/>
    <n v="1606"/>
    <n v="1"/>
    <n v="16.059999999999999"/>
    <x v="59"/>
    <x v="2"/>
    <x v="657"/>
    <x v="0"/>
    <x v="0"/>
    <s v="Librería Sevilla Triana"/>
    <x v="3"/>
    <n v="5"/>
    <n v="5"/>
  </r>
  <r>
    <s v="V001016"/>
    <s v="978-9-78522-423-4"/>
    <s v="Maus"/>
    <s v="Art Spiegelman"/>
    <x v="10"/>
    <n v="13.52"/>
    <n v="1352"/>
    <n v="1"/>
    <n v="13.52"/>
    <x v="38"/>
    <x v="3"/>
    <x v="658"/>
    <x v="1"/>
    <x v="1"/>
    <s v="Tienda Online"/>
    <x v="2"/>
    <n v="3"/>
    <n v="3"/>
  </r>
  <r>
    <s v="V001017"/>
    <s v="978-3-84364-180-1"/>
    <s v="21 lecciones para el siglo XXI"/>
    <s v="Yuval Noah Harari"/>
    <x v="15"/>
    <n v="1.99"/>
    <n v="199"/>
    <n v="1"/>
    <n v="1.99"/>
    <x v="64"/>
    <x v="1"/>
    <x v="411"/>
    <x v="1"/>
    <x v="1"/>
    <s v="Tienda Online"/>
    <x v="4"/>
    <n v="5"/>
    <n v="5"/>
  </r>
  <r>
    <s v="V001018"/>
    <s v="978-3-17665-693-8"/>
    <s v="La familia de Pascual Duarte"/>
    <s v="Camilo José Cela"/>
    <x v="9"/>
    <n v="14.19"/>
    <n v="1419"/>
    <n v="2"/>
    <n v="28.38"/>
    <x v="37"/>
    <x v="3"/>
    <x v="257"/>
    <x v="2"/>
    <x v="1"/>
    <s v="Tienda Online"/>
    <x v="3"/>
    <n v="4"/>
    <n v="4"/>
  </r>
  <r>
    <s v="V001019"/>
    <s v="978-2-58520-463-3"/>
    <s v="Sinsajo"/>
    <s v="Suzanne Collins"/>
    <x v="8"/>
    <n v="12.66"/>
    <n v="1266"/>
    <n v="1"/>
    <n v="12.66"/>
    <x v="61"/>
    <x v="2"/>
    <x v="523"/>
    <x v="0"/>
    <x v="1"/>
    <s v="Tienda Online"/>
    <x v="0"/>
    <n v="4"/>
    <n v="4"/>
  </r>
  <r>
    <s v="V001020"/>
    <s v="978-1-40512-987-1"/>
    <s v="Los juegos del hambre"/>
    <s v="Suzanne Collins"/>
    <x v="8"/>
    <n v="15.65"/>
    <n v="1565"/>
    <n v="3"/>
    <n v="46.95"/>
    <x v="29"/>
    <x v="3"/>
    <x v="23"/>
    <x v="1"/>
    <x v="1"/>
    <s v="Tienda Online"/>
    <x v="2"/>
    <n v="5"/>
    <n v="5"/>
  </r>
  <r>
    <s v="V001021"/>
    <s v="978-1-13278-859-4"/>
    <s v="Cien años de soledad"/>
    <s v="Gabriel García Márquez"/>
    <x v="3"/>
    <n v="17.010000000000002"/>
    <n v="1701"/>
    <n v="1"/>
    <n v="17.010000000000002"/>
    <x v="54"/>
    <x v="0"/>
    <x v="313"/>
    <x v="2"/>
    <x v="1"/>
    <s v="Tienda Online"/>
    <x v="4"/>
    <m/>
    <s v="Sin valoración"/>
  </r>
  <r>
    <s v="V001022"/>
    <s v="978-8-44973-887-5"/>
    <s v="Ángeles y demonios"/>
    <s v="Dan Brown"/>
    <x v="1"/>
    <n v="1.69"/>
    <n v="169"/>
    <n v="1"/>
    <n v="1.69"/>
    <x v="50"/>
    <x v="0"/>
    <x v="659"/>
    <x v="0"/>
    <x v="0"/>
    <s v="Librería Valencia Centro"/>
    <x v="3"/>
    <n v="5"/>
    <n v="5"/>
  </r>
  <r>
    <s v="V001023"/>
    <s v="978-3-14207-924-5"/>
    <s v="La casa de los espíritus"/>
    <s v="Isabel Allende"/>
    <x v="3"/>
    <n v="16.11"/>
    <n v="1611"/>
    <n v="1"/>
    <n v="16.11"/>
    <x v="34"/>
    <x v="1"/>
    <x v="82"/>
    <x v="0"/>
    <x v="1"/>
    <s v="Tienda Online"/>
    <x v="2"/>
    <n v="4"/>
    <n v="4"/>
  </r>
  <r>
    <s v="V001024"/>
    <s v="978-2-17455-620-1"/>
    <s v="Cosmos"/>
    <s v="Carl Sagan"/>
    <x v="11"/>
    <n v="20.79"/>
    <n v="2079"/>
    <n v="3"/>
    <n v="62.37"/>
    <x v="26"/>
    <x v="2"/>
    <x v="660"/>
    <x v="2"/>
    <x v="1"/>
    <s v="Tienda Online"/>
    <x v="4"/>
    <n v="4"/>
    <n v="4"/>
  </r>
  <r>
    <s v="V001025"/>
    <s v="978-0-40007-169-0"/>
    <s v="El Principito ilustrado"/>
    <s v="Antoine de Saint-Exupéry"/>
    <x v="6"/>
    <n v="13.52"/>
    <n v="1352"/>
    <n v="1"/>
    <n v="13.52"/>
    <x v="58"/>
    <x v="0"/>
    <x v="661"/>
    <x v="0"/>
    <x v="0"/>
    <s v="Librería Gran Vía"/>
    <x v="1"/>
    <m/>
    <s v="Sin valoración"/>
  </r>
  <r>
    <s v="V001026"/>
    <s v="978-4-28301-352-8"/>
    <s v="El prisionero del cielo"/>
    <s v="Carlos Ruiz Zafón"/>
    <x v="3"/>
    <n v="1.79"/>
    <n v="179"/>
    <n v="1"/>
    <n v="1.79"/>
    <x v="47"/>
    <x v="3"/>
    <x v="662"/>
    <x v="2"/>
    <x v="1"/>
    <s v="Tienda Online"/>
    <x v="0"/>
    <n v="4"/>
    <n v="4"/>
  </r>
  <r>
    <s v="V001027"/>
    <s v="978-2-63269-597-7"/>
    <s v="La chica de nieve"/>
    <s v="Javier Castillo"/>
    <x v="1"/>
    <n v="1.89"/>
    <n v="189"/>
    <n v="1"/>
    <n v="1.89"/>
    <x v="51"/>
    <x v="1"/>
    <x v="588"/>
    <x v="0"/>
    <x v="0"/>
    <s v="Librería Barcelona Gòtic"/>
    <x v="1"/>
    <n v="3"/>
    <n v="3"/>
  </r>
  <r>
    <s v="V001028"/>
    <s v="978-5-50306-345-0"/>
    <s v="Homo Deus"/>
    <s v="Yuval Noah Harari"/>
    <x v="15"/>
    <n v="2.19"/>
    <n v="219"/>
    <n v="1"/>
    <n v="2.19"/>
    <x v="27"/>
    <x v="0"/>
    <x v="663"/>
    <x v="1"/>
    <x v="1"/>
    <s v="Tienda Online"/>
    <x v="0"/>
    <n v="4"/>
    <n v="4"/>
  </r>
  <r>
    <s v="V001029"/>
    <s v="978-9-65461-316-8"/>
    <s v="Padre rico, padre pobre"/>
    <s v="Robert Kiyosaki"/>
    <x v="5"/>
    <n v="1.69"/>
    <n v="169"/>
    <n v="1"/>
    <n v="1.69"/>
    <x v="49"/>
    <x v="2"/>
    <x v="664"/>
    <x v="2"/>
    <x v="1"/>
    <s v="Tienda Online"/>
    <x v="1"/>
    <n v="1"/>
    <n v="1"/>
  </r>
  <r>
    <s v="V001030"/>
    <s v="978-0-40007-169-0"/>
    <s v="El Principito ilustrado"/>
    <s v="Antoine de Saint-Exupéry"/>
    <x v="6"/>
    <n v="13.52"/>
    <n v="1352"/>
    <n v="1"/>
    <n v="13.52"/>
    <x v="9"/>
    <x v="0"/>
    <x v="665"/>
    <x v="1"/>
    <x v="1"/>
    <s v="Tienda Online"/>
    <x v="2"/>
    <n v="5"/>
    <n v="5"/>
  </r>
  <r>
    <s v="V001031"/>
    <s v="978-1-16630-767-8"/>
    <s v="Los pilares de la Tierra"/>
    <s v="Ken Follett"/>
    <x v="16"/>
    <n v="2.2999999999999998"/>
    <n v="230"/>
    <n v="1"/>
    <n v="2.2999999999999998"/>
    <x v="19"/>
    <x v="3"/>
    <x v="597"/>
    <x v="0"/>
    <x v="0"/>
    <s v="Librería Barcelona Gòtic"/>
    <x v="3"/>
    <n v="4"/>
    <n v="4"/>
  </r>
  <r>
    <s v="V001032"/>
    <s v="978-8-68800-243-6"/>
    <s v="El extranjero"/>
    <s v="Albert Camus"/>
    <x v="9"/>
    <n v="1.29"/>
    <n v="129"/>
    <n v="2"/>
    <n v="2.58"/>
    <x v="35"/>
    <x v="1"/>
    <x v="308"/>
    <x v="2"/>
    <x v="1"/>
    <s v="Tienda Online"/>
    <x v="3"/>
    <n v="4"/>
    <n v="4"/>
  </r>
  <r>
    <s v="V001033"/>
    <s v="978-4-97684-597-3"/>
    <s v="American Gods"/>
    <s v="Neil Gaiman"/>
    <x v="2"/>
    <n v="20.89"/>
    <n v="2089"/>
    <n v="1"/>
    <n v="20.89"/>
    <x v="5"/>
    <x v="0"/>
    <x v="666"/>
    <x v="2"/>
    <x v="1"/>
    <s v="Tienda Online"/>
    <x v="2"/>
    <n v="5"/>
    <n v="5"/>
  </r>
  <r>
    <s v="V001034"/>
    <s v="978-9-72493-614-8"/>
    <s v="El chef en casa"/>
    <s v="Jamie Oliver"/>
    <x v="14"/>
    <n v="17.91"/>
    <n v="1791"/>
    <n v="1"/>
    <n v="17.91"/>
    <x v="34"/>
    <x v="2"/>
    <x v="601"/>
    <x v="1"/>
    <x v="1"/>
    <s v="Tienda Online"/>
    <x v="3"/>
    <n v="4"/>
    <n v="4"/>
  </r>
  <r>
    <s v="V001035"/>
    <s v="978-0-22224-871-3"/>
    <s v="Un mundo sin fin"/>
    <s v="Ken Follett"/>
    <x v="16"/>
    <n v="19.46"/>
    <n v="1946"/>
    <n v="1"/>
    <n v="19.46"/>
    <x v="42"/>
    <x v="0"/>
    <x v="37"/>
    <x v="2"/>
    <x v="1"/>
    <s v="Tienda Online"/>
    <x v="1"/>
    <n v="3"/>
    <n v="3"/>
  </r>
  <r>
    <s v="V001036"/>
    <s v="978-8-11504-796-1"/>
    <s v="El código Da Vinci"/>
    <s v="Dan Brown"/>
    <x v="1"/>
    <n v="15.21"/>
    <n v="1521"/>
    <n v="1"/>
    <n v="15.21"/>
    <x v="22"/>
    <x v="2"/>
    <x v="667"/>
    <x v="1"/>
    <x v="1"/>
    <s v="Tienda Online"/>
    <x v="2"/>
    <n v="1"/>
    <n v="1"/>
  </r>
  <r>
    <s v="V001037"/>
    <s v="978-3-99733-432-0"/>
    <s v="Don Quijote de la Mancha"/>
    <s v="Miguel de Cervantes"/>
    <x v="9"/>
    <n v="21.89"/>
    <n v="2189"/>
    <n v="2"/>
    <n v="43.78"/>
    <x v="35"/>
    <x v="1"/>
    <x v="523"/>
    <x v="1"/>
    <x v="1"/>
    <s v="Tienda Online"/>
    <x v="0"/>
    <n v="5"/>
    <n v="5"/>
  </r>
  <r>
    <s v="V001038"/>
    <s v="978-2-58520-463-3"/>
    <s v="Sinsajo"/>
    <s v="Suzanne Collins"/>
    <x v="8"/>
    <n v="1.49"/>
    <n v="149"/>
    <n v="1"/>
    <n v="1.49"/>
    <x v="60"/>
    <x v="1"/>
    <x v="625"/>
    <x v="0"/>
    <x v="0"/>
    <s v="Librería Sevilla Triana"/>
    <x v="4"/>
    <n v="3"/>
    <n v="3"/>
  </r>
  <r>
    <s v="V001039"/>
    <s v="978-2-58520-463-3"/>
    <s v="Sinsajo"/>
    <s v="Suzanne Collins"/>
    <x v="8"/>
    <n v="11.92"/>
    <n v="1192"/>
    <n v="1"/>
    <n v="11.92"/>
    <x v="29"/>
    <x v="2"/>
    <x v="543"/>
    <x v="0"/>
    <x v="1"/>
    <s v="Tienda Online"/>
    <x v="1"/>
    <n v="5"/>
    <n v="5"/>
  </r>
  <r>
    <s v="V001040"/>
    <s v="978-3-39256-242-1"/>
    <s v="El amor en los tiempos del cólera"/>
    <s v="Gabriel García Márquez"/>
    <x v="3"/>
    <n v="14.88"/>
    <n v="1488"/>
    <n v="1"/>
    <n v="14.88"/>
    <x v="48"/>
    <x v="3"/>
    <x v="62"/>
    <x v="0"/>
    <x v="0"/>
    <s v="Librería Sevilla Triana"/>
    <x v="3"/>
    <n v="2"/>
    <n v="2"/>
  </r>
  <r>
    <s v="V001041"/>
    <s v="978-9-51245-317-7"/>
    <s v="La sombra del viento"/>
    <s v="Carlos Ruiz Zafón"/>
    <x v="3"/>
    <n v="20.350000000000001"/>
    <n v="2035"/>
    <n v="2"/>
    <n v="40.700000000000003"/>
    <x v="18"/>
    <x v="1"/>
    <x v="289"/>
    <x v="1"/>
    <x v="1"/>
    <s v="Tienda Online"/>
    <x v="1"/>
    <n v="4"/>
    <n v="4"/>
  </r>
  <r>
    <s v="V001042"/>
    <s v="978-9-38864-107-1"/>
    <s v="James y el melocotón gigante"/>
    <s v="Roald Dahl"/>
    <x v="6"/>
    <n v="11.45"/>
    <n v="1145"/>
    <n v="3"/>
    <n v="34.349999999999994"/>
    <x v="58"/>
    <x v="2"/>
    <x v="511"/>
    <x v="2"/>
    <x v="1"/>
    <s v="Tienda Online"/>
    <x v="1"/>
    <n v="5"/>
    <n v="5"/>
  </r>
  <r>
    <s v="V001043"/>
    <s v="978-9-38864-107-1"/>
    <s v="James y el melocotón gigante"/>
    <s v="Roald Dahl"/>
    <x v="6"/>
    <n v="11.45"/>
    <n v="1145"/>
    <n v="1"/>
    <n v="11.45"/>
    <x v="52"/>
    <x v="0"/>
    <x v="103"/>
    <x v="0"/>
    <x v="1"/>
    <s v="Tienda Online"/>
    <x v="1"/>
    <n v="3"/>
    <n v="3"/>
  </r>
  <r>
    <s v="V001044"/>
    <s v="978-9-78522-423-4"/>
    <s v="Maus"/>
    <s v="Art Spiegelman"/>
    <x v="10"/>
    <n v="1.69"/>
    <n v="169"/>
    <n v="2"/>
    <n v="3.38"/>
    <x v="29"/>
    <x v="3"/>
    <x v="512"/>
    <x v="1"/>
    <x v="1"/>
    <s v="Tienda Online"/>
    <x v="2"/>
    <m/>
    <s v="Sin valoración"/>
  </r>
  <r>
    <s v="V001045"/>
    <s v="978-5-74042-119-1"/>
    <s v="Sapiens"/>
    <s v="Yuval Noah Harari"/>
    <x v="15"/>
    <n v="2.2999999999999998"/>
    <n v="230"/>
    <n v="1"/>
    <n v="2.2999999999999998"/>
    <x v="67"/>
    <x v="2"/>
    <x v="156"/>
    <x v="1"/>
    <x v="1"/>
    <s v="Tienda Online"/>
    <x v="2"/>
    <n v="2"/>
    <n v="2"/>
  </r>
  <r>
    <s v="V001046"/>
    <s v="978-3-99733-432-0"/>
    <s v="Don Quijote de la Mancha"/>
    <s v="Miguel de Cervantes"/>
    <x v="9"/>
    <n v="17.91"/>
    <n v="1791"/>
    <n v="1"/>
    <n v="17.91"/>
    <x v="41"/>
    <x v="3"/>
    <x v="318"/>
    <x v="2"/>
    <x v="1"/>
    <s v="Tienda Online"/>
    <x v="0"/>
    <n v="3"/>
    <n v="3"/>
  </r>
  <r>
    <s v="V001047"/>
    <s v="978-5-19287-626-3"/>
    <s v="Coraline"/>
    <s v="Neil Gaiman"/>
    <x v="8"/>
    <n v="11.12"/>
    <n v="1112"/>
    <n v="1"/>
    <n v="11.12"/>
    <x v="15"/>
    <x v="1"/>
    <x v="406"/>
    <x v="2"/>
    <x v="1"/>
    <s v="Tienda Online"/>
    <x v="4"/>
    <m/>
    <s v="Sin valoración"/>
  </r>
  <r>
    <s v="V001048"/>
    <s v="978-4-10851-877-2"/>
    <s v="El nombre del viento"/>
    <s v="Patrick Rothfuss"/>
    <x v="2"/>
    <n v="24.09"/>
    <n v="2409"/>
    <n v="1"/>
    <n v="24.09"/>
    <x v="67"/>
    <x v="2"/>
    <x v="668"/>
    <x v="0"/>
    <x v="0"/>
    <s v="Librería Sevilla Triana"/>
    <x v="4"/>
    <n v="5"/>
    <n v="5"/>
  </r>
  <r>
    <s v="V001049"/>
    <s v="978-3-54118-204-1"/>
    <s v="Juego de Tronos"/>
    <s v="George R.R. Martin"/>
    <x v="2"/>
    <n v="1.99"/>
    <n v="199"/>
    <n v="1"/>
    <n v="1.99"/>
    <x v="40"/>
    <x v="2"/>
    <x v="669"/>
    <x v="0"/>
    <x v="0"/>
    <s v="Librería Barcelona Gòtic"/>
    <x v="0"/>
    <n v="5"/>
    <n v="5"/>
  </r>
  <r>
    <s v="V001050"/>
    <s v="978-9-78522-423-4"/>
    <s v="Maus"/>
    <s v="Art Spiegelman"/>
    <x v="10"/>
    <n v="1.69"/>
    <n v="169"/>
    <n v="2"/>
    <n v="3.38"/>
    <x v="60"/>
    <x v="0"/>
    <x v="80"/>
    <x v="0"/>
    <x v="1"/>
    <s v="Tienda Online"/>
    <x v="4"/>
    <n v="3"/>
    <n v="3"/>
  </r>
  <r>
    <s v="V001051"/>
    <s v="978-3-62923-222-9"/>
    <s v="El gen egoísta"/>
    <s v="Richard Dawkins"/>
    <x v="11"/>
    <n v="1.79"/>
    <n v="179"/>
    <n v="3"/>
    <n v="5.37"/>
    <x v="10"/>
    <x v="2"/>
    <x v="508"/>
    <x v="1"/>
    <x v="1"/>
    <s v="Tienda Online"/>
    <x v="4"/>
    <n v="5"/>
    <n v="5"/>
  </r>
  <r>
    <s v="V001052"/>
    <s v="978-8-11504-796-1"/>
    <s v="El código Da Vinci"/>
    <s v="Dan Brown"/>
    <x v="1"/>
    <n v="18.59"/>
    <n v="1859"/>
    <n v="1"/>
    <n v="18.59"/>
    <x v="45"/>
    <x v="0"/>
    <x v="670"/>
    <x v="1"/>
    <x v="0"/>
    <s v="Librería Valencia Centro"/>
    <x v="4"/>
    <n v="5"/>
    <n v="5"/>
  </r>
  <r>
    <s v="V001053"/>
    <s v="978-1-13278-859-4"/>
    <s v="Cien años de soledad"/>
    <s v="Gabriel García Márquez"/>
    <x v="3"/>
    <n v="1.89"/>
    <n v="189"/>
    <n v="1"/>
    <n v="1.89"/>
    <x v="32"/>
    <x v="1"/>
    <x v="305"/>
    <x v="0"/>
    <x v="1"/>
    <s v="Tienda Online"/>
    <x v="0"/>
    <n v="5"/>
    <n v="5"/>
  </r>
  <r>
    <s v="V001054"/>
    <s v="978-3-62565-160-2"/>
    <s v="El día que se perdió la cordura"/>
    <s v="Javier Castillo"/>
    <x v="1"/>
    <n v="1.89"/>
    <n v="189"/>
    <n v="1"/>
    <n v="1.89"/>
    <x v="1"/>
    <x v="1"/>
    <x v="671"/>
    <x v="1"/>
    <x v="1"/>
    <s v="Tienda Online"/>
    <x v="2"/>
    <n v="5"/>
    <n v="5"/>
  </r>
  <r>
    <s v="V001055"/>
    <s v="978-3-62923-222-9"/>
    <s v="El gen egoísta"/>
    <s v="Richard Dawkins"/>
    <x v="11"/>
    <n v="18.79"/>
    <n v="1879"/>
    <n v="1"/>
    <n v="18.79"/>
    <x v="60"/>
    <x v="1"/>
    <x v="663"/>
    <x v="0"/>
    <x v="0"/>
    <s v="Librería Valencia Centro"/>
    <x v="4"/>
    <n v="4"/>
    <n v="4"/>
  </r>
  <r>
    <s v="V001056"/>
    <s v="978-6-56438-533-6"/>
    <s v="Misery"/>
    <s v="Stephen King"/>
    <x v="4"/>
    <n v="18.59"/>
    <n v="1859"/>
    <n v="1"/>
    <n v="18.59"/>
    <x v="65"/>
    <x v="2"/>
    <x v="47"/>
    <x v="2"/>
    <x v="1"/>
    <s v="Tienda Online"/>
    <x v="0"/>
    <n v="3"/>
    <n v="3"/>
  </r>
  <r>
    <s v="V001057"/>
    <s v="978-3-99733-432-0"/>
    <s v="Don Quijote de la Mancha"/>
    <s v="Miguel de Cervantes"/>
    <x v="9"/>
    <n v="1.99"/>
    <n v="199"/>
    <n v="1"/>
    <n v="1.99"/>
    <x v="57"/>
    <x v="1"/>
    <x v="515"/>
    <x v="1"/>
    <x v="1"/>
    <s v="Tienda Online"/>
    <x v="0"/>
    <n v="5"/>
    <n v="5"/>
  </r>
  <r>
    <s v="V001058"/>
    <s v="978-7-17100-789-1"/>
    <s v="Carrie"/>
    <s v="Stephen King"/>
    <x v="4"/>
    <n v="1.49"/>
    <n v="149"/>
    <n v="1"/>
    <n v="1.49"/>
    <x v="2"/>
    <x v="2"/>
    <x v="117"/>
    <x v="1"/>
    <x v="1"/>
    <s v="Tienda Online"/>
    <x v="2"/>
    <n v="4"/>
    <n v="4"/>
  </r>
  <r>
    <s v="V001059"/>
    <s v="978-5-19287-626-3"/>
    <s v="Coraline"/>
    <s v="Neil Gaiman"/>
    <x v="8"/>
    <n v="1.39"/>
    <n v="139"/>
    <n v="3"/>
    <n v="4.17"/>
    <x v="8"/>
    <x v="0"/>
    <x v="225"/>
    <x v="0"/>
    <x v="0"/>
    <s v="Librería Sevilla Triana"/>
    <x v="1"/>
    <n v="4"/>
    <n v="4"/>
  </r>
  <r>
    <s v="V001060"/>
    <s v="978-2-17455-620-1"/>
    <s v="Cosmos"/>
    <s v="Carl Sagan"/>
    <x v="11"/>
    <n v="19.84"/>
    <n v="1984"/>
    <n v="2"/>
    <n v="39.68"/>
    <x v="44"/>
    <x v="0"/>
    <x v="672"/>
    <x v="1"/>
    <x v="1"/>
    <s v="Tienda Online"/>
    <x v="2"/>
    <n v="5"/>
    <n v="5"/>
  </r>
  <r>
    <s v="V001061"/>
    <s v="978-1-16630-767-8"/>
    <s v="Los pilares de la Tierra"/>
    <s v="Ken Follett"/>
    <x v="16"/>
    <n v="17.52"/>
    <n v="1752"/>
    <n v="1"/>
    <n v="17.52"/>
    <x v="35"/>
    <x v="3"/>
    <x v="450"/>
    <x v="0"/>
    <x v="1"/>
    <s v="Tienda Online"/>
    <x v="4"/>
    <n v="5"/>
    <n v="5"/>
  </r>
  <r>
    <s v="V001062"/>
    <s v="978-6-46434-564-5"/>
    <s v="En llamas"/>
    <s v="Suzanne Collins"/>
    <x v="8"/>
    <n v="11.92"/>
    <n v="1192"/>
    <n v="1"/>
    <n v="11.92"/>
    <x v="60"/>
    <x v="1"/>
    <x v="193"/>
    <x v="0"/>
    <x v="0"/>
    <s v="Librería Valencia Centro"/>
    <x v="0"/>
    <n v="5"/>
    <n v="5"/>
  </r>
  <r>
    <s v="V001063"/>
    <s v="978-0-51104-158-0"/>
    <s v="Manual de cocina fácil"/>
    <s v="Karlos Arguiñano"/>
    <x v="14"/>
    <n v="18.79"/>
    <n v="1879"/>
    <n v="3"/>
    <n v="56.37"/>
    <x v="4"/>
    <x v="1"/>
    <x v="673"/>
    <x v="1"/>
    <x v="1"/>
    <s v="Tienda Online"/>
    <x v="1"/>
    <n v="4"/>
    <n v="4"/>
  </r>
  <r>
    <s v="V001064"/>
    <s v="978-6-38893-559-9"/>
    <s v="Dune"/>
    <s v="Frank Herbert"/>
    <x v="12"/>
    <n v="24.04"/>
    <n v="2404"/>
    <n v="1"/>
    <n v="24.04"/>
    <x v="5"/>
    <x v="1"/>
    <x v="674"/>
    <x v="1"/>
    <x v="0"/>
    <s v="Librería Barcelona Gòtic"/>
    <x v="0"/>
    <n v="5"/>
    <n v="5"/>
  </r>
  <r>
    <s v="V001065"/>
    <s v="978-0-51104-158-0"/>
    <s v="Manual de cocina fácil"/>
    <s v="Karlos Arguiñano"/>
    <x v="14"/>
    <n v="14.32"/>
    <n v="1432"/>
    <n v="2"/>
    <n v="28.64"/>
    <x v="27"/>
    <x v="1"/>
    <x v="522"/>
    <x v="0"/>
    <x v="1"/>
    <s v="Tienda Online"/>
    <x v="0"/>
    <n v="3"/>
    <n v="3"/>
  </r>
  <r>
    <s v="V001066"/>
    <s v="978-8-36062-833-8"/>
    <s v="Crónicas marcianas"/>
    <s v="Ray Bradbury"/>
    <x v="12"/>
    <n v="15.96"/>
    <n v="1596"/>
    <n v="2"/>
    <n v="31.92"/>
    <x v="32"/>
    <x v="2"/>
    <x v="655"/>
    <x v="0"/>
    <x v="1"/>
    <s v="Tienda Online"/>
    <x v="1"/>
    <n v="4"/>
    <n v="4"/>
  </r>
  <r>
    <s v="V001067"/>
    <s v="978-8-33416-619-1"/>
    <s v="La chica del tren"/>
    <s v="Paula Hawkins"/>
    <x v="1"/>
    <n v="14.31"/>
    <n v="1431"/>
    <n v="1"/>
    <n v="14.31"/>
    <x v="25"/>
    <x v="0"/>
    <x v="675"/>
    <x v="2"/>
    <x v="1"/>
    <s v="Tienda Online"/>
    <x v="2"/>
    <n v="5"/>
    <n v="5"/>
  </r>
  <r>
    <s v="V001068"/>
    <s v="978-1-48469-545-2"/>
    <s v="Origen"/>
    <s v="Dan Brown"/>
    <x v="1"/>
    <n v="1.99"/>
    <n v="199"/>
    <n v="1"/>
    <n v="1.99"/>
    <x v="44"/>
    <x v="0"/>
    <x v="676"/>
    <x v="0"/>
    <x v="0"/>
    <s v="Librería Sevilla Triana"/>
    <x v="4"/>
    <n v="4"/>
    <n v="4"/>
  </r>
  <r>
    <s v="V001069"/>
    <s v="978-3-97782-833-5"/>
    <s v="V de Vendetta"/>
    <s v="Alan Moore"/>
    <x v="10"/>
    <n v="17.010000000000002"/>
    <n v="1701"/>
    <n v="1"/>
    <n v="17.010000000000002"/>
    <x v="53"/>
    <x v="1"/>
    <x v="677"/>
    <x v="0"/>
    <x v="1"/>
    <s v="Tienda Online"/>
    <x v="4"/>
    <n v="5"/>
    <n v="5"/>
  </r>
  <r>
    <s v="V001070"/>
    <s v="978-2-18981-709-1"/>
    <s v="Una breve historia del tiempo"/>
    <s v="Stephen Hawking"/>
    <x v="11"/>
    <n v="1.69"/>
    <n v="169"/>
    <n v="2"/>
    <n v="3.38"/>
    <x v="2"/>
    <x v="3"/>
    <x v="177"/>
    <x v="2"/>
    <x v="1"/>
    <s v="Tienda Online"/>
    <x v="2"/>
    <n v="3"/>
    <n v="3"/>
  </r>
  <r>
    <s v="V001071"/>
    <s v="978-3-85880-708-0"/>
    <s v="Persépolis"/>
    <s v="Marjane Satrapi"/>
    <x v="10"/>
    <n v="1.67"/>
    <n v="167"/>
    <n v="1"/>
    <n v="1.67"/>
    <x v="35"/>
    <x v="0"/>
    <x v="678"/>
    <x v="0"/>
    <x v="0"/>
    <s v="Librería Barcelona Gòtic"/>
    <x v="0"/>
    <n v="5"/>
    <n v="5"/>
  </r>
  <r>
    <s v="V001072"/>
    <s v="978-3-54118-204-1"/>
    <s v="Juego de Tronos"/>
    <s v="George R.R. Martin"/>
    <x v="2"/>
    <n v="1.99"/>
    <n v="199"/>
    <n v="1"/>
    <n v="1.99"/>
    <x v="0"/>
    <x v="0"/>
    <x v="122"/>
    <x v="0"/>
    <x v="0"/>
    <s v="Librería Valencia Centro"/>
    <x v="3"/>
    <n v="3"/>
    <n v="3"/>
  </r>
  <r>
    <s v="V001073"/>
    <s v="978-9-18326-494-6"/>
    <s v="Romancero gitano"/>
    <s v="Federico García Lorca"/>
    <x v="7"/>
    <n v="11.99"/>
    <n v="1199"/>
    <n v="1"/>
    <n v="11.99"/>
    <x v="10"/>
    <x v="1"/>
    <x v="679"/>
    <x v="0"/>
    <x v="1"/>
    <s v="Tienda Online"/>
    <x v="4"/>
    <n v="4"/>
    <n v="4"/>
  </r>
  <r>
    <s v="V001074"/>
    <s v="978-5-19287-626-3"/>
    <s v="Coraline"/>
    <s v="Neil Gaiman"/>
    <x v="8"/>
    <n v="1.39"/>
    <n v="139"/>
    <n v="1"/>
    <n v="1.39"/>
    <x v="58"/>
    <x v="1"/>
    <x v="680"/>
    <x v="0"/>
    <x v="0"/>
    <s v="Librería Sevilla Triana"/>
    <x v="0"/>
    <n v="5"/>
    <n v="5"/>
  </r>
  <r>
    <s v="V001075"/>
    <s v="978-6-22676-467-5"/>
    <s v="Choque de Reyes"/>
    <s v="George R.R. Martin"/>
    <x v="2"/>
    <n v="17.91"/>
    <n v="1791"/>
    <n v="4"/>
    <n v="71.64"/>
    <x v="12"/>
    <x v="2"/>
    <x v="681"/>
    <x v="1"/>
    <x v="1"/>
    <s v="Tienda Online"/>
    <x v="4"/>
    <n v="2"/>
    <n v="2"/>
  </r>
  <r>
    <s v="V001076"/>
    <s v="978-4-93886-804-8"/>
    <s v="Guerra y paz"/>
    <s v="León Tolstói"/>
    <x v="9"/>
    <n v="19.920000000000002"/>
    <n v="1992"/>
    <n v="1"/>
    <n v="19.920000000000002"/>
    <x v="23"/>
    <x v="0"/>
    <x v="682"/>
    <x v="1"/>
    <x v="1"/>
    <s v="Tienda Online"/>
    <x v="1"/>
    <n v="4"/>
    <n v="4"/>
  </r>
  <r>
    <s v="V001077"/>
    <s v="978-1-42591-296-3"/>
    <s v="Frankenstein"/>
    <s v="Mary Shelley"/>
    <x v="4"/>
    <n v="9.52"/>
    <n v="952"/>
    <n v="1"/>
    <n v="9.52"/>
    <x v="41"/>
    <x v="0"/>
    <x v="440"/>
    <x v="1"/>
    <x v="0"/>
    <s v="Librería Sevilla Triana"/>
    <x v="2"/>
    <n v="5"/>
    <n v="5"/>
  </r>
  <r>
    <s v="V001078"/>
    <s v="978-3-31417-573-6"/>
    <s v="Ana Karenina"/>
    <s v="León Tolstói"/>
    <x v="9"/>
    <n v="1.69"/>
    <n v="169"/>
    <n v="1"/>
    <n v="1.69"/>
    <x v="51"/>
    <x v="2"/>
    <x v="198"/>
    <x v="0"/>
    <x v="0"/>
    <s v="Librería Central Madrid"/>
    <x v="1"/>
    <m/>
    <s v="Sin valoración"/>
  </r>
  <r>
    <s v="V001079"/>
    <s v="978-8-33416-619-1"/>
    <s v="La chica del tren"/>
    <s v="Paula Hawkins"/>
    <x v="1"/>
    <n v="13.52"/>
    <n v="1352"/>
    <n v="1"/>
    <n v="13.52"/>
    <x v="27"/>
    <x v="1"/>
    <x v="683"/>
    <x v="2"/>
    <x v="1"/>
    <s v="Tienda Online"/>
    <x v="0"/>
    <n v="5"/>
    <n v="5"/>
  </r>
  <r>
    <s v="V001080"/>
    <s v="978-1-16630-767-8"/>
    <s v="Los pilares de la Tierra"/>
    <s v="Ken Follett"/>
    <x v="16"/>
    <n v="2.2999999999999998"/>
    <n v="230"/>
    <n v="2"/>
    <n v="4.5999999999999996"/>
    <x v="12"/>
    <x v="1"/>
    <x v="595"/>
    <x v="2"/>
    <x v="1"/>
    <s v="Tienda Online"/>
    <x v="1"/>
    <n v="4"/>
    <n v="4"/>
  </r>
  <r>
    <s v="V001081"/>
    <s v="978-8-36062-833-8"/>
    <s v="Crónicas marcianas"/>
    <s v="Ray Bradbury"/>
    <x v="12"/>
    <n v="16.72"/>
    <n v="1672"/>
    <n v="1"/>
    <n v="16.72"/>
    <x v="50"/>
    <x v="2"/>
    <x v="684"/>
    <x v="2"/>
    <x v="1"/>
    <s v="Tienda Online"/>
    <x v="4"/>
    <n v="2"/>
    <n v="2"/>
  </r>
  <r>
    <s v="V001082"/>
    <s v="978-9-65461-316-8"/>
    <s v="Padre rico, padre pobre"/>
    <s v="Robert Kiyosaki"/>
    <x v="5"/>
    <n v="17.75"/>
    <n v="1775"/>
    <n v="1"/>
    <n v="17.75"/>
    <x v="48"/>
    <x v="3"/>
    <x v="327"/>
    <x v="1"/>
    <x v="0"/>
    <s v="Librería Central Madrid"/>
    <x v="2"/>
    <n v="4"/>
    <n v="4"/>
  </r>
  <r>
    <s v="V001083"/>
    <s v="978-5-74042-119-1"/>
    <s v="Sapiens"/>
    <s v="Yuval Noah Harari"/>
    <x v="15"/>
    <n v="19.71"/>
    <n v="1971"/>
    <n v="1"/>
    <n v="19.71"/>
    <x v="6"/>
    <x v="1"/>
    <x v="302"/>
    <x v="2"/>
    <x v="1"/>
    <s v="Tienda Online"/>
    <x v="1"/>
    <m/>
    <s v="Sin valoración"/>
  </r>
  <r>
    <s v="V001084"/>
    <s v="978-8-11504-796-1"/>
    <s v="El código Da Vinci"/>
    <s v="Dan Brown"/>
    <x v="1"/>
    <n v="14.36"/>
    <n v="1436"/>
    <n v="1"/>
    <n v="14.36"/>
    <x v="51"/>
    <x v="2"/>
    <x v="516"/>
    <x v="2"/>
    <x v="1"/>
    <s v="Tienda Online"/>
    <x v="3"/>
    <n v="5"/>
    <n v="5"/>
  </r>
  <r>
    <s v="V001085"/>
    <s v="978-9-71348-641-4"/>
    <s v="Veinte poemas de amor"/>
    <s v="Pablo Neruda"/>
    <x v="7"/>
    <n v="7.92"/>
    <n v="792"/>
    <n v="1"/>
    <n v="7.92"/>
    <x v="35"/>
    <x v="2"/>
    <x v="260"/>
    <x v="1"/>
    <x v="1"/>
    <s v="Tienda Online"/>
    <x v="4"/>
    <n v="5"/>
    <n v="5"/>
  </r>
  <r>
    <s v="V001086"/>
    <s v="978-9-38864-107-1"/>
    <s v="James y el melocotón gigante"/>
    <s v="Roald Dahl"/>
    <x v="6"/>
    <n v="1.0900000000000001"/>
    <n v="109"/>
    <n v="2"/>
    <n v="2.1800000000000002"/>
    <x v="9"/>
    <x v="2"/>
    <x v="685"/>
    <x v="1"/>
    <x v="0"/>
    <s v="Librería Barcelona Gòtic"/>
    <x v="4"/>
    <n v="5"/>
    <n v="5"/>
  </r>
  <r>
    <s v="V001087"/>
    <s v="978-6-34957-196-1"/>
    <s v="El resplandor"/>
    <s v="Stephen King"/>
    <x v="4"/>
    <n v="1.89"/>
    <n v="189"/>
    <n v="1"/>
    <n v="1.89"/>
    <x v="17"/>
    <x v="2"/>
    <x v="686"/>
    <x v="2"/>
    <x v="1"/>
    <s v="Tienda Online"/>
    <x v="3"/>
    <n v="5"/>
    <n v="5"/>
  </r>
  <r>
    <s v="V001088"/>
    <s v="978-2-46509-573-3"/>
    <s v="La peste"/>
    <s v="Albert Camus"/>
    <x v="9"/>
    <n v="1.49"/>
    <n v="149"/>
    <n v="1"/>
    <n v="1.49"/>
    <x v="64"/>
    <x v="1"/>
    <x v="262"/>
    <x v="0"/>
    <x v="0"/>
    <s v="Librería Valencia Centro"/>
    <x v="1"/>
    <n v="5"/>
    <n v="5"/>
  </r>
  <r>
    <s v="V001089"/>
    <s v="978-2-46509-573-3"/>
    <s v="La peste"/>
    <s v="Albert Camus"/>
    <x v="9"/>
    <n v="1.49"/>
    <n v="149"/>
    <n v="2"/>
    <n v="2.98"/>
    <x v="16"/>
    <x v="2"/>
    <x v="410"/>
    <x v="0"/>
    <x v="1"/>
    <s v="Tienda Online"/>
    <x v="0"/>
    <n v="4"/>
    <n v="4"/>
  </r>
  <r>
    <s v="V001090"/>
    <s v="978-8-31643-371-8"/>
    <s v="Hábitos atómicos"/>
    <s v="James Clear"/>
    <x v="0"/>
    <n v="1.89"/>
    <n v="189"/>
    <n v="1"/>
    <n v="1.89"/>
    <x v="28"/>
    <x v="2"/>
    <x v="85"/>
    <x v="2"/>
    <x v="1"/>
    <s v="Tienda Online"/>
    <x v="3"/>
    <n v="5"/>
    <n v="5"/>
  </r>
  <r>
    <s v="V001091"/>
    <s v="978-0-22224-871-3"/>
    <s v="Un mundo sin fin"/>
    <s v="Ken Follett"/>
    <x v="16"/>
    <n v="20.61"/>
    <n v="2061"/>
    <n v="1"/>
    <n v="20.61"/>
    <x v="41"/>
    <x v="3"/>
    <x v="283"/>
    <x v="0"/>
    <x v="0"/>
    <s v="Librería Sevilla Triana"/>
    <x v="2"/>
    <n v="5"/>
    <n v="5"/>
  </r>
  <r>
    <s v="V001092"/>
    <s v="978-6-54597-384-2"/>
    <s v="El temor de un hombre sabio"/>
    <s v="Patrick Rothfuss"/>
    <x v="2"/>
    <n v="22.41"/>
    <n v="2241"/>
    <n v="2"/>
    <n v="44.82"/>
    <x v="46"/>
    <x v="1"/>
    <x v="319"/>
    <x v="2"/>
    <x v="1"/>
    <s v="Tienda Online"/>
    <x v="4"/>
    <m/>
    <s v="Sin valoración"/>
  </r>
  <r>
    <s v="V001093"/>
    <s v="978-8-31643-371-8"/>
    <s v="Hábitos atómicos"/>
    <s v="James Clear"/>
    <x v="0"/>
    <n v="19.84"/>
    <n v="1984"/>
    <n v="1"/>
    <n v="19.84"/>
    <x v="59"/>
    <x v="0"/>
    <x v="216"/>
    <x v="2"/>
    <x v="1"/>
    <s v="Tienda Online"/>
    <x v="1"/>
    <n v="5"/>
    <n v="5"/>
  </r>
  <r>
    <s v="V001094"/>
    <s v="978-6-10282-499-4"/>
    <s v="Patria"/>
    <s v="Fernando Aramburu"/>
    <x v="3"/>
    <n v="15.92"/>
    <n v="1592"/>
    <n v="1"/>
    <n v="15.92"/>
    <x v="40"/>
    <x v="0"/>
    <x v="115"/>
    <x v="2"/>
    <x v="1"/>
    <s v="Tienda Online"/>
    <x v="4"/>
    <m/>
    <s v="Sin valoración"/>
  </r>
  <r>
    <s v="V001095"/>
    <s v="978-4-10851-877-2"/>
    <s v="El nombre del viento"/>
    <s v="Patrick Rothfuss"/>
    <x v="2"/>
    <n v="2.19"/>
    <n v="219"/>
    <n v="1"/>
    <n v="2.19"/>
    <x v="47"/>
    <x v="2"/>
    <x v="571"/>
    <x v="2"/>
    <x v="1"/>
    <s v="Tienda Online"/>
    <x v="4"/>
    <n v="5"/>
    <n v="5"/>
  </r>
  <r>
    <s v="V001096"/>
    <s v="978-0-87110-667-3"/>
    <s v="Charlie y la fábrica de chocolate"/>
    <s v="Roald Dahl"/>
    <x v="6"/>
    <n v="1.19"/>
    <n v="119"/>
    <n v="1"/>
    <n v="1.19"/>
    <x v="56"/>
    <x v="3"/>
    <x v="90"/>
    <x v="2"/>
    <x v="1"/>
    <s v="Tienda Online"/>
    <x v="2"/>
    <n v="5"/>
    <n v="5"/>
  </r>
  <r>
    <s v="V001097"/>
    <s v="978-6-86484-508-5"/>
    <s v="Ficciones"/>
    <s v="Jorge Luis Borges"/>
    <x v="9"/>
    <n v="11.92"/>
    <n v="1192"/>
    <n v="1"/>
    <n v="11.92"/>
    <x v="54"/>
    <x v="0"/>
    <x v="687"/>
    <x v="2"/>
    <x v="1"/>
    <s v="Tienda Online"/>
    <x v="0"/>
    <n v="5"/>
    <n v="5"/>
  </r>
  <r>
    <s v="V001098"/>
    <s v="978-1-16630-767-8"/>
    <s v="Los pilares de la Tierra"/>
    <s v="Ken Follett"/>
    <x v="16"/>
    <n v="2.2999999999999998"/>
    <n v="230"/>
    <n v="2"/>
    <n v="4.5999999999999996"/>
    <x v="55"/>
    <x v="3"/>
    <x v="25"/>
    <x v="0"/>
    <x v="1"/>
    <s v="Tienda Online"/>
    <x v="1"/>
    <m/>
    <s v="Sin valoración"/>
  </r>
  <r>
    <s v="V001099"/>
    <s v="978-8-11504-796-1"/>
    <s v="El código Da Vinci"/>
    <s v="Dan Brown"/>
    <x v="1"/>
    <n v="17.75"/>
    <n v="1775"/>
    <n v="1"/>
    <n v="17.75"/>
    <x v="46"/>
    <x v="1"/>
    <x v="65"/>
    <x v="2"/>
    <x v="1"/>
    <s v="Tienda Online"/>
    <x v="0"/>
    <n v="5"/>
    <n v="5"/>
  </r>
  <r>
    <s v="V001100"/>
    <s v="978-5-50306-345-0"/>
    <s v="Homo Deus"/>
    <s v="Yuval Noah Harari"/>
    <x v="15"/>
    <n v="17.52"/>
    <n v="1752"/>
    <n v="1"/>
    <n v="17.52"/>
    <x v="7"/>
    <x v="1"/>
    <x v="688"/>
    <x v="1"/>
    <x v="0"/>
    <s v="Librería Central Madrid"/>
    <x v="2"/>
    <n v="4"/>
    <n v="4"/>
  </r>
  <r>
    <s v="V001101"/>
    <s v="978-3-99733-432-0"/>
    <s v="Don Quijote de la Mancha"/>
    <s v="Miguel de Cervantes"/>
    <x v="9"/>
    <n v="1.99"/>
    <n v="199"/>
    <n v="3"/>
    <n v="5.97"/>
    <x v="45"/>
    <x v="0"/>
    <x v="577"/>
    <x v="0"/>
    <x v="0"/>
    <s v="Librería Valencia Centro"/>
    <x v="1"/>
    <n v="5"/>
    <n v="5"/>
  </r>
  <r>
    <s v="V001102"/>
    <s v="978-9-51245-317-7"/>
    <s v="La sombra del viento"/>
    <s v="Carlos Ruiz Zafón"/>
    <x v="3"/>
    <n v="16.649999999999999"/>
    <n v="1665"/>
    <n v="2"/>
    <n v="33.299999999999997"/>
    <x v="46"/>
    <x v="3"/>
    <x v="352"/>
    <x v="2"/>
    <x v="1"/>
    <s v="Tienda Online"/>
    <x v="4"/>
    <m/>
    <s v="Sin valoración"/>
  </r>
  <r>
    <s v="V001103"/>
    <s v="978-0-40007-169-0"/>
    <s v="El Principito ilustrado"/>
    <s v="Antoine de Saint-Exupéry"/>
    <x v="6"/>
    <n v="12.72"/>
    <n v="1272"/>
    <n v="1"/>
    <n v="12.72"/>
    <x v="9"/>
    <x v="3"/>
    <x v="689"/>
    <x v="0"/>
    <x v="1"/>
    <s v="Tienda Online"/>
    <x v="3"/>
    <m/>
    <s v="Sin valoración"/>
  </r>
  <r>
    <s v="V001104"/>
    <s v="978-2-63269-597-7"/>
    <s v="La chica de nieve"/>
    <s v="Javier Castillo"/>
    <x v="1"/>
    <n v="20.79"/>
    <n v="2079"/>
    <n v="1"/>
    <n v="20.79"/>
    <x v="55"/>
    <x v="2"/>
    <x v="690"/>
    <x v="2"/>
    <x v="1"/>
    <s v="Tienda Online"/>
    <x v="3"/>
    <m/>
    <s v="Sin valoración"/>
  </r>
  <r>
    <s v="V001105"/>
    <s v="978-5-50306-345-0"/>
    <s v="Homo Deus"/>
    <s v="Yuval Noah Harari"/>
    <x v="15"/>
    <n v="2.19"/>
    <n v="219"/>
    <n v="1"/>
    <n v="2.19"/>
    <x v="60"/>
    <x v="3"/>
    <x v="310"/>
    <x v="2"/>
    <x v="1"/>
    <s v="Tienda Online"/>
    <x v="0"/>
    <n v="5"/>
    <n v="5"/>
  </r>
  <r>
    <s v="V001106"/>
    <s v="978-5-74042-119-1"/>
    <s v="Sapiens"/>
    <s v="Yuval Noah Harari"/>
    <x v="15"/>
    <n v="17.52"/>
    <n v="1752"/>
    <n v="1"/>
    <n v="17.52"/>
    <x v="18"/>
    <x v="0"/>
    <x v="482"/>
    <x v="2"/>
    <x v="1"/>
    <s v="Tienda Online"/>
    <x v="0"/>
    <n v="3"/>
    <n v="3"/>
  </r>
  <r>
    <s v="V001107"/>
    <s v="978-6-56438-533-6"/>
    <s v="Misery"/>
    <s v="Stephen King"/>
    <x v="4"/>
    <n v="15.21"/>
    <n v="1521"/>
    <n v="2"/>
    <n v="30.42"/>
    <x v="25"/>
    <x v="0"/>
    <x v="691"/>
    <x v="0"/>
    <x v="0"/>
    <s v="Librería Central Madrid"/>
    <x v="4"/>
    <n v="5"/>
    <n v="5"/>
  </r>
  <r>
    <s v="V001108"/>
    <s v="978-9-38864-107-1"/>
    <s v="James y el melocotón gigante"/>
    <s v="Roald Dahl"/>
    <x v="6"/>
    <n v="9.81"/>
    <n v="981"/>
    <n v="2"/>
    <n v="19.62"/>
    <x v="24"/>
    <x v="3"/>
    <x v="692"/>
    <x v="0"/>
    <x v="1"/>
    <s v="Tienda Online"/>
    <x v="1"/>
    <n v="3"/>
    <n v="3"/>
  </r>
  <r>
    <s v="V001109"/>
    <s v="978-3-54118-204-1"/>
    <s v="Juego de Tronos"/>
    <s v="George R.R. Martin"/>
    <x v="2"/>
    <n v="15.92"/>
    <n v="1592"/>
    <n v="1"/>
    <n v="15.92"/>
    <x v="65"/>
    <x v="3"/>
    <x v="334"/>
    <x v="1"/>
    <x v="1"/>
    <s v="Tienda Online"/>
    <x v="3"/>
    <n v="5"/>
    <n v="5"/>
  </r>
  <r>
    <s v="V001110"/>
    <s v="978-6-56438-533-6"/>
    <s v="Misery"/>
    <s v="Stephen King"/>
    <x v="4"/>
    <n v="1.69"/>
    <n v="169"/>
    <n v="1"/>
    <n v="1.69"/>
    <x v="31"/>
    <x v="1"/>
    <x v="167"/>
    <x v="2"/>
    <x v="1"/>
    <s v="Tienda Online"/>
    <x v="4"/>
    <n v="5"/>
    <n v="5"/>
  </r>
  <r>
    <s v="V001111"/>
    <s v="978-0-40007-169-0"/>
    <s v="El Principito ilustrado"/>
    <s v="Antoine de Saint-Exupéry"/>
    <x v="6"/>
    <n v="1.59"/>
    <n v="159"/>
    <n v="3"/>
    <n v="4.7700000000000005"/>
    <x v="61"/>
    <x v="3"/>
    <x v="693"/>
    <x v="1"/>
    <x v="0"/>
    <s v="Librería Sevilla Triana"/>
    <x v="3"/>
    <n v="5"/>
    <n v="5"/>
  </r>
  <r>
    <s v="V001112"/>
    <s v="978-3-99733-432-0"/>
    <s v="Don Quijote de la Mancha"/>
    <s v="Miguel de Cervantes"/>
    <x v="9"/>
    <n v="1.99"/>
    <n v="199"/>
    <n v="2"/>
    <n v="3.98"/>
    <x v="28"/>
    <x v="3"/>
    <x v="87"/>
    <x v="1"/>
    <x v="1"/>
    <s v="Tienda Online"/>
    <x v="4"/>
    <n v="5"/>
    <n v="5"/>
  </r>
  <r>
    <s v="V001113"/>
    <s v="978-9-78522-423-4"/>
    <s v="Maus"/>
    <s v="Art Spiegelman"/>
    <x v="10"/>
    <n v="1.69"/>
    <n v="169"/>
    <n v="1"/>
    <n v="1.69"/>
    <x v="36"/>
    <x v="3"/>
    <x v="48"/>
    <x v="1"/>
    <x v="1"/>
    <s v="Tienda Online"/>
    <x v="3"/>
    <n v="5"/>
    <n v="5"/>
  </r>
  <r>
    <s v="V001114"/>
    <s v="978-1-42591-296-3"/>
    <s v="Frankenstein"/>
    <s v="Mary Shelley"/>
    <x v="4"/>
    <n v="13.09"/>
    <n v="1309"/>
    <n v="3"/>
    <n v="39.269999999999996"/>
    <x v="54"/>
    <x v="1"/>
    <x v="552"/>
    <x v="0"/>
    <x v="0"/>
    <s v="Librería Sevilla Triana"/>
    <x v="2"/>
    <n v="4"/>
    <n v="4"/>
  </r>
  <r>
    <s v="V001115"/>
    <s v="978-8-11504-796-1"/>
    <s v="El código Da Vinci"/>
    <s v="Dan Brown"/>
    <x v="1"/>
    <n v="17.75"/>
    <n v="1775"/>
    <n v="1"/>
    <n v="17.75"/>
    <x v="1"/>
    <x v="3"/>
    <x v="694"/>
    <x v="0"/>
    <x v="0"/>
    <s v="Librería Valencia Centro"/>
    <x v="0"/>
    <n v="4"/>
    <n v="4"/>
  </r>
  <r>
    <s v="V001116"/>
    <s v="978-3-50857-508-5"/>
    <s v="Piense y hágase rico"/>
    <s v="Napoleon Hill"/>
    <x v="5"/>
    <n v="1.39"/>
    <n v="139"/>
    <n v="2"/>
    <n v="2.78"/>
    <x v="36"/>
    <x v="1"/>
    <x v="384"/>
    <x v="0"/>
    <x v="1"/>
    <s v="Tienda Online"/>
    <x v="3"/>
    <n v="4"/>
    <n v="4"/>
  </r>
  <r>
    <s v="V001117"/>
    <s v="978-9-18326-494-6"/>
    <s v="Romancero gitano"/>
    <s v="Federico García Lorca"/>
    <x v="7"/>
    <n v="8.7200000000000006"/>
    <n v="872"/>
    <n v="1"/>
    <n v="8.7200000000000006"/>
    <x v="70"/>
    <x v="3"/>
    <x v="695"/>
    <x v="2"/>
    <x v="1"/>
    <s v="Tienda Online"/>
    <x v="1"/>
    <n v="5"/>
    <n v="5"/>
  </r>
  <r>
    <s v="V001118"/>
    <s v="978-1-16175-981-1"/>
    <s v="Pedro Páramo"/>
    <s v="Juan Rulfo"/>
    <x v="9"/>
    <n v="1.29"/>
    <n v="129"/>
    <n v="1"/>
    <n v="1.29"/>
    <x v="6"/>
    <x v="1"/>
    <x v="123"/>
    <x v="1"/>
    <x v="0"/>
    <s v="Librería Sevilla Triana"/>
    <x v="3"/>
    <n v="5"/>
    <n v="5"/>
  </r>
  <r>
    <s v="V001119"/>
    <s v="978-8-68800-243-6"/>
    <s v="El extranjero"/>
    <s v="Albert Camus"/>
    <x v="9"/>
    <n v="11.61"/>
    <n v="1161"/>
    <n v="3"/>
    <n v="34.83"/>
    <x v="8"/>
    <x v="3"/>
    <x v="12"/>
    <x v="1"/>
    <x v="0"/>
    <s v="Librería Central Madrid"/>
    <x v="0"/>
    <n v="4"/>
    <n v="4"/>
  </r>
  <r>
    <s v="V001120"/>
    <s v="978-1-68082-927-8"/>
    <s v="Náuseas"/>
    <s v="Jean-Paul Sartre"/>
    <x v="9"/>
    <n v="1.39"/>
    <n v="139"/>
    <n v="1"/>
    <n v="1.39"/>
    <x v="45"/>
    <x v="0"/>
    <x v="451"/>
    <x v="0"/>
    <x v="1"/>
    <s v="Tienda Online"/>
    <x v="1"/>
    <n v="4"/>
    <n v="4"/>
  </r>
  <r>
    <s v="V001121"/>
    <s v="978-6-38893-559-9"/>
    <s v="Dune"/>
    <s v="Frank Herbert"/>
    <x v="12"/>
    <n v="2.29"/>
    <n v="229"/>
    <n v="1"/>
    <n v="2.29"/>
    <x v="55"/>
    <x v="2"/>
    <x v="265"/>
    <x v="2"/>
    <x v="1"/>
    <s v="Tienda Online"/>
    <x v="1"/>
    <m/>
    <s v="Sin valoración"/>
  </r>
  <r>
    <s v="V001122"/>
    <s v="978-7-30289-294-4"/>
    <s v="Nada"/>
    <s v="Carmen Laforet"/>
    <x v="9"/>
    <n v="1.39"/>
    <n v="139"/>
    <n v="1"/>
    <n v="1.39"/>
    <x v="1"/>
    <x v="0"/>
    <x v="696"/>
    <x v="1"/>
    <x v="0"/>
    <s v="Librería Sevilla Triana"/>
    <x v="4"/>
    <n v="5"/>
    <n v="5"/>
  </r>
  <r>
    <s v="V001123"/>
    <s v="978-3-97782-833-5"/>
    <s v="V de Vendetta"/>
    <s v="Alan Moore"/>
    <x v="10"/>
    <n v="15.12"/>
    <n v="1512"/>
    <n v="2"/>
    <n v="30.24"/>
    <x v="64"/>
    <x v="3"/>
    <x v="181"/>
    <x v="1"/>
    <x v="0"/>
    <s v="Librería Barcelona Gòtic"/>
    <x v="0"/>
    <n v="4"/>
    <n v="4"/>
  </r>
  <r>
    <s v="V001124"/>
    <s v="978-6-54597-384-2"/>
    <s v="El temor de un hombre sabio"/>
    <s v="Patrick Rothfuss"/>
    <x v="2"/>
    <n v="2.4900000000000002"/>
    <n v="249"/>
    <n v="1"/>
    <n v="2.4900000000000002"/>
    <x v="35"/>
    <x v="1"/>
    <x v="680"/>
    <x v="1"/>
    <x v="1"/>
    <s v="Tienda Online"/>
    <x v="1"/>
    <m/>
    <s v="Sin valoración"/>
  </r>
  <r>
    <s v="V001125"/>
    <s v="978-9-71953-348-7"/>
    <s v="It"/>
    <s v="Stephen King"/>
    <x v="4"/>
    <n v="2.29"/>
    <n v="229"/>
    <n v="1"/>
    <n v="2.29"/>
    <x v="6"/>
    <x v="3"/>
    <x v="83"/>
    <x v="0"/>
    <x v="1"/>
    <s v="Tienda Online"/>
    <x v="0"/>
    <n v="3"/>
    <n v="3"/>
  </r>
  <r>
    <s v="V001126"/>
    <s v="978-0-13905-195-3"/>
    <s v="Rebelión en la granja"/>
    <s v="George Orwell"/>
    <x v="3"/>
    <n v="1"/>
    <n v="100"/>
    <n v="1"/>
    <n v="1"/>
    <x v="44"/>
    <x v="2"/>
    <x v="586"/>
    <x v="1"/>
    <x v="1"/>
    <s v="Tienda Online"/>
    <x v="1"/>
    <n v="4"/>
    <n v="4"/>
  </r>
  <r>
    <s v="V001127"/>
    <s v="978-2-58520-463-3"/>
    <s v="Sinsajo"/>
    <s v="Suzanne Collins"/>
    <x v="8"/>
    <n v="16.39"/>
    <n v="1639"/>
    <n v="1"/>
    <n v="16.39"/>
    <x v="61"/>
    <x v="3"/>
    <x v="697"/>
    <x v="1"/>
    <x v="1"/>
    <s v="Tienda Online"/>
    <x v="3"/>
    <n v="4"/>
    <n v="4"/>
  </r>
  <r>
    <s v="V001128"/>
    <s v="978-2-58520-463-3"/>
    <s v="Sinsajo"/>
    <s v="Suzanne Collins"/>
    <x v="8"/>
    <n v="11.92"/>
    <n v="1192"/>
    <n v="1"/>
    <n v="11.92"/>
    <x v="60"/>
    <x v="2"/>
    <x v="237"/>
    <x v="1"/>
    <x v="0"/>
    <s v="Librería Valencia Centro"/>
    <x v="1"/>
    <n v="3"/>
    <n v="3"/>
  </r>
  <r>
    <s v="V001129"/>
    <s v="978-9-18326-494-6"/>
    <s v="Romancero gitano"/>
    <s v="Federico García Lorca"/>
    <x v="7"/>
    <n v="11.99"/>
    <n v="1199"/>
    <n v="1"/>
    <n v="11.99"/>
    <x v="55"/>
    <x v="2"/>
    <x v="303"/>
    <x v="2"/>
    <x v="1"/>
    <s v="Tienda Online"/>
    <x v="2"/>
    <n v="4"/>
    <n v="4"/>
  </r>
  <r>
    <s v="V001130"/>
    <s v="978-9-18326-494-6"/>
    <s v="Romancero gitano"/>
    <s v="Federico García Lorca"/>
    <x v="7"/>
    <n v="11.45"/>
    <n v="1145"/>
    <n v="1"/>
    <n v="11.45"/>
    <x v="39"/>
    <x v="0"/>
    <x v="690"/>
    <x v="1"/>
    <x v="1"/>
    <s v="Tienda Online"/>
    <x v="4"/>
    <n v="3"/>
    <n v="3"/>
  </r>
  <r>
    <s v="V001131"/>
    <s v="978-1-48469-545-2"/>
    <s v="Origen"/>
    <s v="Dan Brown"/>
    <x v="1"/>
    <n v="1.99"/>
    <n v="199"/>
    <n v="3"/>
    <n v="5.97"/>
    <x v="65"/>
    <x v="0"/>
    <x v="475"/>
    <x v="2"/>
    <x v="1"/>
    <s v="Tienda Online"/>
    <x v="1"/>
    <n v="5"/>
    <n v="5"/>
  </r>
  <r>
    <s v="V001132"/>
    <s v="978-1-40512-987-1"/>
    <s v="Los juegos del hambre"/>
    <s v="Suzanne Collins"/>
    <x v="8"/>
    <n v="11.92"/>
    <n v="1192"/>
    <n v="1"/>
    <n v="11.92"/>
    <x v="20"/>
    <x v="1"/>
    <x v="56"/>
    <x v="1"/>
    <x v="1"/>
    <s v="Tienda Online"/>
    <x v="1"/>
    <n v="4"/>
    <n v="4"/>
  </r>
  <r>
    <s v="V001133"/>
    <s v="978-4-99593-763-1"/>
    <s v="Crimen y castigo"/>
    <s v="Fiódor Dostoyevski"/>
    <x v="9"/>
    <n v="14.19"/>
    <n v="1419"/>
    <n v="1"/>
    <n v="14.19"/>
    <x v="49"/>
    <x v="1"/>
    <x v="224"/>
    <x v="2"/>
    <x v="1"/>
    <s v="Tienda Online"/>
    <x v="4"/>
    <n v="4"/>
    <n v="4"/>
  </r>
  <r>
    <s v="V001134"/>
    <s v="978-7-47388-533-8"/>
    <s v="Los besos"/>
    <s v="Manuel Vilas"/>
    <x v="3"/>
    <n v="20.79"/>
    <n v="2079"/>
    <n v="1"/>
    <n v="20.79"/>
    <x v="30"/>
    <x v="3"/>
    <x v="451"/>
    <x v="0"/>
    <x v="1"/>
    <s v="Tienda Online"/>
    <x v="1"/>
    <n v="5"/>
    <n v="5"/>
  </r>
  <r>
    <s v="V001135"/>
    <s v="978-3-17665-693-8"/>
    <s v="La familia de Pascual Duarte"/>
    <s v="Camilo José Cela"/>
    <x v="9"/>
    <n v="13.55"/>
    <n v="1355"/>
    <n v="1"/>
    <n v="13.55"/>
    <x v="17"/>
    <x v="0"/>
    <x v="698"/>
    <x v="2"/>
    <x v="1"/>
    <s v="Tienda Online"/>
    <x v="4"/>
    <n v="5"/>
    <n v="5"/>
  </r>
  <r>
    <s v="V001136"/>
    <s v="978-8-44973-887-5"/>
    <s v="Ángeles y demonios"/>
    <s v="Dan Brown"/>
    <x v="1"/>
    <n v="17.75"/>
    <n v="1775"/>
    <n v="1"/>
    <n v="17.75"/>
    <x v="28"/>
    <x v="2"/>
    <x v="699"/>
    <x v="0"/>
    <x v="0"/>
    <s v="Librería Sevilla Triana"/>
    <x v="0"/>
    <n v="4"/>
    <n v="4"/>
  </r>
  <r>
    <s v="V001137"/>
    <s v="978-6-34957-196-1"/>
    <s v="El resplandor"/>
    <s v="Stephen King"/>
    <x v="4"/>
    <n v="17.010000000000002"/>
    <n v="1701"/>
    <n v="1"/>
    <n v="17.010000000000002"/>
    <x v="1"/>
    <x v="2"/>
    <x v="373"/>
    <x v="2"/>
    <x v="1"/>
    <s v="Tienda Online"/>
    <x v="1"/>
    <n v="5"/>
    <n v="5"/>
  </r>
  <r>
    <s v="V001138"/>
    <s v="978-1-16175-981-1"/>
    <s v="Pedro Páramo"/>
    <s v="Juan Rulfo"/>
    <x v="9"/>
    <n v="10.32"/>
    <n v="1032"/>
    <n v="1"/>
    <n v="10.32"/>
    <x v="5"/>
    <x v="3"/>
    <x v="132"/>
    <x v="2"/>
    <x v="1"/>
    <s v="Tienda Online"/>
    <x v="4"/>
    <n v="2"/>
    <n v="2"/>
  </r>
  <r>
    <s v="V001139"/>
    <s v="978-9-93227-275-8"/>
    <s v="Los hermanos Karamázov"/>
    <s v="Fiódor Dostoyevski"/>
    <x v="9"/>
    <n v="1.89"/>
    <n v="189"/>
    <n v="1"/>
    <n v="1.89"/>
    <x v="26"/>
    <x v="1"/>
    <x v="234"/>
    <x v="0"/>
    <x v="1"/>
    <s v="Tienda Online"/>
    <x v="4"/>
    <n v="5"/>
    <n v="5"/>
  </r>
  <r>
    <s v="V001140"/>
    <s v="978-2-63269-597-7"/>
    <s v="La chica de nieve"/>
    <s v="Javier Castillo"/>
    <x v="1"/>
    <n v="20.79"/>
    <n v="2079"/>
    <n v="2"/>
    <n v="41.58"/>
    <x v="16"/>
    <x v="0"/>
    <x v="490"/>
    <x v="1"/>
    <x v="1"/>
    <s v="Tienda Online"/>
    <x v="0"/>
    <n v="5"/>
    <n v="5"/>
  </r>
  <r>
    <s v="V001141"/>
    <s v="978-3-31417-573-6"/>
    <s v="Ana Karenina"/>
    <s v="León Tolstói"/>
    <x v="9"/>
    <n v="15.21"/>
    <n v="1521"/>
    <n v="1"/>
    <n v="15.21"/>
    <x v="60"/>
    <x v="0"/>
    <x v="172"/>
    <x v="0"/>
    <x v="1"/>
    <s v="Tienda Online"/>
    <x v="3"/>
    <n v="5"/>
    <n v="5"/>
  </r>
  <r>
    <s v="V001142"/>
    <s v="978-9-71953-348-7"/>
    <s v="It"/>
    <s v="Stephen King"/>
    <x v="4"/>
    <n v="2.29"/>
    <n v="229"/>
    <n v="1"/>
    <n v="2.29"/>
    <x v="45"/>
    <x v="3"/>
    <x v="568"/>
    <x v="0"/>
    <x v="1"/>
    <s v="Tienda Online"/>
    <x v="0"/>
    <n v="5"/>
    <n v="5"/>
  </r>
  <r>
    <s v="V001143"/>
    <s v="978-9-20745-529-9"/>
    <s v="Watchmen"/>
    <s v="Alan Moore"/>
    <x v="10"/>
    <n v="2.2999999999999998"/>
    <n v="230"/>
    <n v="2"/>
    <n v="4.5999999999999996"/>
    <x v="19"/>
    <x v="0"/>
    <x v="700"/>
    <x v="0"/>
    <x v="1"/>
    <s v="Tienda Online"/>
    <x v="2"/>
    <n v="5"/>
    <n v="5"/>
  </r>
  <r>
    <s v="V001144"/>
    <s v="978-6-38893-559-9"/>
    <s v="Dune"/>
    <s v="Frank Herbert"/>
    <x v="12"/>
    <n v="2.29"/>
    <n v="229"/>
    <n v="2"/>
    <n v="4.58"/>
    <x v="29"/>
    <x v="1"/>
    <x v="425"/>
    <x v="0"/>
    <x v="0"/>
    <s v="Librería Central Madrid"/>
    <x v="2"/>
    <n v="5"/>
    <n v="5"/>
  </r>
  <r>
    <s v="V001145"/>
    <s v="978-8-27342-840-9"/>
    <s v="Stardust"/>
    <s v="Neil Gaiman"/>
    <x v="2"/>
    <n v="13.52"/>
    <n v="1352"/>
    <n v="1"/>
    <n v="13.52"/>
    <x v="19"/>
    <x v="1"/>
    <x v="589"/>
    <x v="0"/>
    <x v="1"/>
    <s v="Tienda Online"/>
    <x v="1"/>
    <n v="5"/>
    <n v="5"/>
  </r>
  <r>
    <s v="V001146"/>
    <s v="978-2-26828-775-7"/>
    <s v="Los cuatro acuerdos"/>
    <s v="Miguel Ruiz"/>
    <x v="0"/>
    <n v="13.55"/>
    <n v="1355"/>
    <n v="1"/>
    <n v="13.55"/>
    <x v="18"/>
    <x v="0"/>
    <x v="701"/>
    <x v="1"/>
    <x v="0"/>
    <s v="Librería Gran Vía"/>
    <x v="0"/>
    <n v="4"/>
    <n v="4"/>
  </r>
  <r>
    <s v="V001147"/>
    <s v="978-9-65461-316-8"/>
    <s v="Padre rico, padre pobre"/>
    <s v="Robert Kiyosaki"/>
    <x v="5"/>
    <n v="15.21"/>
    <n v="1521"/>
    <n v="2"/>
    <n v="30.42"/>
    <x v="1"/>
    <x v="2"/>
    <x v="273"/>
    <x v="0"/>
    <x v="0"/>
    <s v="Librería Valencia Centro"/>
    <x v="2"/>
    <n v="4"/>
    <n v="4"/>
  </r>
  <r>
    <s v="V001148"/>
    <s v="978-9-65461-316-8"/>
    <s v="Padre rico, padre pobre"/>
    <s v="Robert Kiyosaki"/>
    <x v="5"/>
    <n v="18.59"/>
    <n v="1859"/>
    <n v="2"/>
    <n v="37.18"/>
    <x v="65"/>
    <x v="0"/>
    <x v="177"/>
    <x v="2"/>
    <x v="1"/>
    <s v="Tienda Online"/>
    <x v="0"/>
    <n v="5"/>
    <n v="5"/>
  </r>
  <r>
    <s v="V001149"/>
    <s v="978-7-19071-878-8"/>
    <s v="El poder del ahora"/>
    <s v="Eckhart Tolle"/>
    <x v="0"/>
    <n v="1.49"/>
    <n v="149"/>
    <n v="2"/>
    <n v="2.98"/>
    <x v="10"/>
    <x v="0"/>
    <x v="450"/>
    <x v="1"/>
    <x v="1"/>
    <s v="Tienda Online"/>
    <x v="3"/>
    <n v="5"/>
    <n v="5"/>
  </r>
  <r>
    <s v="V001150"/>
    <s v="978-6-45093-167-3"/>
    <s v="Paula"/>
    <s v="Isabel Allende"/>
    <x v="13"/>
    <n v="1.67"/>
    <n v="167"/>
    <n v="1"/>
    <n v="1.67"/>
    <x v="55"/>
    <x v="2"/>
    <x v="702"/>
    <x v="1"/>
    <x v="1"/>
    <s v="Tienda Online"/>
    <x v="0"/>
    <n v="5"/>
    <n v="5"/>
  </r>
  <r>
    <s v="V001151"/>
    <s v="978-7-77839-562-1"/>
    <s v="El principito"/>
    <s v="Antoine de Saint-Exupéry"/>
    <x v="6"/>
    <n v="1.04"/>
    <n v="104"/>
    <n v="1"/>
    <n v="1.04"/>
    <x v="56"/>
    <x v="0"/>
    <x v="703"/>
    <x v="0"/>
    <x v="1"/>
    <s v="Tienda Online"/>
    <x v="2"/>
    <n v="5"/>
    <n v="5"/>
  </r>
  <r>
    <s v="V001152"/>
    <s v="978-0-62772-845-5"/>
    <s v="Drácula"/>
    <s v="Bram Stoker"/>
    <x v="4"/>
    <n v="13.55"/>
    <n v="1355"/>
    <n v="2"/>
    <n v="27.1"/>
    <x v="63"/>
    <x v="3"/>
    <x v="704"/>
    <x v="2"/>
    <x v="1"/>
    <s v="Tienda Online"/>
    <x v="1"/>
    <n v="5"/>
    <n v="5"/>
  </r>
  <r>
    <s v="V001153"/>
    <s v="978-7-17100-789-1"/>
    <s v="Carrie"/>
    <s v="Stephen King"/>
    <x v="4"/>
    <n v="1.49"/>
    <n v="149"/>
    <n v="1"/>
    <n v="1.49"/>
    <x v="23"/>
    <x v="0"/>
    <x v="407"/>
    <x v="0"/>
    <x v="1"/>
    <s v="Tienda Online"/>
    <x v="3"/>
    <n v="1"/>
    <n v="1"/>
  </r>
  <r>
    <s v="V001154"/>
    <s v="978-6-86484-508-5"/>
    <s v="Ficciones"/>
    <s v="Jorge Luis Borges"/>
    <x v="9"/>
    <n v="15.65"/>
    <n v="1565"/>
    <n v="1"/>
    <n v="15.65"/>
    <x v="25"/>
    <x v="3"/>
    <x v="705"/>
    <x v="1"/>
    <x v="1"/>
    <s v="Tienda Online"/>
    <x v="2"/>
    <n v="5"/>
    <n v="5"/>
  </r>
  <r>
    <s v="V001155"/>
    <s v="978-8-31643-371-8"/>
    <s v="Hábitos atómicos"/>
    <s v="James Clear"/>
    <x v="0"/>
    <n v="19.84"/>
    <n v="1984"/>
    <n v="1"/>
    <n v="19.84"/>
    <x v="64"/>
    <x v="1"/>
    <x v="247"/>
    <x v="0"/>
    <x v="0"/>
    <s v="Librería Barcelona Gòtic"/>
    <x v="2"/>
    <n v="5"/>
    <n v="5"/>
  </r>
  <r>
    <s v="V001156"/>
    <s v="978-0-87110-667-3"/>
    <s v="Charlie y la fábrica de chocolate"/>
    <s v="Roald Dahl"/>
    <x v="6"/>
    <n v="1.25"/>
    <n v="125"/>
    <n v="1"/>
    <n v="1.25"/>
    <x v="56"/>
    <x v="2"/>
    <x v="465"/>
    <x v="1"/>
    <x v="1"/>
    <s v="Tienda Online"/>
    <x v="0"/>
    <n v="4"/>
    <n v="4"/>
  </r>
  <r>
    <s v="V001157"/>
    <s v="978-2-18981-709-1"/>
    <s v="Una breve historia del tiempo"/>
    <s v="Stephen Hawking"/>
    <x v="11"/>
    <n v="1.69"/>
    <n v="169"/>
    <n v="2"/>
    <n v="3.38"/>
    <x v="53"/>
    <x v="0"/>
    <x v="692"/>
    <x v="2"/>
    <x v="1"/>
    <s v="Tienda Online"/>
    <x v="2"/>
    <n v="5"/>
    <n v="5"/>
  </r>
  <r>
    <s v="V001158"/>
    <s v="978-3-30032-482-2"/>
    <s v="Los hombres que no amaban a las mujeres"/>
    <s v="Stieg Larsson"/>
    <x v="1"/>
    <n v="14.32"/>
    <n v="1432"/>
    <n v="2"/>
    <n v="28.64"/>
    <x v="19"/>
    <x v="0"/>
    <x v="637"/>
    <x v="0"/>
    <x v="0"/>
    <s v="Librería Sevilla Triana"/>
    <x v="4"/>
    <n v="4"/>
    <n v="4"/>
  </r>
  <r>
    <s v="V001159"/>
    <s v="978-4-97684-597-3"/>
    <s v="American Gods"/>
    <s v="Neil Gaiman"/>
    <x v="2"/>
    <n v="1.99"/>
    <n v="199"/>
    <n v="1"/>
    <n v="1.99"/>
    <x v="27"/>
    <x v="0"/>
    <x v="155"/>
    <x v="2"/>
    <x v="1"/>
    <s v="Tienda Online"/>
    <x v="3"/>
    <n v="5"/>
    <n v="5"/>
  </r>
  <r>
    <s v="V001160"/>
    <s v="978-8-79514-100-9"/>
    <s v="La chica en la telaraña"/>
    <s v="David Lagercrantz"/>
    <x v="1"/>
    <n v="18.79"/>
    <n v="1879"/>
    <n v="1"/>
    <n v="18.79"/>
    <x v="19"/>
    <x v="1"/>
    <x v="166"/>
    <x v="1"/>
    <x v="0"/>
    <s v="Librería Valencia Centro"/>
    <x v="2"/>
    <n v="5"/>
    <n v="5"/>
  </r>
  <r>
    <s v="V001161"/>
    <s v="978-3-39451-165-5"/>
    <s v="Matilda"/>
    <s v="Roald Dahl"/>
    <x v="6"/>
    <n v="1.19"/>
    <n v="119"/>
    <n v="1"/>
    <n v="1.19"/>
    <x v="9"/>
    <x v="0"/>
    <x v="117"/>
    <x v="1"/>
    <x v="0"/>
    <s v="Librería Gran Vía"/>
    <x v="4"/>
    <n v="4"/>
    <n v="4"/>
  </r>
  <r>
    <s v="V001162"/>
    <s v="978-3-28131-621-7"/>
    <s v="El Aleph"/>
    <s v="Jorge Luis Borges"/>
    <x v="9"/>
    <n v="12.51"/>
    <n v="1251"/>
    <n v="1"/>
    <n v="12.51"/>
    <x v="8"/>
    <x v="1"/>
    <x v="142"/>
    <x v="1"/>
    <x v="0"/>
    <s v="Librería Central Madrid"/>
    <x v="0"/>
    <n v="4"/>
    <n v="4"/>
  </r>
  <r>
    <s v="V001163"/>
    <s v="978-5-50306-345-0"/>
    <s v="Homo Deus"/>
    <s v="Yuval Noah Harari"/>
    <x v="15"/>
    <n v="24.09"/>
    <n v="2409"/>
    <n v="1"/>
    <n v="24.09"/>
    <x v="17"/>
    <x v="3"/>
    <x v="181"/>
    <x v="0"/>
    <x v="0"/>
    <s v="Librería Barcelona Gòtic"/>
    <x v="0"/>
    <n v="5"/>
    <n v="5"/>
  </r>
  <r>
    <s v="V001164"/>
    <s v="978-6-86484-508-5"/>
    <s v="Ficciones"/>
    <s v="Jorge Luis Borges"/>
    <x v="9"/>
    <n v="11.92"/>
    <n v="1192"/>
    <n v="2"/>
    <n v="23.84"/>
    <x v="67"/>
    <x v="1"/>
    <x v="706"/>
    <x v="2"/>
    <x v="1"/>
    <s v="Tienda Online"/>
    <x v="4"/>
    <n v="5"/>
    <n v="5"/>
  </r>
  <r>
    <s v="V001165"/>
    <s v="978-9-78522-423-4"/>
    <s v="Maus"/>
    <s v="Art Spiegelman"/>
    <x v="10"/>
    <n v="14.36"/>
    <n v="1436"/>
    <n v="1"/>
    <n v="14.36"/>
    <x v="32"/>
    <x v="3"/>
    <x v="707"/>
    <x v="2"/>
    <x v="1"/>
    <s v="Tienda Online"/>
    <x v="4"/>
    <n v="5"/>
    <n v="5"/>
  </r>
  <r>
    <s v="V001166"/>
    <s v="978-4-97684-597-3"/>
    <s v="American Gods"/>
    <s v="Neil Gaiman"/>
    <x v="2"/>
    <n v="1.99"/>
    <n v="199"/>
    <n v="1"/>
    <n v="1.99"/>
    <x v="55"/>
    <x v="0"/>
    <x v="708"/>
    <x v="2"/>
    <x v="1"/>
    <s v="Tienda Online"/>
    <x v="2"/>
    <n v="5"/>
    <n v="5"/>
  </r>
  <r>
    <s v="V001167"/>
    <s v="978-2-18981-709-1"/>
    <s v="Una breve historia del tiempo"/>
    <s v="Stephen Hawking"/>
    <x v="11"/>
    <n v="14.36"/>
    <n v="1436"/>
    <n v="1"/>
    <n v="14.36"/>
    <x v="50"/>
    <x v="1"/>
    <x v="682"/>
    <x v="1"/>
    <x v="1"/>
    <s v="Tienda Online"/>
    <x v="2"/>
    <n v="2"/>
    <n v="2"/>
  </r>
  <r>
    <s v="V001168"/>
    <s v="978-1-13278-859-4"/>
    <s v="Cien años de soledad"/>
    <s v="Gabriel García Márquez"/>
    <x v="3"/>
    <n v="20.79"/>
    <n v="2079"/>
    <n v="2"/>
    <n v="41.58"/>
    <x v="70"/>
    <x v="0"/>
    <x v="646"/>
    <x v="0"/>
    <x v="0"/>
    <s v="Librería Sevilla Triana"/>
    <x v="1"/>
    <n v="5"/>
    <n v="5"/>
  </r>
  <r>
    <s v="V001169"/>
    <s v="978-4-99593-763-1"/>
    <s v="Crimen y castigo"/>
    <s v="Fiódor Dostoyevski"/>
    <x v="9"/>
    <n v="10.96"/>
    <n v="1096"/>
    <n v="1"/>
    <n v="10.96"/>
    <x v="41"/>
    <x v="3"/>
    <x v="143"/>
    <x v="2"/>
    <x v="1"/>
    <s v="Tienda Online"/>
    <x v="2"/>
    <n v="4"/>
    <n v="4"/>
  </r>
  <r>
    <s v="V001170"/>
    <s v="978-2-26828-775-7"/>
    <s v="Los cuatro acuerdos"/>
    <s v="Miguel Ruiz"/>
    <x v="0"/>
    <n v="1.29"/>
    <n v="129"/>
    <n v="1"/>
    <n v="1.29"/>
    <x v="30"/>
    <x v="0"/>
    <x v="32"/>
    <x v="1"/>
    <x v="1"/>
    <s v="Tienda Online"/>
    <x v="3"/>
    <n v="5"/>
    <n v="5"/>
  </r>
  <r>
    <s v="V001171"/>
    <s v="978-4-99593-763-1"/>
    <s v="Crimen y castigo"/>
    <s v="Fiódor Dostoyevski"/>
    <x v="9"/>
    <n v="1.29"/>
    <n v="129"/>
    <n v="1"/>
    <n v="1.29"/>
    <x v="34"/>
    <x v="1"/>
    <x v="368"/>
    <x v="2"/>
    <x v="1"/>
    <s v="Tienda Online"/>
    <x v="4"/>
    <n v="4"/>
    <n v="4"/>
  </r>
  <r>
    <s v="V001172"/>
    <s v="978-4-93748-619-9"/>
    <s v="Perdida"/>
    <s v="Gillian Flynn"/>
    <x v="1"/>
    <n v="17.32"/>
    <n v="1732"/>
    <n v="1"/>
    <n v="17.32"/>
    <x v="50"/>
    <x v="3"/>
    <x v="365"/>
    <x v="1"/>
    <x v="0"/>
    <s v="Librería Gran Vía"/>
    <x v="4"/>
    <n v="5"/>
    <n v="5"/>
  </r>
  <r>
    <s v="V001173"/>
    <s v="978-2-92240-263-6"/>
    <s v="La casa de Bernarda Alba"/>
    <s v="Federico García Lorca"/>
    <x v="17"/>
    <n v="10.89"/>
    <n v="1089"/>
    <n v="2"/>
    <n v="21.78"/>
    <x v="29"/>
    <x v="2"/>
    <x v="480"/>
    <x v="2"/>
    <x v="1"/>
    <s v="Tienda Online"/>
    <x v="1"/>
    <n v="4"/>
    <n v="4"/>
  </r>
  <r>
    <s v="V001174"/>
    <s v="978-3-85880-708-0"/>
    <s v="Persépolis"/>
    <s v="Marjane Satrapi"/>
    <x v="10"/>
    <n v="13.52"/>
    <n v="1352"/>
    <n v="1"/>
    <n v="13.52"/>
    <x v="13"/>
    <x v="3"/>
    <x v="709"/>
    <x v="1"/>
    <x v="1"/>
    <s v="Tienda Online"/>
    <x v="1"/>
    <n v="5"/>
    <n v="5"/>
  </r>
  <r>
    <s v="V001175"/>
    <s v="978-3-28131-621-7"/>
    <s v="El Aleph"/>
    <s v="Jorge Luis Borges"/>
    <x v="9"/>
    <n v="1.39"/>
    <n v="139"/>
    <n v="3"/>
    <n v="4.17"/>
    <x v="39"/>
    <x v="0"/>
    <x v="80"/>
    <x v="1"/>
    <x v="0"/>
    <s v="Librería Central Madrid"/>
    <x v="2"/>
    <n v="5"/>
    <n v="5"/>
  </r>
  <r>
    <s v="V001176"/>
    <s v="978-6-56438-533-6"/>
    <s v="Misery"/>
    <s v="Stephen King"/>
    <x v="4"/>
    <n v="17.75"/>
    <n v="1775"/>
    <n v="1"/>
    <n v="17.75"/>
    <x v="12"/>
    <x v="3"/>
    <x v="97"/>
    <x v="0"/>
    <x v="1"/>
    <s v="Tienda Online"/>
    <x v="3"/>
    <m/>
    <s v="Sin valoración"/>
  </r>
  <r>
    <s v="V001177"/>
    <s v="978-4-97684-597-3"/>
    <s v="American Gods"/>
    <s v="Neil Gaiman"/>
    <x v="2"/>
    <n v="21.89"/>
    <n v="2189"/>
    <n v="2"/>
    <n v="43.78"/>
    <x v="5"/>
    <x v="0"/>
    <x v="247"/>
    <x v="0"/>
    <x v="0"/>
    <s v="Librería Barcelona Gòtic"/>
    <x v="1"/>
    <n v="4"/>
    <n v="4"/>
  </r>
  <r>
    <s v="V001178"/>
    <s v="978-9-20745-529-9"/>
    <s v="Watchmen"/>
    <s v="Alan Moore"/>
    <x v="10"/>
    <n v="18.61"/>
    <n v="1861"/>
    <n v="1"/>
    <n v="18.61"/>
    <x v="46"/>
    <x v="3"/>
    <x v="710"/>
    <x v="0"/>
    <x v="0"/>
    <s v="Librería Sevilla Triana"/>
    <x v="2"/>
    <m/>
    <s v="Sin valoración"/>
  </r>
  <r>
    <s v="V001179"/>
    <s v="978-9-72493-614-8"/>
    <s v="El chef en casa"/>
    <s v="Jamie Oliver"/>
    <x v="14"/>
    <n v="1.99"/>
    <n v="199"/>
    <n v="1"/>
    <n v="1.99"/>
    <x v="51"/>
    <x v="0"/>
    <x v="319"/>
    <x v="1"/>
    <x v="1"/>
    <s v="Tienda Online"/>
    <x v="1"/>
    <n v="1"/>
    <n v="1"/>
  </r>
  <r>
    <s v="V001180"/>
    <s v="978-4-10851-877-2"/>
    <s v="El nombre del viento"/>
    <s v="Patrick Rothfuss"/>
    <x v="2"/>
    <n v="19.71"/>
    <n v="1971"/>
    <n v="1"/>
    <n v="19.71"/>
    <x v="53"/>
    <x v="1"/>
    <x v="711"/>
    <x v="2"/>
    <x v="1"/>
    <s v="Tienda Online"/>
    <x v="1"/>
    <n v="4"/>
    <n v="4"/>
  </r>
  <r>
    <s v="V001181"/>
    <s v="978-5-19287-626-3"/>
    <s v="Coraline"/>
    <s v="Neil Gaiman"/>
    <x v="8"/>
    <n v="1.46"/>
    <n v="146"/>
    <n v="1"/>
    <n v="1.46"/>
    <x v="21"/>
    <x v="0"/>
    <x v="694"/>
    <x v="2"/>
    <x v="1"/>
    <s v="Tienda Online"/>
    <x v="4"/>
    <n v="5"/>
    <n v="5"/>
  </r>
  <r>
    <s v="V001182"/>
    <s v="978-1-13278-859-4"/>
    <s v="Cien años de soledad"/>
    <s v="Gabriel García Márquez"/>
    <x v="3"/>
    <n v="17.010000000000002"/>
    <n v="1701"/>
    <n v="1"/>
    <n v="17.010000000000002"/>
    <x v="63"/>
    <x v="3"/>
    <x v="67"/>
    <x v="0"/>
    <x v="1"/>
    <s v="Tienda Online"/>
    <x v="1"/>
    <n v="5"/>
    <n v="5"/>
  </r>
  <r>
    <s v="V001183"/>
    <s v="978-6-38893-559-9"/>
    <s v="Dune"/>
    <s v="Frank Herbert"/>
    <x v="12"/>
    <n v="2.29"/>
    <n v="229"/>
    <n v="1"/>
    <n v="2.29"/>
    <x v="59"/>
    <x v="1"/>
    <x v="535"/>
    <x v="2"/>
    <x v="1"/>
    <s v="Tienda Online"/>
    <x v="4"/>
    <n v="2"/>
    <n v="2"/>
  </r>
  <r>
    <s v="V001184"/>
    <s v="978-3-31417-573-6"/>
    <s v="Ana Karenina"/>
    <s v="León Tolstói"/>
    <x v="9"/>
    <n v="13.52"/>
    <n v="1352"/>
    <n v="1"/>
    <n v="13.52"/>
    <x v="70"/>
    <x v="3"/>
    <x v="4"/>
    <x v="0"/>
    <x v="1"/>
    <s v="Tienda Online"/>
    <x v="4"/>
    <n v="5"/>
    <n v="5"/>
  </r>
  <r>
    <s v="V001185"/>
    <s v="978-0-87110-667-3"/>
    <s v="Charlie y la fábrica de chocolate"/>
    <s v="Roald Dahl"/>
    <x v="6"/>
    <n v="1.19"/>
    <n v="119"/>
    <n v="2"/>
    <n v="2.38"/>
    <x v="24"/>
    <x v="2"/>
    <x v="712"/>
    <x v="0"/>
    <x v="1"/>
    <s v="Tienda Online"/>
    <x v="3"/>
    <n v="5"/>
    <n v="5"/>
  </r>
  <r>
    <s v="V001186"/>
    <s v="978-3-39451-165-5"/>
    <s v="Matilda"/>
    <s v="Roald Dahl"/>
    <x v="6"/>
    <n v="1.25"/>
    <n v="125"/>
    <n v="3"/>
    <n v="3.75"/>
    <x v="11"/>
    <x v="1"/>
    <x v="713"/>
    <x v="2"/>
    <x v="1"/>
    <s v="Tienda Online"/>
    <x v="2"/>
    <n v="5"/>
    <n v="5"/>
  </r>
  <r>
    <s v="V001187"/>
    <s v="978-3-14207-924-5"/>
    <s v="La casa de los espíritus"/>
    <s v="Isabel Allende"/>
    <x v="3"/>
    <n v="1.79"/>
    <n v="179"/>
    <n v="1"/>
    <n v="1.79"/>
    <x v="65"/>
    <x v="2"/>
    <x v="581"/>
    <x v="2"/>
    <x v="1"/>
    <s v="Tienda Online"/>
    <x v="3"/>
    <n v="4"/>
    <n v="4"/>
  </r>
  <r>
    <s v="V001188"/>
    <s v="978-1-16630-767-8"/>
    <s v="Los pilares de la Tierra"/>
    <s v="Ken Follett"/>
    <x v="16"/>
    <n v="2.2999999999999998"/>
    <n v="230"/>
    <n v="1"/>
    <n v="2.2999999999999998"/>
    <x v="28"/>
    <x v="2"/>
    <x v="714"/>
    <x v="1"/>
    <x v="1"/>
    <s v="Tienda Online"/>
    <x v="2"/>
    <n v="4"/>
    <n v="4"/>
  </r>
  <r>
    <s v="V001189"/>
    <s v="978-0-87110-667-3"/>
    <s v="Charlie y la fábrica de chocolate"/>
    <s v="Roald Dahl"/>
    <x v="6"/>
    <n v="9.52"/>
    <n v="952"/>
    <n v="2"/>
    <n v="19.04"/>
    <x v="24"/>
    <x v="2"/>
    <x v="286"/>
    <x v="2"/>
    <x v="1"/>
    <s v="Tienda Online"/>
    <x v="2"/>
    <n v="4"/>
    <n v="4"/>
  </r>
  <r>
    <s v="V001190"/>
    <s v="978-8-31643-371-8"/>
    <s v="Hábitos atómicos"/>
    <s v="James Clear"/>
    <x v="0"/>
    <n v="15.12"/>
    <n v="1512"/>
    <n v="1"/>
    <n v="15.12"/>
    <x v="13"/>
    <x v="1"/>
    <x v="362"/>
    <x v="0"/>
    <x v="0"/>
    <s v="Librería Gran Vía"/>
    <x v="4"/>
    <n v="5"/>
    <n v="5"/>
  </r>
  <r>
    <s v="V001191"/>
    <s v="978-4-10851-877-2"/>
    <s v="El nombre del viento"/>
    <s v="Patrick Rothfuss"/>
    <x v="2"/>
    <n v="24.09"/>
    <n v="2409"/>
    <n v="2"/>
    <n v="48.18"/>
    <x v="53"/>
    <x v="3"/>
    <x v="340"/>
    <x v="2"/>
    <x v="1"/>
    <s v="Tienda Online"/>
    <x v="0"/>
    <n v="4"/>
    <n v="4"/>
  </r>
  <r>
    <s v="V001192"/>
    <s v="978-8-68800-243-6"/>
    <s v="El extranjero"/>
    <s v="Albert Camus"/>
    <x v="9"/>
    <n v="14.19"/>
    <n v="1419"/>
    <n v="1"/>
    <n v="14.19"/>
    <x v="1"/>
    <x v="3"/>
    <x v="397"/>
    <x v="2"/>
    <x v="1"/>
    <s v="Tienda Online"/>
    <x v="4"/>
    <n v="3"/>
    <n v="3"/>
  </r>
  <r>
    <s v="V001193"/>
    <s v="978-1-82357-400-9"/>
    <s v="Harry Potter y la piedra filosofal"/>
    <s v="J.K. Rowling"/>
    <x v="8"/>
    <n v="1.67"/>
    <n v="167"/>
    <n v="1"/>
    <n v="1.67"/>
    <x v="8"/>
    <x v="1"/>
    <x v="715"/>
    <x v="0"/>
    <x v="1"/>
    <s v="Tienda Online"/>
    <x v="2"/>
    <n v="3"/>
    <n v="3"/>
  </r>
  <r>
    <s v="V001194"/>
    <s v="978-8-79514-100-9"/>
    <s v="La chica en la telaraña"/>
    <s v="David Lagercrantz"/>
    <x v="1"/>
    <n v="14.32"/>
    <n v="1432"/>
    <n v="1"/>
    <n v="14.32"/>
    <x v="64"/>
    <x v="0"/>
    <x v="640"/>
    <x v="0"/>
    <x v="0"/>
    <s v="Librería Barcelona Gòtic"/>
    <x v="1"/>
    <n v="5"/>
    <n v="5"/>
  </r>
  <r>
    <s v="V001195"/>
    <s v="978-8-36062-833-8"/>
    <s v="Crónicas marcianas"/>
    <s v="Ray Bradbury"/>
    <x v="12"/>
    <n v="1.52"/>
    <n v="152"/>
    <n v="1"/>
    <n v="1.52"/>
    <x v="43"/>
    <x v="2"/>
    <x v="407"/>
    <x v="0"/>
    <x v="1"/>
    <s v="Tienda Online"/>
    <x v="4"/>
    <n v="5"/>
    <n v="5"/>
  </r>
  <r>
    <s v="V001196"/>
    <s v="978-8-79514-100-9"/>
    <s v="La chica en la telaraña"/>
    <s v="David Lagercrantz"/>
    <x v="1"/>
    <n v="18.79"/>
    <n v="1879"/>
    <n v="1"/>
    <n v="18.79"/>
    <x v="6"/>
    <x v="2"/>
    <x v="350"/>
    <x v="1"/>
    <x v="0"/>
    <s v="Librería Gran Vía"/>
    <x v="0"/>
    <n v="4"/>
    <n v="4"/>
  </r>
  <r>
    <s v="V001197"/>
    <s v="978-0-62772-845-5"/>
    <s v="Drácula"/>
    <s v="Bram Stoker"/>
    <x v="4"/>
    <n v="1.29"/>
    <n v="129"/>
    <n v="4"/>
    <n v="5.16"/>
    <x v="51"/>
    <x v="1"/>
    <x v="311"/>
    <x v="1"/>
    <x v="0"/>
    <s v="Librería Valencia Centro"/>
    <x v="0"/>
    <n v="5"/>
    <n v="5"/>
  </r>
  <r>
    <s v="V001198"/>
    <s v="978-0-40007-169-0"/>
    <s v="El Principito ilustrado"/>
    <s v="Antoine de Saint-Exupéry"/>
    <x v="6"/>
    <n v="12.72"/>
    <n v="1272"/>
    <n v="1"/>
    <n v="12.72"/>
    <x v="58"/>
    <x v="0"/>
    <x v="365"/>
    <x v="0"/>
    <x v="1"/>
    <s v="Tienda Online"/>
    <x v="3"/>
    <n v="5"/>
    <n v="5"/>
  </r>
  <r>
    <s v="V001199"/>
    <s v="978-1-16175-981-1"/>
    <s v="Pedro Páramo"/>
    <s v="Juan Rulfo"/>
    <x v="9"/>
    <n v="1.29"/>
    <n v="129"/>
    <n v="1"/>
    <n v="1.29"/>
    <x v="44"/>
    <x v="3"/>
    <x v="58"/>
    <x v="0"/>
    <x v="0"/>
    <s v="Librería Barcelona Gòtic"/>
    <x v="2"/>
    <m/>
    <s v="Sin valoración"/>
  </r>
  <r>
    <s v="V001200"/>
    <s v="978-4-28301-352-8"/>
    <s v="El prisionero del cielo"/>
    <s v="Carlos Ruiz Zafón"/>
    <x v="3"/>
    <n v="19.690000000000001"/>
    <n v="1969"/>
    <n v="1"/>
    <n v="19.690000000000001"/>
    <x v="55"/>
    <x v="2"/>
    <x v="107"/>
    <x v="2"/>
    <x v="1"/>
    <s v="Tienda Online"/>
    <x v="3"/>
    <n v="4"/>
    <n v="4"/>
  </r>
  <r>
    <s v="V001201"/>
    <s v="978-3-54118-204-1"/>
    <s v="Juego de Tronos"/>
    <s v="George R.R. Martin"/>
    <x v="2"/>
    <n v="1.99"/>
    <n v="199"/>
    <n v="1"/>
    <n v="1.99"/>
    <x v="8"/>
    <x v="0"/>
    <x v="716"/>
    <x v="2"/>
    <x v="1"/>
    <s v="Tienda Online"/>
    <x v="1"/>
    <m/>
    <s v="Sin valoración"/>
  </r>
  <r>
    <s v="V001202"/>
    <s v="978-6-86484-508-5"/>
    <s v="Ficciones"/>
    <s v="Jorge Luis Borges"/>
    <x v="9"/>
    <n v="13.41"/>
    <n v="1341"/>
    <n v="2"/>
    <n v="26.82"/>
    <x v="32"/>
    <x v="1"/>
    <x v="431"/>
    <x v="1"/>
    <x v="1"/>
    <s v="Tienda Online"/>
    <x v="0"/>
    <n v="1"/>
    <n v="1"/>
  </r>
  <r>
    <s v="V001203"/>
    <s v="978-4-93748-619-9"/>
    <s v="Perdida"/>
    <s v="Gillian Flynn"/>
    <x v="1"/>
    <n v="17.32"/>
    <n v="1732"/>
    <n v="2"/>
    <n v="34.64"/>
    <x v="64"/>
    <x v="3"/>
    <x v="717"/>
    <x v="2"/>
    <x v="1"/>
    <s v="Tienda Online"/>
    <x v="4"/>
    <n v="1"/>
    <n v="1"/>
  </r>
  <r>
    <s v="V001204"/>
    <s v="978-3-62923-222-9"/>
    <s v="El gen egoísta"/>
    <s v="Richard Dawkins"/>
    <x v="11"/>
    <n v="14.32"/>
    <n v="1432"/>
    <n v="2"/>
    <n v="28.64"/>
    <x v="46"/>
    <x v="0"/>
    <x v="351"/>
    <x v="1"/>
    <x v="0"/>
    <s v="Librería Barcelona Gòtic"/>
    <x v="3"/>
    <n v="5"/>
    <n v="5"/>
  </r>
  <r>
    <s v="V001205"/>
    <s v="978-3-84364-180-1"/>
    <s v="21 lecciones para el siglo XXI"/>
    <s v="Yuval Noah Harari"/>
    <x v="15"/>
    <n v="15.92"/>
    <n v="1592"/>
    <n v="2"/>
    <n v="31.84"/>
    <x v="6"/>
    <x v="3"/>
    <x v="718"/>
    <x v="2"/>
    <x v="1"/>
    <s v="Tienda Online"/>
    <x v="3"/>
    <n v="5"/>
    <n v="5"/>
  </r>
  <r>
    <s v="V001206"/>
    <s v="978-4-28301-352-8"/>
    <s v="El prisionero del cielo"/>
    <s v="Carlos Ruiz Zafón"/>
    <x v="3"/>
    <n v="18.79"/>
    <n v="1879"/>
    <n v="1"/>
    <n v="18.79"/>
    <x v="28"/>
    <x v="3"/>
    <x v="719"/>
    <x v="0"/>
    <x v="0"/>
    <s v="Librería Barcelona Gòtic"/>
    <x v="2"/>
    <n v="5"/>
    <n v="5"/>
  </r>
  <r>
    <s v="V001207"/>
    <s v="978-4-99593-763-1"/>
    <s v="Crimen y castigo"/>
    <s v="Fiódor Dostoyevski"/>
    <x v="9"/>
    <n v="1.29"/>
    <n v="129"/>
    <n v="4"/>
    <n v="5.16"/>
    <x v="18"/>
    <x v="2"/>
    <x v="720"/>
    <x v="2"/>
    <x v="1"/>
    <s v="Tienda Online"/>
    <x v="0"/>
    <n v="5"/>
    <n v="5"/>
  </r>
  <r>
    <s v="V001208"/>
    <s v="978-9-18326-494-6"/>
    <s v="Romancero gitano"/>
    <s v="Federico García Lorca"/>
    <x v="7"/>
    <n v="1.0900000000000001"/>
    <n v="109"/>
    <n v="1"/>
    <n v="1.0900000000000001"/>
    <x v="14"/>
    <x v="0"/>
    <x v="580"/>
    <x v="2"/>
    <x v="1"/>
    <s v="Tienda Online"/>
    <x v="3"/>
    <n v="4"/>
    <n v="4"/>
  </r>
  <r>
    <s v="V001209"/>
    <s v="978-5-74042-119-1"/>
    <s v="Sapiens"/>
    <s v="Yuval Noah Harari"/>
    <x v="15"/>
    <n v="17.52"/>
    <n v="1752"/>
    <n v="1"/>
    <n v="17.52"/>
    <x v="64"/>
    <x v="0"/>
    <x v="533"/>
    <x v="0"/>
    <x v="0"/>
    <s v="Librería Valencia Centro"/>
    <x v="3"/>
    <n v="3"/>
    <n v="3"/>
  </r>
  <r>
    <s v="V001210"/>
    <s v="978-0-13905-195-3"/>
    <s v="Rebelión en la granja"/>
    <s v="George Orwell"/>
    <x v="3"/>
    <n v="1.25"/>
    <n v="125"/>
    <n v="1"/>
    <n v="1.25"/>
    <x v="42"/>
    <x v="3"/>
    <x v="38"/>
    <x v="2"/>
    <x v="1"/>
    <s v="Tienda Online"/>
    <x v="2"/>
    <n v="3"/>
    <n v="3"/>
  </r>
  <r>
    <s v="V001211"/>
    <s v="978-4-97684-597-3"/>
    <s v="American Gods"/>
    <s v="Neil Gaiman"/>
    <x v="2"/>
    <n v="1.99"/>
    <n v="199"/>
    <n v="1"/>
    <n v="1.99"/>
    <x v="69"/>
    <x v="1"/>
    <x v="721"/>
    <x v="1"/>
    <x v="1"/>
    <s v="Tienda Online"/>
    <x v="2"/>
    <n v="5"/>
    <n v="5"/>
  </r>
  <r>
    <s v="V001212"/>
    <s v="978-8-44438-864-9"/>
    <s v="Rayuela"/>
    <s v="Julio Cortázar"/>
    <x v="9"/>
    <n v="14.36"/>
    <n v="1436"/>
    <n v="2"/>
    <n v="28.72"/>
    <x v="54"/>
    <x v="1"/>
    <x v="275"/>
    <x v="1"/>
    <x v="0"/>
    <s v="Librería Sevilla Triana"/>
    <x v="4"/>
    <n v="4"/>
    <n v="4"/>
  </r>
  <r>
    <s v="V001213"/>
    <s v="978-3-97782-833-5"/>
    <s v="V de Vendetta"/>
    <s v="Alan Moore"/>
    <x v="10"/>
    <n v="15.12"/>
    <n v="1512"/>
    <n v="2"/>
    <n v="30.24"/>
    <x v="7"/>
    <x v="2"/>
    <x v="722"/>
    <x v="1"/>
    <x v="0"/>
    <s v="Librería Central Madrid"/>
    <x v="1"/>
    <n v="4"/>
    <n v="4"/>
  </r>
  <r>
    <s v="V001214"/>
    <s v="978-5-85674-296-1"/>
    <s v="Harry Potter y la cámara secreta"/>
    <s v="J.K. Rowling"/>
    <x v="8"/>
    <n v="1.59"/>
    <n v="159"/>
    <n v="1"/>
    <n v="1.59"/>
    <x v="55"/>
    <x v="1"/>
    <x v="676"/>
    <x v="2"/>
    <x v="1"/>
    <s v="Tienda Online"/>
    <x v="2"/>
    <m/>
    <s v="Sin valoración"/>
  </r>
  <r>
    <s v="V001215"/>
    <s v="978-0-96673-333-4"/>
    <s v="Harry Potter y el prisionero de Azkaban"/>
    <s v="J.K. Rowling"/>
    <x v="8"/>
    <n v="1.69"/>
    <n v="169"/>
    <n v="1"/>
    <n v="1.69"/>
    <x v="29"/>
    <x v="0"/>
    <x v="723"/>
    <x v="1"/>
    <x v="0"/>
    <s v="Librería Gran Vía"/>
    <x v="2"/>
    <n v="4"/>
    <n v="4"/>
  </r>
  <r>
    <s v="V001216"/>
    <s v="978-2-63269-597-7"/>
    <s v="La chica de nieve"/>
    <s v="Javier Castillo"/>
    <x v="1"/>
    <n v="1.89"/>
    <n v="189"/>
    <n v="3"/>
    <n v="5.67"/>
    <x v="5"/>
    <x v="2"/>
    <x v="724"/>
    <x v="1"/>
    <x v="1"/>
    <s v="Tienda Online"/>
    <x v="4"/>
    <n v="4"/>
    <n v="4"/>
  </r>
  <r>
    <s v="V001217"/>
    <s v="978-7-80284-227-6"/>
    <s v="El Señor de los Anillos"/>
    <s v="J.R.R. Tolkien"/>
    <x v="2"/>
    <n v="31.39"/>
    <n v="3139"/>
    <n v="1"/>
    <n v="31.39"/>
    <x v="10"/>
    <x v="2"/>
    <x v="576"/>
    <x v="2"/>
    <x v="1"/>
    <s v="Tienda Online"/>
    <x v="2"/>
    <n v="3"/>
    <n v="3"/>
  </r>
  <r>
    <s v="V001218"/>
    <s v="978-3-99733-432-0"/>
    <s v="Don Quijote de la Mancha"/>
    <s v="Miguel de Cervantes"/>
    <x v="9"/>
    <n v="1.99"/>
    <n v="199"/>
    <n v="1"/>
    <n v="1.99"/>
    <x v="45"/>
    <x v="3"/>
    <x v="725"/>
    <x v="0"/>
    <x v="0"/>
    <s v="Librería Gran Vía"/>
    <x v="2"/>
    <n v="4"/>
    <n v="4"/>
  </r>
  <r>
    <s v="V001219"/>
    <s v="978-1-16175-981-1"/>
    <s v="Pedro Páramo"/>
    <s v="Juan Rulfo"/>
    <x v="9"/>
    <n v="10.96"/>
    <n v="1096"/>
    <n v="1"/>
    <n v="10.96"/>
    <x v="34"/>
    <x v="3"/>
    <x v="612"/>
    <x v="2"/>
    <x v="1"/>
    <s v="Tienda Online"/>
    <x v="2"/>
    <n v="5"/>
    <n v="5"/>
  </r>
  <r>
    <s v="V001220"/>
    <s v="978-8-36062-833-8"/>
    <s v="Crónicas marcianas"/>
    <s v="Ray Bradbury"/>
    <x v="12"/>
    <n v="1.52"/>
    <n v="152"/>
    <n v="4"/>
    <n v="6.08"/>
    <x v="43"/>
    <x v="2"/>
    <x v="128"/>
    <x v="0"/>
    <x v="0"/>
    <s v="Librería Gran Vía"/>
    <x v="4"/>
    <n v="5"/>
    <n v="5"/>
  </r>
  <r>
    <s v="V001221"/>
    <s v="978-3-17665-693-8"/>
    <s v="La familia de Pascual Duarte"/>
    <s v="Camilo José Cela"/>
    <x v="9"/>
    <n v="13.55"/>
    <n v="1355"/>
    <n v="2"/>
    <n v="27.1"/>
    <x v="29"/>
    <x v="1"/>
    <x v="142"/>
    <x v="2"/>
    <x v="1"/>
    <s v="Tienda Online"/>
    <x v="3"/>
    <m/>
    <s v="Sin valoración"/>
  </r>
  <r>
    <s v="V001222"/>
    <s v="978-9-65461-316-8"/>
    <s v="Padre rico, padre pobre"/>
    <s v="Robert Kiyosaki"/>
    <x v="5"/>
    <n v="14.36"/>
    <n v="1436"/>
    <n v="1"/>
    <n v="14.36"/>
    <x v="10"/>
    <x v="2"/>
    <x v="726"/>
    <x v="1"/>
    <x v="1"/>
    <s v="Tienda Online"/>
    <x v="0"/>
    <n v="4"/>
    <n v="4"/>
  </r>
  <r>
    <s v="V001223"/>
    <s v="978-3-99733-432-0"/>
    <s v="Don Quijote de la Mancha"/>
    <s v="Miguel de Cervantes"/>
    <x v="9"/>
    <n v="16.91"/>
    <n v="1691"/>
    <n v="1"/>
    <n v="16.91"/>
    <x v="41"/>
    <x v="3"/>
    <x v="668"/>
    <x v="1"/>
    <x v="0"/>
    <s v="Librería Barcelona Gòtic"/>
    <x v="3"/>
    <n v="4"/>
    <n v="4"/>
  </r>
  <r>
    <s v="V001224"/>
    <s v="978-6-34957-196-1"/>
    <s v="El resplandor"/>
    <s v="Stephen King"/>
    <x v="4"/>
    <n v="1.89"/>
    <n v="189"/>
    <n v="2"/>
    <n v="3.78"/>
    <x v="29"/>
    <x v="1"/>
    <x v="34"/>
    <x v="2"/>
    <x v="1"/>
    <s v="Tienda Online"/>
    <x v="1"/>
    <m/>
    <s v="Sin valoración"/>
  </r>
  <r>
    <s v="V001225"/>
    <s v="978-9-65461-316-8"/>
    <s v="Padre rico, padre pobre"/>
    <s v="Robert Kiyosaki"/>
    <x v="5"/>
    <n v="15.21"/>
    <n v="1521"/>
    <n v="1"/>
    <n v="15.21"/>
    <x v="48"/>
    <x v="2"/>
    <x v="233"/>
    <x v="0"/>
    <x v="1"/>
    <s v="Tienda Online"/>
    <x v="2"/>
    <n v="4"/>
    <n v="4"/>
  </r>
  <r>
    <s v="V001226"/>
    <s v="978-4-93748-619-9"/>
    <s v="Perdida"/>
    <s v="Gillian Flynn"/>
    <x v="1"/>
    <n v="14.03"/>
    <n v="1403"/>
    <n v="1"/>
    <n v="14.03"/>
    <x v="17"/>
    <x v="1"/>
    <x v="193"/>
    <x v="0"/>
    <x v="0"/>
    <s v="Librería Central Madrid"/>
    <x v="4"/>
    <n v="4"/>
    <n v="4"/>
  </r>
  <r>
    <s v="V001227"/>
    <s v="978-3-62565-160-2"/>
    <s v="El día que se perdió la cordura"/>
    <s v="Javier Castillo"/>
    <x v="1"/>
    <n v="15.12"/>
    <n v="1512"/>
    <n v="1"/>
    <n v="15.12"/>
    <x v="33"/>
    <x v="2"/>
    <x v="13"/>
    <x v="0"/>
    <x v="0"/>
    <s v="Librería Gran Vía"/>
    <x v="4"/>
    <n v="4"/>
    <n v="4"/>
  </r>
  <r>
    <s v="V001228"/>
    <s v="978-3-17665-693-8"/>
    <s v="La familia de Pascual Duarte"/>
    <s v="Camilo José Cela"/>
    <x v="9"/>
    <n v="14.19"/>
    <n v="1419"/>
    <n v="1"/>
    <n v="14.19"/>
    <x v="6"/>
    <x v="2"/>
    <x v="528"/>
    <x v="0"/>
    <x v="0"/>
    <s v="Librería Central Madrid"/>
    <x v="4"/>
    <n v="5"/>
    <n v="5"/>
  </r>
  <r>
    <s v="V001229"/>
    <s v="978-7-80284-227-6"/>
    <s v="El Señor de los Anillos"/>
    <s v="J.R.R. Tolkien"/>
    <x v="2"/>
    <n v="26.91"/>
    <n v="2691"/>
    <n v="1"/>
    <n v="26.91"/>
    <x v="45"/>
    <x v="0"/>
    <x v="489"/>
    <x v="2"/>
    <x v="1"/>
    <s v="Tienda Online"/>
    <x v="3"/>
    <n v="3"/>
    <n v="3"/>
  </r>
  <r>
    <s v="V001230"/>
    <s v="978-3-30032-482-2"/>
    <s v="Los hombres que no amaban a las mujeres"/>
    <s v="Stieg Larsson"/>
    <x v="1"/>
    <n v="16.11"/>
    <n v="1611"/>
    <n v="1"/>
    <n v="16.11"/>
    <x v="31"/>
    <x v="2"/>
    <x v="190"/>
    <x v="2"/>
    <x v="1"/>
    <s v="Tienda Online"/>
    <x v="1"/>
    <n v="4"/>
    <n v="4"/>
  </r>
  <r>
    <s v="V001231"/>
    <s v="978-6-22676-467-5"/>
    <s v="Choque de Reyes"/>
    <s v="George R.R. Martin"/>
    <x v="2"/>
    <n v="17.91"/>
    <n v="1791"/>
    <n v="1"/>
    <n v="17.91"/>
    <x v="50"/>
    <x v="0"/>
    <x v="568"/>
    <x v="1"/>
    <x v="1"/>
    <s v="Tienda Online"/>
    <x v="3"/>
    <n v="4"/>
    <n v="4"/>
  </r>
  <r>
    <s v="V001232"/>
    <s v="978-7-30289-294-4"/>
    <s v="Nada"/>
    <s v="Carmen Laforet"/>
    <x v="9"/>
    <n v="1.39"/>
    <n v="139"/>
    <n v="2"/>
    <n v="2.78"/>
    <x v="44"/>
    <x v="1"/>
    <x v="385"/>
    <x v="0"/>
    <x v="0"/>
    <s v="Librería Sevilla Triana"/>
    <x v="2"/>
    <n v="5"/>
    <n v="5"/>
  </r>
  <r>
    <s v="V001233"/>
    <s v="978-9-71953-348-7"/>
    <s v="It"/>
    <s v="Stephen King"/>
    <x v="4"/>
    <n v="20.61"/>
    <n v="2061"/>
    <n v="1"/>
    <n v="20.61"/>
    <x v="23"/>
    <x v="0"/>
    <x v="298"/>
    <x v="0"/>
    <x v="0"/>
    <s v="Librería Gran Vía"/>
    <x v="0"/>
    <n v="5"/>
    <n v="5"/>
  </r>
  <r>
    <s v="V001234"/>
    <s v="978-8-36062-833-8"/>
    <s v="Crónicas marcianas"/>
    <s v="Ray Bradbury"/>
    <x v="12"/>
    <n v="12.92"/>
    <n v="1292"/>
    <n v="1"/>
    <n v="12.92"/>
    <x v="22"/>
    <x v="2"/>
    <x v="526"/>
    <x v="0"/>
    <x v="0"/>
    <s v="Librería Barcelona Gòtic"/>
    <x v="0"/>
    <m/>
    <s v="Sin valoración"/>
  </r>
  <r>
    <s v="V001235"/>
    <s v="978-3-85880-708-0"/>
    <s v="Persépolis"/>
    <s v="Marjane Satrapi"/>
    <x v="10"/>
    <n v="1.59"/>
    <n v="159"/>
    <n v="2"/>
    <n v="3.18"/>
    <x v="0"/>
    <x v="2"/>
    <x v="207"/>
    <x v="1"/>
    <x v="0"/>
    <s v="Librería Barcelona Gòtic"/>
    <x v="0"/>
    <n v="1"/>
    <n v="1"/>
  </r>
  <r>
    <s v="V001236"/>
    <s v="978-1-68082-927-8"/>
    <s v="Náuseas"/>
    <s v="Jean-Paul Sartre"/>
    <x v="9"/>
    <n v="1.39"/>
    <n v="139"/>
    <n v="1"/>
    <n v="1.39"/>
    <x v="51"/>
    <x v="2"/>
    <x v="320"/>
    <x v="2"/>
    <x v="1"/>
    <s v="Tienda Online"/>
    <x v="0"/>
    <n v="4"/>
    <n v="4"/>
  </r>
  <r>
    <s v="V001237"/>
    <s v="978-6-38893-559-9"/>
    <s v="Dune"/>
    <s v="Frank Herbert"/>
    <x v="12"/>
    <n v="20.61"/>
    <n v="2061"/>
    <n v="1"/>
    <n v="20.61"/>
    <x v="1"/>
    <x v="2"/>
    <x v="554"/>
    <x v="0"/>
    <x v="0"/>
    <s v="Librería Sevilla Triana"/>
    <x v="2"/>
    <n v="5"/>
    <n v="5"/>
  </r>
  <r>
    <s v="V001238"/>
    <s v="978-8-36062-833-8"/>
    <s v="Crónicas marcianas"/>
    <s v="Ray Bradbury"/>
    <x v="12"/>
    <n v="12.16"/>
    <n v="1216"/>
    <n v="1"/>
    <n v="12.16"/>
    <x v="42"/>
    <x v="1"/>
    <x v="727"/>
    <x v="1"/>
    <x v="0"/>
    <s v="Librería Barcelona Gòtic"/>
    <x v="0"/>
    <n v="4"/>
    <n v="4"/>
  </r>
  <r>
    <s v="V001239"/>
    <s v="978-3-31417-573-6"/>
    <s v="Ana Karenina"/>
    <s v="León Tolstói"/>
    <x v="9"/>
    <n v="1.69"/>
    <n v="169"/>
    <n v="2"/>
    <n v="3.38"/>
    <x v="22"/>
    <x v="0"/>
    <x v="728"/>
    <x v="2"/>
    <x v="1"/>
    <s v="Tienda Online"/>
    <x v="1"/>
    <n v="4"/>
    <n v="4"/>
  </r>
  <r>
    <s v="V001240"/>
    <s v="978-8-44973-887-5"/>
    <s v="Ángeles y demonios"/>
    <s v="Dan Brown"/>
    <x v="1"/>
    <n v="14.36"/>
    <n v="1436"/>
    <n v="1"/>
    <n v="14.36"/>
    <x v="18"/>
    <x v="0"/>
    <x v="729"/>
    <x v="1"/>
    <x v="1"/>
    <s v="Tienda Online"/>
    <x v="1"/>
    <n v="5"/>
    <n v="5"/>
  </r>
  <r>
    <s v="V001241"/>
    <s v="978-2-92240-263-6"/>
    <s v="La casa de Bernarda Alba"/>
    <s v="Federico García Lorca"/>
    <x v="17"/>
    <n v="0.99"/>
    <n v="99"/>
    <n v="1"/>
    <n v="0.99"/>
    <x v="65"/>
    <x v="2"/>
    <x v="730"/>
    <x v="1"/>
    <x v="0"/>
    <s v="Librería Gran Vía"/>
    <x v="1"/>
    <n v="5"/>
    <n v="5"/>
  </r>
  <r>
    <s v="V001242"/>
    <s v="978-3-30032-482-2"/>
    <s v="Los hombres que no amaban a las mujeres"/>
    <s v="Stieg Larsson"/>
    <x v="1"/>
    <n v="18.79"/>
    <n v="1879"/>
    <n v="4"/>
    <n v="75.16"/>
    <x v="7"/>
    <x v="2"/>
    <x v="364"/>
    <x v="0"/>
    <x v="0"/>
    <s v="Librería Valencia Centro"/>
    <x v="2"/>
    <n v="5"/>
    <n v="5"/>
  </r>
  <r>
    <s v="V001243"/>
    <s v="978-4-97684-597-3"/>
    <s v="American Gods"/>
    <s v="Neil Gaiman"/>
    <x v="2"/>
    <n v="1.99"/>
    <n v="199"/>
    <n v="4"/>
    <n v="7.96"/>
    <x v="5"/>
    <x v="0"/>
    <x v="731"/>
    <x v="1"/>
    <x v="0"/>
    <s v="Librería Valencia Centro"/>
    <x v="3"/>
    <m/>
    <s v="Sin valoración"/>
  </r>
  <r>
    <s v="V001244"/>
    <s v="978-2-17455-620-1"/>
    <s v="Cosmos"/>
    <s v="Carl Sagan"/>
    <x v="11"/>
    <n v="16.059999999999999"/>
    <n v="1606"/>
    <n v="3"/>
    <n v="48.179999999999993"/>
    <x v="37"/>
    <x v="3"/>
    <x v="732"/>
    <x v="0"/>
    <x v="0"/>
    <s v="Librería Sevilla Triana"/>
    <x v="1"/>
    <n v="4"/>
    <n v="4"/>
  </r>
  <r>
    <s v="V001245"/>
    <s v="978-3-97782-833-5"/>
    <s v="V de Vendetta"/>
    <s v="Alan Moore"/>
    <x v="10"/>
    <n v="15.12"/>
    <n v="1512"/>
    <n v="1"/>
    <n v="15.12"/>
    <x v="16"/>
    <x v="3"/>
    <x v="344"/>
    <x v="1"/>
    <x v="0"/>
    <s v="Librería Valencia Centro"/>
    <x v="0"/>
    <n v="4"/>
    <n v="4"/>
  </r>
  <r>
    <s v="V001246"/>
    <s v="978-0-51104-158-0"/>
    <s v="Manual de cocina fácil"/>
    <s v="Karlos Arguiñano"/>
    <x v="14"/>
    <n v="14.32"/>
    <n v="1432"/>
    <n v="1"/>
    <n v="14.32"/>
    <x v="23"/>
    <x v="3"/>
    <x v="187"/>
    <x v="2"/>
    <x v="1"/>
    <s v="Tienda Online"/>
    <x v="3"/>
    <n v="4"/>
    <n v="4"/>
  </r>
  <r>
    <s v="V001247"/>
    <s v="978-3-97782-833-5"/>
    <s v="V de Vendetta"/>
    <s v="Alan Moore"/>
    <x v="10"/>
    <n v="1.89"/>
    <n v="189"/>
    <n v="1"/>
    <n v="1.89"/>
    <x v="16"/>
    <x v="2"/>
    <x v="696"/>
    <x v="1"/>
    <x v="1"/>
    <s v="Tienda Online"/>
    <x v="2"/>
    <m/>
    <s v="Sin valoración"/>
  </r>
  <r>
    <s v="V001248"/>
    <s v="978-6-38893-559-9"/>
    <s v="Dune"/>
    <s v="Frank Herbert"/>
    <x v="12"/>
    <n v="2.29"/>
    <n v="229"/>
    <n v="1"/>
    <n v="2.29"/>
    <x v="6"/>
    <x v="3"/>
    <x v="733"/>
    <x v="1"/>
    <x v="0"/>
    <s v="Librería Sevilla Triana"/>
    <x v="4"/>
    <n v="5"/>
    <n v="5"/>
  </r>
  <r>
    <s v="V001249"/>
    <s v="978-3-39451-165-5"/>
    <s v="Matilda"/>
    <s v="Roald Dahl"/>
    <x v="6"/>
    <n v="13.09"/>
    <n v="1309"/>
    <n v="1"/>
    <n v="13.09"/>
    <x v="62"/>
    <x v="0"/>
    <x v="495"/>
    <x v="1"/>
    <x v="1"/>
    <s v="Tienda Online"/>
    <x v="1"/>
    <n v="5"/>
    <n v="5"/>
  </r>
  <r>
    <s v="V001250"/>
    <s v="978-7-80284-227-6"/>
    <s v="El Señor de los Anillos"/>
    <s v="J.R.R. Tolkien"/>
    <x v="2"/>
    <n v="2.99"/>
    <n v="299"/>
    <n v="1"/>
    <n v="2.99"/>
    <x v="70"/>
    <x v="2"/>
    <x v="220"/>
    <x v="0"/>
    <x v="1"/>
    <s v="Tienda Online"/>
    <x v="0"/>
    <n v="5"/>
    <n v="5"/>
  </r>
  <r>
    <s v="V001251"/>
    <s v="978-6-94259-569-2"/>
    <s v="El juego del ángel"/>
    <s v="Carlos Ruiz Zafón"/>
    <x v="3"/>
    <n v="15.72"/>
    <n v="1572"/>
    <n v="1"/>
    <n v="15.72"/>
    <x v="64"/>
    <x v="0"/>
    <x v="534"/>
    <x v="0"/>
    <x v="1"/>
    <s v="Tienda Online"/>
    <x v="4"/>
    <n v="2"/>
    <n v="2"/>
  </r>
  <r>
    <s v="V001252"/>
    <s v="978-4-97684-597-3"/>
    <s v="American Gods"/>
    <s v="Neil Gaiman"/>
    <x v="2"/>
    <n v="20.89"/>
    <n v="2089"/>
    <n v="2"/>
    <n v="41.78"/>
    <x v="64"/>
    <x v="2"/>
    <x v="734"/>
    <x v="1"/>
    <x v="0"/>
    <s v="Librería Valencia Centro"/>
    <x v="1"/>
    <n v="4"/>
    <n v="4"/>
  </r>
  <r>
    <s v="V001253"/>
    <s v="978-8-21395-704-6"/>
    <s v="1984"/>
    <s v="George Orwell"/>
    <x v="12"/>
    <n v="12.66"/>
    <n v="1266"/>
    <n v="2"/>
    <n v="25.32"/>
    <x v="14"/>
    <x v="3"/>
    <x v="735"/>
    <x v="2"/>
    <x v="1"/>
    <s v="Tienda Online"/>
    <x v="0"/>
    <n v="4"/>
    <n v="4"/>
  </r>
  <r>
    <s v="V001254"/>
    <s v="978-9-78522-423-4"/>
    <s v="Maus"/>
    <s v="Art Spiegelman"/>
    <x v="10"/>
    <n v="13.52"/>
    <n v="1352"/>
    <n v="1"/>
    <n v="13.52"/>
    <x v="34"/>
    <x v="0"/>
    <x v="736"/>
    <x v="0"/>
    <x v="1"/>
    <s v="Tienda Online"/>
    <x v="0"/>
    <m/>
    <s v="Sin valoración"/>
  </r>
  <r>
    <s v="V001255"/>
    <s v="978-9-71348-641-4"/>
    <s v="Veinte poemas de amor"/>
    <s v="Pablo Neruda"/>
    <x v="7"/>
    <n v="0.99"/>
    <n v="99"/>
    <n v="2"/>
    <n v="1.98"/>
    <x v="50"/>
    <x v="3"/>
    <x v="216"/>
    <x v="2"/>
    <x v="1"/>
    <s v="Tienda Online"/>
    <x v="2"/>
    <m/>
    <s v="Sin valoración"/>
  </r>
  <r>
    <s v="V001256"/>
    <s v="978-4-99593-763-1"/>
    <s v="Crimen y castigo"/>
    <s v="Fiódor Dostoyevski"/>
    <x v="9"/>
    <n v="1.29"/>
    <n v="129"/>
    <n v="2"/>
    <n v="2.58"/>
    <x v="47"/>
    <x v="3"/>
    <x v="75"/>
    <x v="0"/>
    <x v="1"/>
    <s v="Tienda Online"/>
    <x v="3"/>
    <n v="2"/>
    <n v="2"/>
  </r>
  <r>
    <s v="V001257"/>
    <s v="978-7-19071-878-8"/>
    <s v="El poder del ahora"/>
    <s v="Eckhart Tolle"/>
    <x v="0"/>
    <n v="13.41"/>
    <n v="1341"/>
    <n v="1"/>
    <n v="13.41"/>
    <x v="47"/>
    <x v="2"/>
    <x v="377"/>
    <x v="1"/>
    <x v="0"/>
    <s v="Librería Barcelona Gòtic"/>
    <x v="3"/>
    <n v="2"/>
    <n v="2"/>
  </r>
  <r>
    <s v="V001258"/>
    <s v="978-7-80284-227-6"/>
    <s v="El Señor de los Anillos"/>
    <s v="J.R.R. Tolkien"/>
    <x v="2"/>
    <n v="2.99"/>
    <n v="299"/>
    <n v="1"/>
    <n v="2.99"/>
    <x v="12"/>
    <x v="0"/>
    <x v="537"/>
    <x v="1"/>
    <x v="1"/>
    <s v="Tienda Online"/>
    <x v="1"/>
    <n v="5"/>
    <n v="5"/>
  </r>
  <r>
    <s v="V001259"/>
    <s v="978-2-58520-463-3"/>
    <s v="Sinsajo"/>
    <s v="Suzanne Collins"/>
    <x v="8"/>
    <n v="1.49"/>
    <n v="149"/>
    <n v="1"/>
    <n v="1.49"/>
    <x v="55"/>
    <x v="1"/>
    <x v="480"/>
    <x v="0"/>
    <x v="0"/>
    <s v="Librería Gran Vía"/>
    <x v="0"/>
    <n v="5"/>
    <n v="5"/>
  </r>
  <r>
    <s v="V001260"/>
    <s v="978-6-94259-569-2"/>
    <s v="El juego del ángel"/>
    <s v="Carlos Ruiz Zafón"/>
    <x v="3"/>
    <n v="1.85"/>
    <n v="185"/>
    <n v="1"/>
    <n v="1.85"/>
    <x v="65"/>
    <x v="2"/>
    <x v="737"/>
    <x v="2"/>
    <x v="1"/>
    <s v="Tienda Online"/>
    <x v="3"/>
    <n v="5"/>
    <n v="5"/>
  </r>
  <r>
    <s v="V001261"/>
    <s v="978-8-27342-840-9"/>
    <s v="Stardust"/>
    <s v="Neil Gaiman"/>
    <x v="2"/>
    <n v="1.67"/>
    <n v="167"/>
    <n v="2"/>
    <n v="3.34"/>
    <x v="41"/>
    <x v="3"/>
    <x v="738"/>
    <x v="1"/>
    <x v="1"/>
    <s v="Tienda Online"/>
    <x v="0"/>
    <n v="3"/>
    <n v="3"/>
  </r>
  <r>
    <s v="V001262"/>
    <s v="978-4-99593-763-1"/>
    <s v="Crimen y castigo"/>
    <s v="Fiódor Dostoyevski"/>
    <x v="9"/>
    <n v="13.55"/>
    <n v="1355"/>
    <n v="4"/>
    <n v="54.2"/>
    <x v="44"/>
    <x v="2"/>
    <x v="739"/>
    <x v="1"/>
    <x v="0"/>
    <s v="Librería Sevilla Triana"/>
    <x v="3"/>
    <n v="4"/>
    <n v="4"/>
  </r>
  <r>
    <s v="V001263"/>
    <s v="978-9-38864-107-1"/>
    <s v="James y el melocotón gigante"/>
    <s v="Roald Dahl"/>
    <x v="6"/>
    <n v="9.81"/>
    <n v="981"/>
    <n v="1"/>
    <n v="9.81"/>
    <x v="62"/>
    <x v="1"/>
    <x v="740"/>
    <x v="1"/>
    <x v="1"/>
    <s v="Tienda Online"/>
    <x v="3"/>
    <m/>
    <s v="Sin valoración"/>
  </r>
  <r>
    <s v="V001264"/>
    <s v="978-7-30289-294-4"/>
    <s v="Nada"/>
    <s v="Carmen Laforet"/>
    <x v="9"/>
    <n v="15.29"/>
    <n v="1529"/>
    <n v="1"/>
    <n v="15.29"/>
    <x v="32"/>
    <x v="1"/>
    <x v="245"/>
    <x v="0"/>
    <x v="0"/>
    <s v="Librería Central Madrid"/>
    <x v="0"/>
    <m/>
    <s v="Sin valoración"/>
  </r>
  <r>
    <s v="V001265"/>
    <s v="978-4-93748-619-9"/>
    <s v="Perdida"/>
    <s v="Gillian Flynn"/>
    <x v="1"/>
    <n v="1.65"/>
    <n v="165"/>
    <n v="1"/>
    <n v="1.65"/>
    <x v="7"/>
    <x v="2"/>
    <x v="651"/>
    <x v="2"/>
    <x v="1"/>
    <s v="Tienda Online"/>
    <x v="3"/>
    <m/>
    <s v="Sin valoración"/>
  </r>
  <r>
    <s v="V001266"/>
    <s v="978-3-62565-160-2"/>
    <s v="El día que se perdió la cordura"/>
    <s v="Javier Castillo"/>
    <x v="1"/>
    <n v="19.84"/>
    <n v="1984"/>
    <n v="2"/>
    <n v="39.68"/>
    <x v="8"/>
    <x v="1"/>
    <x v="741"/>
    <x v="0"/>
    <x v="0"/>
    <s v="Librería Barcelona Gòtic"/>
    <x v="4"/>
    <n v="1"/>
    <n v="1"/>
  </r>
  <r>
    <s v="V001267"/>
    <s v="978-5-19287-626-3"/>
    <s v="Coraline"/>
    <s v="Neil Gaiman"/>
    <x v="8"/>
    <n v="11.81"/>
    <n v="1181"/>
    <n v="1"/>
    <n v="11.81"/>
    <x v="58"/>
    <x v="0"/>
    <x v="742"/>
    <x v="2"/>
    <x v="1"/>
    <s v="Tienda Online"/>
    <x v="4"/>
    <n v="3"/>
    <n v="3"/>
  </r>
  <r>
    <s v="V001268"/>
    <s v="978-3-62923-222-9"/>
    <s v="El gen egoísta"/>
    <s v="Richard Dawkins"/>
    <x v="11"/>
    <n v="18.79"/>
    <n v="1879"/>
    <n v="1"/>
    <n v="18.79"/>
    <x v="32"/>
    <x v="1"/>
    <x v="743"/>
    <x v="1"/>
    <x v="1"/>
    <s v="Tienda Online"/>
    <x v="0"/>
    <n v="4"/>
    <n v="4"/>
  </r>
  <r>
    <s v="V001269"/>
    <s v="978-4-97684-597-3"/>
    <s v="American Gods"/>
    <s v="Neil Gaiman"/>
    <x v="2"/>
    <n v="16.91"/>
    <n v="1691"/>
    <n v="2"/>
    <n v="33.82"/>
    <x v="31"/>
    <x v="3"/>
    <x v="649"/>
    <x v="2"/>
    <x v="1"/>
    <s v="Tienda Online"/>
    <x v="1"/>
    <n v="4"/>
    <n v="4"/>
  </r>
  <r>
    <s v="V001270"/>
    <s v="978-9-71953-348-7"/>
    <s v="It"/>
    <s v="Stephen King"/>
    <x v="4"/>
    <n v="18.32"/>
    <n v="1832"/>
    <n v="3"/>
    <n v="54.96"/>
    <x v="18"/>
    <x v="2"/>
    <x v="410"/>
    <x v="2"/>
    <x v="1"/>
    <s v="Tienda Online"/>
    <x v="2"/>
    <n v="5"/>
    <n v="5"/>
  </r>
  <r>
    <s v="V001271"/>
    <s v="978-2-63269-597-7"/>
    <s v="La chica de nieve"/>
    <s v="Javier Castillo"/>
    <x v="1"/>
    <n v="20.79"/>
    <n v="2079"/>
    <n v="1"/>
    <n v="20.79"/>
    <x v="54"/>
    <x v="1"/>
    <x v="432"/>
    <x v="1"/>
    <x v="1"/>
    <s v="Tienda Online"/>
    <x v="1"/>
    <n v="5"/>
    <n v="5"/>
  </r>
  <r>
    <s v="V001272"/>
    <s v="978-3-14207-924-5"/>
    <s v="La casa de los espíritus"/>
    <s v="Isabel Allende"/>
    <x v="3"/>
    <n v="16.11"/>
    <n v="1611"/>
    <n v="1"/>
    <n v="16.11"/>
    <x v="51"/>
    <x v="0"/>
    <x v="744"/>
    <x v="0"/>
    <x v="0"/>
    <s v="Librería Central Madrid"/>
    <x v="1"/>
    <m/>
    <s v="Sin valoración"/>
  </r>
  <r>
    <s v="V001273"/>
    <s v="978-7-77839-562-1"/>
    <s v="El principito"/>
    <s v="Antoine de Saint-Exupéry"/>
    <x v="6"/>
    <n v="8.42"/>
    <n v="842"/>
    <n v="1"/>
    <n v="8.42"/>
    <x v="52"/>
    <x v="0"/>
    <x v="269"/>
    <x v="0"/>
    <x v="0"/>
    <s v="Librería Sevilla Triana"/>
    <x v="2"/>
    <n v="5"/>
    <n v="5"/>
  </r>
  <r>
    <s v="V001274"/>
    <s v="978-1-82357-400-9"/>
    <s v="Harry Potter y la piedra filosofal"/>
    <s v="J.K. Rowling"/>
    <x v="8"/>
    <n v="1.59"/>
    <n v="159"/>
    <n v="1"/>
    <n v="1.59"/>
    <x v="21"/>
    <x v="2"/>
    <x v="537"/>
    <x v="2"/>
    <x v="1"/>
    <s v="Tienda Online"/>
    <x v="0"/>
    <n v="4"/>
    <n v="4"/>
  </r>
  <r>
    <s v="V001275"/>
    <s v="978-1-13278-859-4"/>
    <s v="Cien años de soledad"/>
    <s v="Gabriel García Márquez"/>
    <x v="3"/>
    <n v="1.89"/>
    <n v="189"/>
    <n v="2"/>
    <n v="3.78"/>
    <x v="1"/>
    <x v="1"/>
    <x v="745"/>
    <x v="1"/>
    <x v="1"/>
    <s v="Tienda Online"/>
    <x v="1"/>
    <n v="4"/>
    <n v="4"/>
  </r>
  <r>
    <s v="V001276"/>
    <s v="978-1-16175-981-1"/>
    <s v="Pedro Páramo"/>
    <s v="Juan Rulfo"/>
    <x v="9"/>
    <n v="10.32"/>
    <n v="1032"/>
    <n v="1"/>
    <n v="10.32"/>
    <x v="26"/>
    <x v="2"/>
    <x v="584"/>
    <x v="1"/>
    <x v="0"/>
    <s v="Librería Central Madrid"/>
    <x v="3"/>
    <m/>
    <s v="Sin valoración"/>
  </r>
  <r>
    <s v="V001277"/>
    <s v="978-4-93748-619-9"/>
    <s v="Perdida"/>
    <s v="Gillian Flynn"/>
    <x v="1"/>
    <n v="1.32"/>
    <n v="132"/>
    <n v="1"/>
    <n v="1.32"/>
    <x v="47"/>
    <x v="2"/>
    <x v="746"/>
    <x v="1"/>
    <x v="1"/>
    <s v="Tienda Online"/>
    <x v="1"/>
    <n v="5"/>
    <n v="5"/>
  </r>
  <r>
    <s v="V001278"/>
    <s v="978-6-86484-508-5"/>
    <s v="Ficciones"/>
    <s v="Jorge Luis Borges"/>
    <x v="9"/>
    <n v="1.49"/>
    <n v="149"/>
    <n v="1"/>
    <n v="1.49"/>
    <x v="28"/>
    <x v="2"/>
    <x v="747"/>
    <x v="2"/>
    <x v="1"/>
    <s v="Tienda Online"/>
    <x v="2"/>
    <n v="4"/>
    <n v="4"/>
  </r>
  <r>
    <s v="V001279"/>
    <s v="978-1-16630-767-8"/>
    <s v="Los pilares de la Tierra"/>
    <s v="Ken Follett"/>
    <x v="16"/>
    <n v="2.19"/>
    <n v="219"/>
    <n v="1"/>
    <n v="2.19"/>
    <x v="50"/>
    <x v="1"/>
    <x v="748"/>
    <x v="0"/>
    <x v="1"/>
    <s v="Tienda Online"/>
    <x v="0"/>
    <n v="4"/>
    <n v="4"/>
  </r>
  <r>
    <s v="V001280"/>
    <s v="978-3-99733-432-0"/>
    <s v="Don Quijote de la Mancha"/>
    <s v="Miguel de Cervantes"/>
    <x v="9"/>
    <n v="16.91"/>
    <n v="1691"/>
    <n v="1"/>
    <n v="16.91"/>
    <x v="31"/>
    <x v="3"/>
    <x v="749"/>
    <x v="0"/>
    <x v="0"/>
    <s v="Librería Gran Vía"/>
    <x v="1"/>
    <n v="5"/>
    <n v="5"/>
  </r>
  <r>
    <s v="V001281"/>
    <s v="978-9-65461-316-8"/>
    <s v="Padre rico, padre pobre"/>
    <s v="Robert Kiyosaki"/>
    <x v="5"/>
    <n v="1.69"/>
    <n v="169"/>
    <n v="1"/>
    <n v="1.69"/>
    <x v="34"/>
    <x v="3"/>
    <x v="108"/>
    <x v="2"/>
    <x v="1"/>
    <s v="Tienda Online"/>
    <x v="1"/>
    <n v="4"/>
    <n v="4"/>
  </r>
  <r>
    <s v="V001282"/>
    <s v="978-3-76237-716-0"/>
    <s v="Fahrenheit 451"/>
    <s v="Ray Bradbury"/>
    <x v="12"/>
    <n v="15.29"/>
    <n v="1529"/>
    <n v="1"/>
    <n v="15.29"/>
    <x v="34"/>
    <x v="1"/>
    <x v="210"/>
    <x v="0"/>
    <x v="1"/>
    <s v="Tienda Online"/>
    <x v="2"/>
    <n v="3"/>
    <n v="3"/>
  </r>
  <r>
    <s v="V001283"/>
    <s v="978-8-68800-243-6"/>
    <s v="El extranjero"/>
    <s v="Albert Camus"/>
    <x v="9"/>
    <n v="1.29"/>
    <n v="129"/>
    <n v="3"/>
    <n v="3.87"/>
    <x v="5"/>
    <x v="0"/>
    <x v="38"/>
    <x v="2"/>
    <x v="1"/>
    <s v="Tienda Online"/>
    <x v="0"/>
    <n v="5"/>
    <n v="5"/>
  </r>
  <r>
    <s v="V001284"/>
    <s v="978-8-31643-371-8"/>
    <s v="Hábitos atómicos"/>
    <s v="James Clear"/>
    <x v="0"/>
    <n v="20.79"/>
    <n v="2079"/>
    <n v="1"/>
    <n v="20.79"/>
    <x v="2"/>
    <x v="0"/>
    <x v="313"/>
    <x v="2"/>
    <x v="1"/>
    <s v="Tienda Online"/>
    <x v="2"/>
    <n v="5"/>
    <n v="5"/>
  </r>
  <r>
    <s v="V001285"/>
    <s v="978-8-36062-833-8"/>
    <s v="Crónicas marcianas"/>
    <s v="Ray Bradbury"/>
    <x v="12"/>
    <n v="1.52"/>
    <n v="152"/>
    <n v="1"/>
    <n v="1.52"/>
    <x v="16"/>
    <x v="1"/>
    <x v="750"/>
    <x v="1"/>
    <x v="0"/>
    <s v="Librería Barcelona Gòtic"/>
    <x v="1"/>
    <n v="5"/>
    <n v="5"/>
  </r>
  <r>
    <s v="V001286"/>
    <s v="978-3-62923-222-9"/>
    <s v="El gen egoísta"/>
    <s v="Richard Dawkins"/>
    <x v="11"/>
    <n v="1.79"/>
    <n v="179"/>
    <n v="1"/>
    <n v="1.79"/>
    <x v="41"/>
    <x v="3"/>
    <x v="751"/>
    <x v="1"/>
    <x v="1"/>
    <s v="Tienda Online"/>
    <x v="4"/>
    <n v="5"/>
    <n v="5"/>
  </r>
  <r>
    <s v="V001287"/>
    <s v="978-3-30032-482-2"/>
    <s v="Los hombres que no amaban a las mujeres"/>
    <s v="Stieg Larsson"/>
    <x v="1"/>
    <n v="18.79"/>
    <n v="1879"/>
    <n v="1"/>
    <n v="18.79"/>
    <x v="69"/>
    <x v="2"/>
    <x v="590"/>
    <x v="2"/>
    <x v="1"/>
    <s v="Tienda Online"/>
    <x v="1"/>
    <n v="5"/>
    <n v="5"/>
  </r>
  <r>
    <s v="V001288"/>
    <s v="978-7-77839-562-1"/>
    <s v="El principito"/>
    <s v="Antoine de Saint-Exupéry"/>
    <x v="6"/>
    <n v="10.89"/>
    <n v="1089"/>
    <n v="2"/>
    <n v="21.78"/>
    <x v="11"/>
    <x v="2"/>
    <x v="694"/>
    <x v="2"/>
    <x v="1"/>
    <s v="Tienda Online"/>
    <x v="4"/>
    <n v="4"/>
    <n v="4"/>
  </r>
  <r>
    <s v="V001289"/>
    <s v="978-3-85880-708-0"/>
    <s v="Persépolis"/>
    <s v="Marjane Satrapi"/>
    <x v="10"/>
    <n v="12.72"/>
    <n v="1272"/>
    <n v="1"/>
    <n v="12.72"/>
    <x v="57"/>
    <x v="0"/>
    <x v="752"/>
    <x v="0"/>
    <x v="1"/>
    <s v="Tienda Online"/>
    <x v="0"/>
    <n v="3"/>
    <n v="3"/>
  </r>
  <r>
    <s v="V001290"/>
    <s v="978-5-74042-119-1"/>
    <s v="Sapiens"/>
    <s v="Yuval Noah Harari"/>
    <x v="15"/>
    <n v="2.19"/>
    <n v="219"/>
    <n v="2"/>
    <n v="4.38"/>
    <x v="31"/>
    <x v="0"/>
    <x v="512"/>
    <x v="2"/>
    <x v="1"/>
    <s v="Tienda Online"/>
    <x v="3"/>
    <n v="1"/>
    <n v="1"/>
  </r>
  <r>
    <s v="V001291"/>
    <s v="978-0-51104-158-0"/>
    <s v="Manual de cocina fácil"/>
    <s v="Karlos Arguiñano"/>
    <x v="14"/>
    <n v="15.21"/>
    <n v="1521"/>
    <n v="1"/>
    <n v="15.21"/>
    <x v="41"/>
    <x v="0"/>
    <x v="335"/>
    <x v="2"/>
    <x v="1"/>
    <s v="Tienda Online"/>
    <x v="1"/>
    <n v="4"/>
    <n v="4"/>
  </r>
  <r>
    <s v="V001292"/>
    <s v="978-1-16630-767-8"/>
    <s v="Los pilares de la Tierra"/>
    <s v="Ken Follett"/>
    <x v="16"/>
    <n v="2.2999999999999998"/>
    <n v="230"/>
    <n v="1"/>
    <n v="2.2999999999999998"/>
    <x v="18"/>
    <x v="1"/>
    <x v="225"/>
    <x v="0"/>
    <x v="0"/>
    <s v="Librería Sevilla Triana"/>
    <x v="3"/>
    <n v="3"/>
    <n v="3"/>
  </r>
  <r>
    <s v="V001293"/>
    <s v="978-3-50857-508-5"/>
    <s v="Piense y hágase rico"/>
    <s v="Napoleon Hill"/>
    <x v="5"/>
    <n v="11.81"/>
    <n v="1181"/>
    <n v="1"/>
    <n v="11.81"/>
    <x v="6"/>
    <x v="2"/>
    <x v="592"/>
    <x v="2"/>
    <x v="1"/>
    <s v="Tienda Online"/>
    <x v="1"/>
    <n v="5"/>
    <n v="5"/>
  </r>
  <r>
    <s v="V001294"/>
    <s v="978-0-96673-333-4"/>
    <s v="Harry Potter y el prisionero de Azkaban"/>
    <s v="J.K. Rowling"/>
    <x v="8"/>
    <n v="13.52"/>
    <n v="1352"/>
    <n v="4"/>
    <n v="54.08"/>
    <x v="29"/>
    <x v="2"/>
    <x v="588"/>
    <x v="0"/>
    <x v="0"/>
    <s v="Librería Gran Vía"/>
    <x v="0"/>
    <n v="5"/>
    <n v="5"/>
  </r>
  <r>
    <s v="V001295"/>
    <s v="978-8-36062-833-8"/>
    <s v="Crónicas marcianas"/>
    <s v="Ray Bradbury"/>
    <x v="12"/>
    <n v="1.52"/>
    <n v="152"/>
    <n v="1"/>
    <n v="1.52"/>
    <x v="31"/>
    <x v="0"/>
    <x v="119"/>
    <x v="0"/>
    <x v="0"/>
    <s v="Librería Gran Vía"/>
    <x v="3"/>
    <n v="5"/>
    <n v="5"/>
  </r>
  <r>
    <s v="V001296"/>
    <s v="978-1-40512-987-1"/>
    <s v="Los juegos del hambre"/>
    <s v="Suzanne Collins"/>
    <x v="8"/>
    <n v="1.49"/>
    <n v="149"/>
    <n v="2"/>
    <n v="2.98"/>
    <x v="8"/>
    <x v="0"/>
    <x v="753"/>
    <x v="0"/>
    <x v="0"/>
    <s v="Librería Gran Vía"/>
    <x v="3"/>
    <n v="3"/>
    <n v="3"/>
  </r>
  <r>
    <s v="V001297"/>
    <s v="978-9-71348-641-4"/>
    <s v="Veinte poemas de amor"/>
    <s v="Pablo Neruda"/>
    <x v="7"/>
    <n v="8.42"/>
    <n v="842"/>
    <n v="1"/>
    <n v="8.42"/>
    <x v="23"/>
    <x v="1"/>
    <x v="754"/>
    <x v="0"/>
    <x v="1"/>
    <s v="Tienda Online"/>
    <x v="1"/>
    <n v="5"/>
    <n v="5"/>
  </r>
  <r>
    <s v="V001298"/>
    <s v="978-6-10282-499-4"/>
    <s v="Patria"/>
    <s v="Fernando Aramburu"/>
    <x v="3"/>
    <n v="1.99"/>
    <n v="199"/>
    <n v="1"/>
    <n v="1.99"/>
    <x v="32"/>
    <x v="2"/>
    <x v="755"/>
    <x v="1"/>
    <x v="0"/>
    <s v="Librería Gran Vía"/>
    <x v="4"/>
    <m/>
    <s v="Sin valoración"/>
  </r>
  <r>
    <s v="V001299"/>
    <s v="978-6-54597-384-2"/>
    <s v="El temor de un hombre sabio"/>
    <s v="Patrick Rothfuss"/>
    <x v="2"/>
    <n v="2.4900000000000002"/>
    <n v="249"/>
    <n v="1"/>
    <n v="2.4900000000000002"/>
    <x v="41"/>
    <x v="2"/>
    <x v="56"/>
    <x v="2"/>
    <x v="1"/>
    <s v="Tienda Online"/>
    <x v="1"/>
    <n v="4"/>
    <n v="4"/>
  </r>
  <r>
    <s v="V001300"/>
    <s v="978-6-38893-559-9"/>
    <s v="Dune"/>
    <s v="Frank Herbert"/>
    <x v="12"/>
    <n v="18.32"/>
    <n v="1832"/>
    <n v="1"/>
    <n v="18.32"/>
    <x v="17"/>
    <x v="3"/>
    <x v="576"/>
    <x v="2"/>
    <x v="1"/>
    <s v="Tienda Online"/>
    <x v="0"/>
    <n v="3"/>
    <n v="3"/>
  </r>
  <r>
    <s v="V001301"/>
    <s v="978-3-28131-621-7"/>
    <s v="El Aleph"/>
    <s v="Jorge Luis Borges"/>
    <x v="9"/>
    <n v="1.46"/>
    <n v="146"/>
    <n v="1"/>
    <n v="1.46"/>
    <x v="50"/>
    <x v="0"/>
    <x v="464"/>
    <x v="1"/>
    <x v="1"/>
    <s v="Tienda Online"/>
    <x v="1"/>
    <m/>
    <s v="Sin valoración"/>
  </r>
  <r>
    <s v="V001302"/>
    <s v="978-6-54597-384-2"/>
    <s v="El temor de un hombre sabio"/>
    <s v="Patrick Rothfuss"/>
    <x v="2"/>
    <n v="22.41"/>
    <n v="2241"/>
    <n v="2"/>
    <n v="44.82"/>
    <x v="23"/>
    <x v="0"/>
    <x v="325"/>
    <x v="0"/>
    <x v="0"/>
    <s v="Librería Barcelona Gòtic"/>
    <x v="4"/>
    <n v="4"/>
    <n v="4"/>
  </r>
  <r>
    <s v="V001303"/>
    <s v="978-7-30289-294-4"/>
    <s v="Nada"/>
    <s v="Carmen Laforet"/>
    <x v="9"/>
    <n v="12.51"/>
    <n v="1251"/>
    <n v="2"/>
    <n v="25.02"/>
    <x v="10"/>
    <x v="3"/>
    <x v="756"/>
    <x v="0"/>
    <x v="0"/>
    <s v="Librería Valencia Centro"/>
    <x v="0"/>
    <n v="5"/>
    <n v="5"/>
  </r>
  <r>
    <s v="V001304"/>
    <s v="978-6-34957-196-1"/>
    <s v="El resplandor"/>
    <s v="Stephen King"/>
    <x v="4"/>
    <n v="1.89"/>
    <n v="189"/>
    <n v="1"/>
    <n v="1.89"/>
    <x v="7"/>
    <x v="3"/>
    <x v="732"/>
    <x v="0"/>
    <x v="0"/>
    <s v="Librería Valencia Centro"/>
    <x v="3"/>
    <n v="4"/>
    <n v="4"/>
  </r>
  <r>
    <s v="V001305"/>
    <s v="978-6-34957-196-1"/>
    <s v="El resplandor"/>
    <s v="Stephen King"/>
    <x v="4"/>
    <n v="1.89"/>
    <n v="189"/>
    <n v="1"/>
    <n v="1.89"/>
    <x v="67"/>
    <x v="0"/>
    <x v="613"/>
    <x v="2"/>
    <x v="1"/>
    <s v="Tienda Online"/>
    <x v="0"/>
    <n v="2"/>
    <n v="2"/>
  </r>
  <r>
    <s v="V001306"/>
    <s v="978-3-30032-482-2"/>
    <s v="Los hombres que no amaban a las mujeres"/>
    <s v="Stieg Larsson"/>
    <x v="1"/>
    <n v="1.79"/>
    <n v="179"/>
    <n v="1"/>
    <n v="1.79"/>
    <x v="69"/>
    <x v="0"/>
    <x v="157"/>
    <x v="0"/>
    <x v="1"/>
    <s v="Tienda Online"/>
    <x v="4"/>
    <n v="4"/>
    <n v="4"/>
  </r>
  <r>
    <s v="V001307"/>
    <s v="978-9-71953-348-7"/>
    <s v="It"/>
    <s v="Stephen King"/>
    <x v="4"/>
    <n v="2.29"/>
    <n v="229"/>
    <n v="1"/>
    <n v="2.29"/>
    <x v="18"/>
    <x v="0"/>
    <x v="757"/>
    <x v="0"/>
    <x v="1"/>
    <s v="Tienda Online"/>
    <x v="2"/>
    <n v="4"/>
    <n v="4"/>
  </r>
  <r>
    <s v="V001308"/>
    <s v="978-5-50306-345-0"/>
    <s v="Homo Deus"/>
    <s v="Yuval Noah Harari"/>
    <x v="15"/>
    <n v="17.52"/>
    <n v="1752"/>
    <n v="1"/>
    <n v="17.52"/>
    <x v="44"/>
    <x v="2"/>
    <x v="478"/>
    <x v="1"/>
    <x v="0"/>
    <s v="Librería Barcelona Gòtic"/>
    <x v="3"/>
    <n v="5"/>
    <n v="5"/>
  </r>
  <r>
    <s v="V001309"/>
    <s v="978-6-38893-559-9"/>
    <s v="Dune"/>
    <s v="Frank Herbert"/>
    <x v="12"/>
    <n v="2.29"/>
    <n v="229"/>
    <n v="1"/>
    <n v="2.29"/>
    <x v="40"/>
    <x v="3"/>
    <x v="758"/>
    <x v="1"/>
    <x v="1"/>
    <s v="Tienda Online"/>
    <x v="2"/>
    <n v="4"/>
    <n v="4"/>
  </r>
  <r>
    <s v="V001310"/>
    <s v="978-8-79514-100-9"/>
    <s v="La chica en la telaraña"/>
    <s v="David Lagercrantz"/>
    <x v="1"/>
    <n v="1.79"/>
    <n v="179"/>
    <n v="3"/>
    <n v="5.37"/>
    <x v="12"/>
    <x v="2"/>
    <x v="156"/>
    <x v="2"/>
    <x v="1"/>
    <s v="Tienda Online"/>
    <x v="2"/>
    <n v="5"/>
    <n v="5"/>
  </r>
  <r>
    <s v="V001311"/>
    <s v="978-9-38864-107-1"/>
    <s v="James y el melocotón gigante"/>
    <s v="Roald Dahl"/>
    <x v="6"/>
    <n v="1.0900000000000001"/>
    <n v="109"/>
    <n v="1"/>
    <n v="1.0900000000000001"/>
    <x v="24"/>
    <x v="2"/>
    <x v="502"/>
    <x v="0"/>
    <x v="1"/>
    <s v="Tienda Online"/>
    <x v="0"/>
    <n v="3"/>
    <n v="3"/>
  </r>
  <r>
    <s v="V001312"/>
    <s v="978-0-96673-333-4"/>
    <s v="Harry Potter y el prisionero de Azkaban"/>
    <s v="J.K. Rowling"/>
    <x v="8"/>
    <n v="1.69"/>
    <n v="169"/>
    <n v="1"/>
    <n v="1.69"/>
    <x v="58"/>
    <x v="1"/>
    <x v="755"/>
    <x v="2"/>
    <x v="1"/>
    <s v="Tienda Online"/>
    <x v="0"/>
    <m/>
    <s v="Sin valoración"/>
  </r>
  <r>
    <s v="V001313"/>
    <s v="978-3-62923-222-9"/>
    <s v="El gen egoísta"/>
    <s v="Richard Dawkins"/>
    <x v="11"/>
    <n v="1.79"/>
    <n v="179"/>
    <n v="1"/>
    <n v="1.79"/>
    <x v="2"/>
    <x v="1"/>
    <x v="506"/>
    <x v="2"/>
    <x v="1"/>
    <s v="Tienda Online"/>
    <x v="0"/>
    <n v="5"/>
    <n v="5"/>
  </r>
  <r>
    <s v="V001314"/>
    <s v="978-9-18326-494-6"/>
    <s v="Romancero gitano"/>
    <s v="Federico García Lorca"/>
    <x v="7"/>
    <n v="11.99"/>
    <n v="1199"/>
    <n v="1"/>
    <n v="11.99"/>
    <x v="55"/>
    <x v="0"/>
    <x v="504"/>
    <x v="0"/>
    <x v="0"/>
    <s v="Librería Valencia Centro"/>
    <x v="1"/>
    <n v="3"/>
    <n v="3"/>
  </r>
  <r>
    <s v="V001315"/>
    <s v="978-2-26828-775-7"/>
    <s v="Los cuatro acuerdos"/>
    <s v="Miguel Ruiz"/>
    <x v="0"/>
    <n v="1.29"/>
    <n v="129"/>
    <n v="1"/>
    <n v="1.29"/>
    <x v="29"/>
    <x v="0"/>
    <x v="200"/>
    <x v="2"/>
    <x v="1"/>
    <s v="Tienda Online"/>
    <x v="2"/>
    <n v="5"/>
    <n v="5"/>
  </r>
  <r>
    <s v="V001316"/>
    <s v="978-5-50306-345-0"/>
    <s v="Homo Deus"/>
    <s v="Yuval Noah Harari"/>
    <x v="15"/>
    <n v="2.2999999999999998"/>
    <n v="230"/>
    <n v="1"/>
    <n v="2.2999999999999998"/>
    <x v="39"/>
    <x v="1"/>
    <x v="759"/>
    <x v="0"/>
    <x v="0"/>
    <s v="Librería Barcelona Gòtic"/>
    <x v="4"/>
    <n v="5"/>
    <n v="5"/>
  </r>
  <r>
    <s v="V001317"/>
    <s v="978-5-74042-119-1"/>
    <s v="Sapiens"/>
    <s v="Yuval Noah Harari"/>
    <x v="15"/>
    <n v="2.2999999999999998"/>
    <n v="230"/>
    <n v="1"/>
    <n v="2.2999999999999998"/>
    <x v="17"/>
    <x v="3"/>
    <x v="760"/>
    <x v="0"/>
    <x v="0"/>
    <s v="Librería Gran Vía"/>
    <x v="2"/>
    <n v="5"/>
    <n v="5"/>
  </r>
  <r>
    <s v="V001318"/>
    <s v="978-1-40512-987-1"/>
    <s v="Los juegos del hambre"/>
    <s v="Suzanne Collins"/>
    <x v="8"/>
    <n v="1.49"/>
    <n v="149"/>
    <n v="1"/>
    <n v="1.49"/>
    <x v="8"/>
    <x v="3"/>
    <x v="223"/>
    <x v="2"/>
    <x v="1"/>
    <s v="Tienda Online"/>
    <x v="1"/>
    <n v="3"/>
    <n v="3"/>
  </r>
  <r>
    <s v="V001319"/>
    <s v="978-1-48469-545-2"/>
    <s v="Origen"/>
    <s v="Dan Brown"/>
    <x v="1"/>
    <n v="16.91"/>
    <n v="1691"/>
    <n v="1"/>
    <n v="16.91"/>
    <x v="3"/>
    <x v="3"/>
    <x v="562"/>
    <x v="1"/>
    <x v="1"/>
    <s v="Tienda Online"/>
    <x v="3"/>
    <n v="5"/>
    <n v="5"/>
  </r>
  <r>
    <s v="V001320"/>
    <s v="978-6-34957-196-1"/>
    <s v="El resplandor"/>
    <s v="Stephen King"/>
    <x v="4"/>
    <n v="1.89"/>
    <n v="189"/>
    <n v="1"/>
    <n v="1.89"/>
    <x v="64"/>
    <x v="0"/>
    <x v="761"/>
    <x v="0"/>
    <x v="1"/>
    <s v="Tienda Online"/>
    <x v="1"/>
    <m/>
    <s v="Sin valoración"/>
  </r>
  <r>
    <s v="V001321"/>
    <s v="978-2-58520-463-3"/>
    <s v="Sinsajo"/>
    <s v="Suzanne Collins"/>
    <x v="8"/>
    <n v="12.66"/>
    <n v="1266"/>
    <n v="1"/>
    <n v="12.66"/>
    <x v="29"/>
    <x v="0"/>
    <x v="762"/>
    <x v="2"/>
    <x v="1"/>
    <s v="Tienda Online"/>
    <x v="0"/>
    <m/>
    <s v="Sin valoración"/>
  </r>
  <r>
    <s v="V001322"/>
    <s v="978-1-68082-927-8"/>
    <s v="Náuseas"/>
    <s v="Jean-Paul Sartre"/>
    <x v="9"/>
    <n v="15.29"/>
    <n v="1529"/>
    <n v="1"/>
    <n v="15.29"/>
    <x v="40"/>
    <x v="2"/>
    <x v="398"/>
    <x v="2"/>
    <x v="1"/>
    <s v="Tienda Online"/>
    <x v="0"/>
    <n v="5"/>
    <n v="5"/>
  </r>
  <r>
    <s v="V001323"/>
    <s v="978-3-54118-204-1"/>
    <s v="Juego de Tronos"/>
    <s v="George R.R. Martin"/>
    <x v="2"/>
    <n v="21.89"/>
    <n v="2189"/>
    <n v="1"/>
    <n v="21.89"/>
    <x v="50"/>
    <x v="3"/>
    <x v="334"/>
    <x v="0"/>
    <x v="1"/>
    <s v="Tienda Online"/>
    <x v="4"/>
    <n v="4"/>
    <n v="4"/>
  </r>
  <r>
    <s v="V001324"/>
    <s v="978-7-19071-878-8"/>
    <s v="El poder del ahora"/>
    <s v="Eckhart Tolle"/>
    <x v="0"/>
    <n v="12.66"/>
    <n v="1266"/>
    <n v="1"/>
    <n v="12.66"/>
    <x v="13"/>
    <x v="0"/>
    <x v="763"/>
    <x v="0"/>
    <x v="0"/>
    <s v="Librería Gran Vía"/>
    <x v="1"/>
    <n v="1"/>
    <n v="1"/>
  </r>
  <r>
    <s v="V001325"/>
    <s v="978-5-50306-345-0"/>
    <s v="Homo Deus"/>
    <s v="Yuval Noah Harari"/>
    <x v="15"/>
    <n v="24.09"/>
    <n v="2409"/>
    <n v="1"/>
    <n v="24.09"/>
    <x v="26"/>
    <x v="0"/>
    <x v="764"/>
    <x v="2"/>
    <x v="1"/>
    <s v="Tienda Online"/>
    <x v="4"/>
    <n v="4"/>
    <n v="4"/>
  </r>
  <r>
    <s v="V001326"/>
    <s v="978-6-10282-499-4"/>
    <s v="Patria"/>
    <s v="Fernando Aramburu"/>
    <x v="3"/>
    <n v="17.91"/>
    <n v="1791"/>
    <n v="1"/>
    <n v="17.91"/>
    <x v="41"/>
    <x v="0"/>
    <x v="412"/>
    <x v="1"/>
    <x v="1"/>
    <s v="Tienda Online"/>
    <x v="1"/>
    <n v="5"/>
    <n v="5"/>
  </r>
  <r>
    <s v="V001327"/>
    <s v="978-5-85674-296-1"/>
    <s v="Harry Potter y la cámara secreta"/>
    <s v="J.K. Rowling"/>
    <x v="8"/>
    <n v="1.59"/>
    <n v="159"/>
    <n v="4"/>
    <n v="6.36"/>
    <x v="20"/>
    <x v="1"/>
    <x v="604"/>
    <x v="0"/>
    <x v="1"/>
    <s v="Tienda Online"/>
    <x v="4"/>
    <m/>
    <s v="Sin valoración"/>
  </r>
  <r>
    <s v="V001328"/>
    <s v="978-8-21395-704-6"/>
    <s v="1984"/>
    <s v="George Orwell"/>
    <x v="12"/>
    <n v="12.66"/>
    <n v="1266"/>
    <n v="2"/>
    <n v="25.32"/>
    <x v="25"/>
    <x v="3"/>
    <x v="765"/>
    <x v="1"/>
    <x v="0"/>
    <s v="Librería Valencia Centro"/>
    <x v="4"/>
    <n v="2"/>
    <n v="2"/>
  </r>
  <r>
    <s v="V001329"/>
    <s v="978-3-31417-573-6"/>
    <s v="Ana Karenina"/>
    <s v="León Tolstói"/>
    <x v="9"/>
    <n v="1.69"/>
    <n v="169"/>
    <n v="2"/>
    <n v="3.38"/>
    <x v="68"/>
    <x v="1"/>
    <x v="766"/>
    <x v="0"/>
    <x v="0"/>
    <s v="Librería Sevilla Triana"/>
    <x v="0"/>
    <n v="5"/>
    <n v="5"/>
  </r>
  <r>
    <s v="V001330"/>
    <s v="978-6-94259-569-2"/>
    <s v="El juego del ángel"/>
    <s v="Carlos Ruiz Zafón"/>
    <x v="3"/>
    <n v="1.85"/>
    <n v="185"/>
    <n v="1"/>
    <n v="1.85"/>
    <x v="66"/>
    <x v="1"/>
    <x v="637"/>
    <x v="1"/>
    <x v="0"/>
    <s v="Librería Barcelona Gòtic"/>
    <x v="0"/>
    <n v="2"/>
    <n v="2"/>
  </r>
  <r>
    <s v="V001331"/>
    <s v="978-7-80284-227-6"/>
    <s v="El Señor de los Anillos"/>
    <s v="J.R.R. Tolkien"/>
    <x v="2"/>
    <n v="32.89"/>
    <n v="3289"/>
    <n v="1"/>
    <n v="32.89"/>
    <x v="41"/>
    <x v="0"/>
    <x v="752"/>
    <x v="2"/>
    <x v="1"/>
    <s v="Tienda Online"/>
    <x v="3"/>
    <n v="4"/>
    <n v="4"/>
  </r>
  <r>
    <s v="V001332"/>
    <s v="978-3-31417-573-6"/>
    <s v="Ana Karenina"/>
    <s v="León Tolstói"/>
    <x v="9"/>
    <n v="15.21"/>
    <n v="1521"/>
    <n v="1"/>
    <n v="15.21"/>
    <x v="32"/>
    <x v="0"/>
    <x v="441"/>
    <x v="1"/>
    <x v="1"/>
    <s v="Tienda Online"/>
    <x v="2"/>
    <n v="4"/>
    <n v="4"/>
  </r>
  <r>
    <s v="V001333"/>
    <s v="978-7-19071-878-8"/>
    <s v="El poder del ahora"/>
    <s v="Eckhart Tolle"/>
    <x v="0"/>
    <n v="16.39"/>
    <n v="1639"/>
    <n v="2"/>
    <n v="32.78"/>
    <x v="54"/>
    <x v="1"/>
    <x v="299"/>
    <x v="2"/>
    <x v="1"/>
    <s v="Tienda Online"/>
    <x v="0"/>
    <n v="4"/>
    <n v="4"/>
  </r>
  <r>
    <s v="V001334"/>
    <s v="978-6-22676-467-5"/>
    <s v="Choque de Reyes"/>
    <s v="George R.R. Martin"/>
    <x v="2"/>
    <n v="20.89"/>
    <n v="2089"/>
    <n v="2"/>
    <n v="41.78"/>
    <x v="42"/>
    <x v="1"/>
    <x v="290"/>
    <x v="0"/>
    <x v="1"/>
    <s v="Tienda Online"/>
    <x v="4"/>
    <m/>
    <s v="Sin valoración"/>
  </r>
  <r>
    <s v="V001335"/>
    <s v="978-2-58520-463-3"/>
    <s v="Sinsajo"/>
    <s v="Suzanne Collins"/>
    <x v="8"/>
    <n v="1.49"/>
    <n v="149"/>
    <n v="2"/>
    <n v="2.98"/>
    <x v="20"/>
    <x v="2"/>
    <x v="767"/>
    <x v="2"/>
    <x v="1"/>
    <s v="Tienda Online"/>
    <x v="1"/>
    <n v="3"/>
    <n v="3"/>
  </r>
  <r>
    <s v="V001336"/>
    <s v="978-8-36062-833-8"/>
    <s v="Crónicas marcianas"/>
    <s v="Ray Bradbury"/>
    <x v="12"/>
    <n v="1.52"/>
    <n v="152"/>
    <n v="1"/>
    <n v="1.52"/>
    <x v="68"/>
    <x v="3"/>
    <x v="616"/>
    <x v="2"/>
    <x v="1"/>
    <s v="Tienda Online"/>
    <x v="2"/>
    <n v="1"/>
    <n v="1"/>
  </r>
  <r>
    <s v="V001337"/>
    <s v="978-2-46509-573-3"/>
    <s v="La peste"/>
    <s v="Albert Camus"/>
    <x v="9"/>
    <n v="13.41"/>
    <n v="1341"/>
    <n v="1"/>
    <n v="13.41"/>
    <x v="60"/>
    <x v="2"/>
    <x v="114"/>
    <x v="0"/>
    <x v="0"/>
    <s v="Librería Barcelona Gòtic"/>
    <x v="3"/>
    <n v="5"/>
    <n v="5"/>
  </r>
  <r>
    <s v="V001338"/>
    <s v="978-6-34957-196-1"/>
    <s v="El resplandor"/>
    <s v="Stephen King"/>
    <x v="4"/>
    <n v="20.79"/>
    <n v="2079"/>
    <n v="2"/>
    <n v="41.58"/>
    <x v="19"/>
    <x v="2"/>
    <x v="406"/>
    <x v="1"/>
    <x v="0"/>
    <s v="Librería Central Madrid"/>
    <x v="2"/>
    <n v="5"/>
    <n v="5"/>
  </r>
  <r>
    <s v="V001339"/>
    <s v="978-0-13905-195-3"/>
    <s v="Rebelión en la granja"/>
    <s v="George Orwell"/>
    <x v="3"/>
    <n v="11.25"/>
    <n v="1125"/>
    <n v="1"/>
    <n v="11.25"/>
    <x v="30"/>
    <x v="2"/>
    <x v="22"/>
    <x v="2"/>
    <x v="1"/>
    <s v="Tienda Online"/>
    <x v="4"/>
    <n v="4"/>
    <n v="4"/>
  </r>
  <r>
    <s v="V001340"/>
    <s v="978-3-31417-573-6"/>
    <s v="Ana Karenina"/>
    <s v="León Tolstói"/>
    <x v="9"/>
    <n v="1.69"/>
    <n v="169"/>
    <n v="2"/>
    <n v="3.38"/>
    <x v="2"/>
    <x v="1"/>
    <x v="594"/>
    <x v="0"/>
    <x v="0"/>
    <s v="Librería Gran Vía"/>
    <x v="1"/>
    <n v="5"/>
    <n v="5"/>
  </r>
  <r>
    <s v="V001341"/>
    <s v="978-7-19071-878-8"/>
    <s v="El poder del ahora"/>
    <s v="Eckhart Tolle"/>
    <x v="0"/>
    <n v="13.41"/>
    <n v="1341"/>
    <n v="2"/>
    <n v="26.82"/>
    <x v="54"/>
    <x v="3"/>
    <x v="496"/>
    <x v="1"/>
    <x v="0"/>
    <s v="Librería Valencia Centro"/>
    <x v="0"/>
    <n v="5"/>
    <n v="5"/>
  </r>
  <r>
    <s v="V001342"/>
    <s v="978-9-72493-614-8"/>
    <s v="El chef en casa"/>
    <s v="Jamie Oliver"/>
    <x v="14"/>
    <n v="21.89"/>
    <n v="2189"/>
    <n v="3"/>
    <n v="65.67"/>
    <x v="2"/>
    <x v="0"/>
    <x v="299"/>
    <x v="2"/>
    <x v="1"/>
    <s v="Tienda Online"/>
    <x v="0"/>
    <n v="5"/>
    <n v="5"/>
  </r>
  <r>
    <s v="V001343"/>
    <s v="978-8-33416-619-1"/>
    <s v="La chica del tren"/>
    <s v="Paula Hawkins"/>
    <x v="1"/>
    <n v="1.67"/>
    <n v="167"/>
    <n v="1"/>
    <n v="1.67"/>
    <x v="19"/>
    <x v="0"/>
    <x v="768"/>
    <x v="2"/>
    <x v="1"/>
    <s v="Tienda Online"/>
    <x v="4"/>
    <n v="4"/>
    <n v="4"/>
  </r>
  <r>
    <s v="V001344"/>
    <s v="978-3-54118-204-1"/>
    <s v="Juego de Tronos"/>
    <s v="George R.R. Martin"/>
    <x v="2"/>
    <n v="15.92"/>
    <n v="1592"/>
    <n v="1"/>
    <n v="15.92"/>
    <x v="38"/>
    <x v="2"/>
    <x v="769"/>
    <x v="0"/>
    <x v="0"/>
    <s v="Librería Sevilla Triana"/>
    <x v="1"/>
    <n v="5"/>
    <n v="5"/>
  </r>
  <r>
    <s v="V001345"/>
    <s v="978-2-58520-463-3"/>
    <s v="Sinsajo"/>
    <s v="Suzanne Collins"/>
    <x v="8"/>
    <n v="1.49"/>
    <n v="149"/>
    <n v="2"/>
    <n v="2.98"/>
    <x v="20"/>
    <x v="2"/>
    <x v="770"/>
    <x v="2"/>
    <x v="1"/>
    <s v="Tienda Online"/>
    <x v="3"/>
    <n v="5"/>
    <n v="5"/>
  </r>
  <r>
    <s v="V001346"/>
    <s v="978-9-51245-317-7"/>
    <s v="La sombra del viento"/>
    <s v="Carlos Ruiz Zafón"/>
    <x v="3"/>
    <n v="1.48"/>
    <n v="148"/>
    <n v="1"/>
    <n v="1.48"/>
    <x v="6"/>
    <x v="3"/>
    <x v="245"/>
    <x v="1"/>
    <x v="1"/>
    <s v="Tienda Online"/>
    <x v="3"/>
    <n v="5"/>
    <n v="5"/>
  </r>
  <r>
    <s v="V001347"/>
    <s v="978-3-14207-924-5"/>
    <s v="La casa de los espíritus"/>
    <s v="Isabel Allende"/>
    <x v="3"/>
    <n v="1.79"/>
    <n v="179"/>
    <n v="2"/>
    <n v="3.58"/>
    <x v="69"/>
    <x v="0"/>
    <x v="320"/>
    <x v="0"/>
    <x v="0"/>
    <s v="Librería Gran Vía"/>
    <x v="1"/>
    <n v="5"/>
    <n v="5"/>
  </r>
  <r>
    <s v="V001348"/>
    <s v="978-0-13905-195-3"/>
    <s v="Rebelión en la granja"/>
    <s v="George Orwell"/>
    <x v="3"/>
    <n v="1.25"/>
    <n v="125"/>
    <n v="4"/>
    <n v="5"/>
    <x v="48"/>
    <x v="1"/>
    <x v="474"/>
    <x v="0"/>
    <x v="0"/>
    <s v="Librería Barcelona Gòtic"/>
    <x v="0"/>
    <n v="3"/>
    <n v="3"/>
  </r>
  <r>
    <s v="V001349"/>
    <s v="978-8-31643-371-8"/>
    <s v="Hábitos atómicos"/>
    <s v="James Clear"/>
    <x v="0"/>
    <n v="17.010000000000002"/>
    <n v="1701"/>
    <n v="1"/>
    <n v="17.010000000000002"/>
    <x v="16"/>
    <x v="0"/>
    <x v="348"/>
    <x v="1"/>
    <x v="0"/>
    <s v="Librería Valencia Centro"/>
    <x v="3"/>
    <m/>
    <s v="Sin valoración"/>
  </r>
  <r>
    <s v="V001350"/>
    <s v="978-7-77839-562-1"/>
    <s v="El principito"/>
    <s v="Antoine de Saint-Exupéry"/>
    <x v="6"/>
    <n v="10.89"/>
    <n v="1089"/>
    <n v="1"/>
    <n v="10.89"/>
    <x v="58"/>
    <x v="1"/>
    <x v="177"/>
    <x v="0"/>
    <x v="1"/>
    <s v="Tienda Online"/>
    <x v="4"/>
    <n v="5"/>
    <n v="5"/>
  </r>
  <r>
    <s v="V001351"/>
    <s v="978-2-26828-775-7"/>
    <s v="Los cuatro acuerdos"/>
    <s v="Miguel Ruiz"/>
    <x v="0"/>
    <n v="11.61"/>
    <n v="1161"/>
    <n v="1"/>
    <n v="11.61"/>
    <x v="4"/>
    <x v="1"/>
    <x v="197"/>
    <x v="1"/>
    <x v="1"/>
    <s v="Tienda Online"/>
    <x v="4"/>
    <n v="5"/>
    <n v="5"/>
  </r>
  <r>
    <s v="V001352"/>
    <s v="978-6-38893-559-9"/>
    <s v="Dune"/>
    <s v="Frank Herbert"/>
    <x v="12"/>
    <n v="20.61"/>
    <n v="2061"/>
    <n v="1"/>
    <n v="20.61"/>
    <x v="43"/>
    <x v="2"/>
    <x v="216"/>
    <x v="1"/>
    <x v="1"/>
    <s v="Tienda Online"/>
    <x v="0"/>
    <m/>
    <s v="Sin valoración"/>
  </r>
  <r>
    <s v="V001353"/>
    <s v="978-3-50857-508-5"/>
    <s v="Piense y hágase rico"/>
    <s v="Napoleon Hill"/>
    <x v="5"/>
    <n v="15.29"/>
    <n v="1529"/>
    <n v="3"/>
    <n v="45.87"/>
    <x v="18"/>
    <x v="3"/>
    <x v="771"/>
    <x v="2"/>
    <x v="1"/>
    <s v="Tienda Online"/>
    <x v="2"/>
    <n v="4"/>
    <n v="4"/>
  </r>
  <r>
    <s v="V001354"/>
    <s v="978-2-92240-263-6"/>
    <s v="La casa de Bernarda Alba"/>
    <s v="Federico García Lorca"/>
    <x v="17"/>
    <n v="8.91"/>
    <n v="891"/>
    <n v="2"/>
    <n v="17.82"/>
    <x v="68"/>
    <x v="0"/>
    <x v="772"/>
    <x v="2"/>
    <x v="1"/>
    <s v="Tienda Online"/>
    <x v="1"/>
    <n v="4"/>
    <n v="4"/>
  </r>
  <r>
    <s v="V001355"/>
    <s v="978-0-96673-333-4"/>
    <s v="Harry Potter y el prisionero de Azkaban"/>
    <s v="J.K. Rowling"/>
    <x v="8"/>
    <n v="14.36"/>
    <n v="1436"/>
    <n v="1"/>
    <n v="14.36"/>
    <x v="9"/>
    <x v="3"/>
    <x v="511"/>
    <x v="2"/>
    <x v="1"/>
    <s v="Tienda Online"/>
    <x v="2"/>
    <n v="5"/>
    <n v="5"/>
  </r>
  <r>
    <s v="V001356"/>
    <s v="978-2-17455-620-1"/>
    <s v="Cosmos"/>
    <s v="Carl Sagan"/>
    <x v="11"/>
    <n v="1.89"/>
    <n v="189"/>
    <n v="1"/>
    <n v="1.89"/>
    <x v="59"/>
    <x v="0"/>
    <x v="773"/>
    <x v="2"/>
    <x v="1"/>
    <s v="Tienda Online"/>
    <x v="0"/>
    <n v="3"/>
    <n v="3"/>
  </r>
  <r>
    <s v="V001357"/>
    <s v="978-5-74042-119-1"/>
    <s v="Sapiens"/>
    <s v="Yuval Noah Harari"/>
    <x v="15"/>
    <n v="2.2999999999999998"/>
    <n v="230"/>
    <n v="1"/>
    <n v="2.2999999999999998"/>
    <x v="18"/>
    <x v="0"/>
    <x v="345"/>
    <x v="2"/>
    <x v="1"/>
    <s v="Tienda Online"/>
    <x v="4"/>
    <n v="4"/>
    <n v="4"/>
  </r>
  <r>
    <s v="V001358"/>
    <s v="978-2-58520-463-3"/>
    <s v="Sinsajo"/>
    <s v="Suzanne Collins"/>
    <x v="8"/>
    <n v="13.41"/>
    <n v="1341"/>
    <n v="1"/>
    <n v="13.41"/>
    <x v="64"/>
    <x v="1"/>
    <x v="397"/>
    <x v="2"/>
    <x v="1"/>
    <s v="Tienda Online"/>
    <x v="3"/>
    <n v="3"/>
    <n v="3"/>
  </r>
  <r>
    <s v="V001359"/>
    <s v="978-0-62772-845-5"/>
    <s v="Drácula"/>
    <s v="Bram Stoker"/>
    <x v="4"/>
    <n v="1.29"/>
    <n v="129"/>
    <n v="1"/>
    <n v="1.29"/>
    <x v="28"/>
    <x v="0"/>
    <x v="42"/>
    <x v="2"/>
    <x v="1"/>
    <s v="Tienda Online"/>
    <x v="0"/>
    <n v="5"/>
    <n v="5"/>
  </r>
  <r>
    <s v="V001360"/>
    <s v="978-9-51245-317-7"/>
    <s v="La sombra del viento"/>
    <s v="Carlos Ruiz Zafón"/>
    <x v="3"/>
    <n v="19.43"/>
    <n v="1943"/>
    <n v="1"/>
    <n v="19.43"/>
    <x v="54"/>
    <x v="0"/>
    <x v="171"/>
    <x v="2"/>
    <x v="1"/>
    <s v="Tienda Online"/>
    <x v="0"/>
    <n v="5"/>
    <n v="5"/>
  </r>
  <r>
    <s v="V001361"/>
    <s v="978-3-99733-432-0"/>
    <s v="Don Quijote de la Mancha"/>
    <s v="Miguel de Cervantes"/>
    <x v="9"/>
    <n v="15.92"/>
    <n v="1592"/>
    <n v="3"/>
    <n v="47.76"/>
    <x v="3"/>
    <x v="2"/>
    <x v="118"/>
    <x v="1"/>
    <x v="1"/>
    <s v="Tienda Online"/>
    <x v="1"/>
    <m/>
    <s v="Sin valoración"/>
  </r>
  <r>
    <s v="V001362"/>
    <s v="978-9-51245-317-7"/>
    <s v="La sombra del viento"/>
    <s v="Carlos Ruiz Zafón"/>
    <x v="3"/>
    <n v="16.649999999999999"/>
    <n v="1665"/>
    <n v="1"/>
    <n v="16.649999999999999"/>
    <x v="53"/>
    <x v="0"/>
    <x v="693"/>
    <x v="2"/>
    <x v="1"/>
    <s v="Tienda Online"/>
    <x v="4"/>
    <n v="5"/>
    <n v="5"/>
  </r>
  <r>
    <s v="V001363"/>
    <s v="978-5-85674-296-1"/>
    <s v="Harry Potter y la cámara secreta"/>
    <s v="J.K. Rowling"/>
    <x v="8"/>
    <n v="1.59"/>
    <n v="159"/>
    <n v="1"/>
    <n v="1.59"/>
    <x v="64"/>
    <x v="2"/>
    <x v="774"/>
    <x v="2"/>
    <x v="1"/>
    <s v="Tienda Online"/>
    <x v="3"/>
    <n v="5"/>
    <n v="5"/>
  </r>
  <r>
    <s v="V001364"/>
    <s v="978-2-46509-573-3"/>
    <s v="La peste"/>
    <s v="Albert Camus"/>
    <x v="9"/>
    <n v="11.92"/>
    <n v="1192"/>
    <n v="1"/>
    <n v="11.92"/>
    <x v="39"/>
    <x v="3"/>
    <x v="709"/>
    <x v="2"/>
    <x v="1"/>
    <s v="Tienda Online"/>
    <x v="2"/>
    <m/>
    <s v="Sin valoración"/>
  </r>
  <r>
    <s v="V001365"/>
    <s v="978-2-58520-463-3"/>
    <s v="Sinsajo"/>
    <s v="Suzanne Collins"/>
    <x v="8"/>
    <n v="12.66"/>
    <n v="1266"/>
    <n v="3"/>
    <n v="37.980000000000004"/>
    <x v="20"/>
    <x v="3"/>
    <x v="521"/>
    <x v="1"/>
    <x v="1"/>
    <s v="Tienda Online"/>
    <x v="3"/>
    <n v="5"/>
    <n v="5"/>
  </r>
  <r>
    <s v="V001366"/>
    <s v="978-4-99593-763-1"/>
    <s v="Crimen y castigo"/>
    <s v="Fiódor Dostoyevski"/>
    <x v="9"/>
    <n v="1.29"/>
    <n v="129"/>
    <n v="1"/>
    <n v="1.29"/>
    <x v="37"/>
    <x v="1"/>
    <x v="775"/>
    <x v="1"/>
    <x v="0"/>
    <s v="Librería Valencia Centro"/>
    <x v="2"/>
    <n v="5"/>
    <n v="5"/>
  </r>
  <r>
    <s v="V001367"/>
    <s v="978-9-44671-926-0"/>
    <s v="El Hobbit"/>
    <s v="J.R.R. Tolkien"/>
    <x v="2"/>
    <n v="1.69"/>
    <n v="169"/>
    <n v="1"/>
    <n v="1.69"/>
    <x v="64"/>
    <x v="3"/>
    <x v="776"/>
    <x v="1"/>
    <x v="1"/>
    <s v="Tienda Online"/>
    <x v="3"/>
    <n v="1"/>
    <n v="1"/>
  </r>
  <r>
    <s v="V001368"/>
    <s v="978-9-71953-348-7"/>
    <s v="It"/>
    <s v="Stephen King"/>
    <x v="4"/>
    <n v="19.46"/>
    <n v="1946"/>
    <n v="1"/>
    <n v="19.46"/>
    <x v="27"/>
    <x v="1"/>
    <x v="562"/>
    <x v="1"/>
    <x v="0"/>
    <s v="Librería Sevilla Triana"/>
    <x v="4"/>
    <n v="5"/>
    <n v="5"/>
  </r>
  <r>
    <s v="V001369"/>
    <s v="978-1-16630-767-8"/>
    <s v="Los pilares de la Tierra"/>
    <s v="Ken Follett"/>
    <x v="16"/>
    <n v="18.61"/>
    <n v="1861"/>
    <n v="2"/>
    <n v="37.22"/>
    <x v="53"/>
    <x v="3"/>
    <x v="338"/>
    <x v="1"/>
    <x v="0"/>
    <s v="Librería Gran Vía"/>
    <x v="3"/>
    <n v="5"/>
    <n v="5"/>
  </r>
  <r>
    <s v="V001370"/>
    <s v="978-1-68082-927-8"/>
    <s v="Náuseas"/>
    <s v="Jean-Paul Sartre"/>
    <x v="9"/>
    <n v="1.39"/>
    <n v="139"/>
    <n v="1"/>
    <n v="1.39"/>
    <x v="55"/>
    <x v="0"/>
    <x v="777"/>
    <x v="1"/>
    <x v="1"/>
    <s v="Tienda Online"/>
    <x v="2"/>
    <n v="4"/>
    <n v="4"/>
  </r>
  <r>
    <s v="V001371"/>
    <s v="978-2-26828-775-7"/>
    <s v="Los cuatro acuerdos"/>
    <s v="Miguel Ruiz"/>
    <x v="0"/>
    <n v="10.96"/>
    <n v="1096"/>
    <n v="2"/>
    <n v="21.92"/>
    <x v="4"/>
    <x v="0"/>
    <x v="778"/>
    <x v="1"/>
    <x v="1"/>
    <s v="Tienda Online"/>
    <x v="1"/>
    <n v="5"/>
    <n v="5"/>
  </r>
  <r>
    <s v="V001372"/>
    <s v="978-1-13278-859-4"/>
    <s v="Cien años de soledad"/>
    <s v="Gabriel García Márquez"/>
    <x v="3"/>
    <n v="19.84"/>
    <n v="1984"/>
    <n v="1"/>
    <n v="19.84"/>
    <x v="4"/>
    <x v="1"/>
    <x v="237"/>
    <x v="2"/>
    <x v="1"/>
    <s v="Tienda Online"/>
    <x v="4"/>
    <n v="2"/>
    <n v="2"/>
  </r>
  <r>
    <s v="V001373"/>
    <s v="978-2-58520-463-3"/>
    <s v="Sinsajo"/>
    <s v="Suzanne Collins"/>
    <x v="8"/>
    <n v="1.49"/>
    <n v="149"/>
    <n v="2"/>
    <n v="2.98"/>
    <x v="21"/>
    <x v="1"/>
    <x v="207"/>
    <x v="2"/>
    <x v="1"/>
    <s v="Tienda Online"/>
    <x v="1"/>
    <n v="5"/>
    <n v="5"/>
  </r>
  <r>
    <s v="V001374"/>
    <s v="978-8-31643-371-8"/>
    <s v="Hábitos atómicos"/>
    <s v="James Clear"/>
    <x v="0"/>
    <n v="1.89"/>
    <n v="189"/>
    <n v="1"/>
    <n v="1.89"/>
    <x v="36"/>
    <x v="1"/>
    <x v="779"/>
    <x v="1"/>
    <x v="0"/>
    <s v="Librería Sevilla Triana"/>
    <x v="2"/>
    <m/>
    <s v="Sin valoración"/>
  </r>
  <r>
    <s v="V001375"/>
    <s v="978-8-68800-243-6"/>
    <s v="El extranjero"/>
    <s v="Albert Camus"/>
    <x v="9"/>
    <n v="14.19"/>
    <n v="1419"/>
    <n v="1"/>
    <n v="14.19"/>
    <x v="63"/>
    <x v="2"/>
    <x v="63"/>
    <x v="0"/>
    <x v="0"/>
    <s v="Librería Central Madrid"/>
    <x v="1"/>
    <n v="5"/>
    <n v="5"/>
  </r>
  <r>
    <s v="V001376"/>
    <s v="978-3-14207-924-5"/>
    <s v="La casa de los espíritus"/>
    <s v="Isabel Allende"/>
    <x v="3"/>
    <n v="15.21"/>
    <n v="1521"/>
    <n v="1"/>
    <n v="15.21"/>
    <x v="25"/>
    <x v="1"/>
    <x v="83"/>
    <x v="1"/>
    <x v="0"/>
    <s v="Librería Gran Vía"/>
    <x v="1"/>
    <n v="2"/>
    <n v="2"/>
  </r>
  <r>
    <s v="V001377"/>
    <s v="978-1-13278-859-4"/>
    <s v="Cien años de soledad"/>
    <s v="Gabriel García Márquez"/>
    <x v="3"/>
    <n v="1.89"/>
    <n v="189"/>
    <n v="1"/>
    <n v="1.89"/>
    <x v="3"/>
    <x v="0"/>
    <x v="467"/>
    <x v="1"/>
    <x v="1"/>
    <s v="Tienda Online"/>
    <x v="4"/>
    <n v="4"/>
    <n v="4"/>
  </r>
  <r>
    <s v="V001378"/>
    <s v="978-0-87110-667-3"/>
    <s v="Charlie y la fábrica de chocolate"/>
    <s v="Roald Dahl"/>
    <x v="6"/>
    <n v="1.25"/>
    <n v="125"/>
    <n v="4"/>
    <n v="5"/>
    <x v="24"/>
    <x v="2"/>
    <x v="451"/>
    <x v="0"/>
    <x v="1"/>
    <s v="Tienda Online"/>
    <x v="4"/>
    <n v="2"/>
    <n v="2"/>
  </r>
  <r>
    <s v="V001379"/>
    <s v="978-3-39451-165-5"/>
    <s v="Matilda"/>
    <s v="Roald Dahl"/>
    <x v="6"/>
    <n v="10.71"/>
    <n v="1071"/>
    <n v="1"/>
    <n v="10.71"/>
    <x v="56"/>
    <x v="0"/>
    <x v="270"/>
    <x v="0"/>
    <x v="0"/>
    <s v="Librería Barcelona Gòtic"/>
    <x v="1"/>
    <n v="4"/>
    <n v="4"/>
  </r>
  <r>
    <s v="V001380"/>
    <s v="978-4-97684-597-3"/>
    <s v="American Gods"/>
    <s v="Neil Gaiman"/>
    <x v="2"/>
    <n v="21.89"/>
    <n v="2189"/>
    <n v="1"/>
    <n v="21.89"/>
    <x v="23"/>
    <x v="1"/>
    <x v="551"/>
    <x v="2"/>
    <x v="1"/>
    <s v="Tienda Online"/>
    <x v="1"/>
    <n v="3"/>
    <n v="3"/>
  </r>
  <r>
    <s v="V001381"/>
    <s v="978-0-22224-871-3"/>
    <s v="Un mundo sin fin"/>
    <s v="Ken Follett"/>
    <x v="16"/>
    <n v="25.19"/>
    <n v="2519"/>
    <n v="1"/>
    <n v="25.19"/>
    <x v="18"/>
    <x v="0"/>
    <x v="671"/>
    <x v="2"/>
    <x v="1"/>
    <s v="Tienda Online"/>
    <x v="0"/>
    <n v="1"/>
    <n v="1"/>
  </r>
  <r>
    <s v="V001382"/>
    <s v="978-8-31643-371-8"/>
    <s v="Hábitos atómicos"/>
    <s v="James Clear"/>
    <x v="0"/>
    <n v="19.84"/>
    <n v="1984"/>
    <n v="1"/>
    <n v="19.84"/>
    <x v="12"/>
    <x v="1"/>
    <x v="780"/>
    <x v="1"/>
    <x v="1"/>
    <s v="Tienda Online"/>
    <x v="0"/>
    <n v="5"/>
    <n v="5"/>
  </r>
  <r>
    <s v="V001383"/>
    <s v="978-2-18981-709-1"/>
    <s v="Una breve historia del tiempo"/>
    <s v="Stephen Hawking"/>
    <x v="11"/>
    <n v="14.36"/>
    <n v="1436"/>
    <n v="1"/>
    <n v="14.36"/>
    <x v="40"/>
    <x v="2"/>
    <x v="781"/>
    <x v="2"/>
    <x v="1"/>
    <s v="Tienda Online"/>
    <x v="1"/>
    <n v="3"/>
    <n v="3"/>
  </r>
  <r>
    <s v="V001384"/>
    <s v="978-8-44438-864-9"/>
    <s v="Rayuela"/>
    <s v="Julio Cortázar"/>
    <x v="9"/>
    <n v="17.75"/>
    <n v="1775"/>
    <n v="1"/>
    <n v="17.75"/>
    <x v="13"/>
    <x v="2"/>
    <x v="136"/>
    <x v="1"/>
    <x v="1"/>
    <s v="Tienda Online"/>
    <x v="2"/>
    <n v="2"/>
    <n v="2"/>
  </r>
  <r>
    <s v="V001385"/>
    <s v="978-3-76237-716-0"/>
    <s v="Fahrenheit 451"/>
    <s v="Ray Bradbury"/>
    <x v="12"/>
    <n v="11.12"/>
    <n v="1112"/>
    <n v="1"/>
    <n v="11.12"/>
    <x v="65"/>
    <x v="2"/>
    <x v="110"/>
    <x v="2"/>
    <x v="1"/>
    <s v="Tienda Online"/>
    <x v="2"/>
    <n v="4"/>
    <n v="4"/>
  </r>
  <r>
    <s v="V001386"/>
    <s v="978-4-97684-597-3"/>
    <s v="American Gods"/>
    <s v="Neil Gaiman"/>
    <x v="2"/>
    <n v="20.89"/>
    <n v="2089"/>
    <n v="2"/>
    <n v="41.78"/>
    <x v="70"/>
    <x v="3"/>
    <x v="708"/>
    <x v="1"/>
    <x v="0"/>
    <s v="Librería Barcelona Gòtic"/>
    <x v="2"/>
    <n v="3"/>
    <n v="3"/>
  </r>
  <r>
    <s v="V001387"/>
    <s v="978-1-68082-927-8"/>
    <s v="Náuseas"/>
    <s v="Jean-Paul Sartre"/>
    <x v="9"/>
    <n v="12.51"/>
    <n v="1251"/>
    <n v="1"/>
    <n v="12.51"/>
    <x v="2"/>
    <x v="1"/>
    <x v="131"/>
    <x v="1"/>
    <x v="0"/>
    <s v="Librería Central Madrid"/>
    <x v="2"/>
    <n v="5"/>
    <n v="5"/>
  </r>
  <r>
    <s v="V001388"/>
    <s v="978-7-47388-533-8"/>
    <s v="Los besos"/>
    <s v="Manuel Vilas"/>
    <x v="3"/>
    <n v="15.12"/>
    <n v="1512"/>
    <n v="1"/>
    <n v="15.12"/>
    <x v="59"/>
    <x v="1"/>
    <x v="782"/>
    <x v="1"/>
    <x v="1"/>
    <s v="Tienda Online"/>
    <x v="2"/>
    <n v="4"/>
    <n v="4"/>
  </r>
  <r>
    <s v="V001389"/>
    <s v="978-6-86484-508-5"/>
    <s v="Ficciones"/>
    <s v="Jorge Luis Borges"/>
    <x v="9"/>
    <n v="12.66"/>
    <n v="1266"/>
    <n v="1"/>
    <n v="12.66"/>
    <x v="2"/>
    <x v="0"/>
    <x v="783"/>
    <x v="2"/>
    <x v="1"/>
    <s v="Tienda Online"/>
    <x v="1"/>
    <n v="3"/>
    <n v="3"/>
  </r>
  <r>
    <s v="V001390"/>
    <s v="978-1-16175-981-1"/>
    <s v="Pedro Páramo"/>
    <s v="Juan Rulfo"/>
    <x v="9"/>
    <n v="1.29"/>
    <n v="129"/>
    <n v="1"/>
    <n v="1.29"/>
    <x v="16"/>
    <x v="2"/>
    <x v="699"/>
    <x v="1"/>
    <x v="0"/>
    <s v="Librería Central Madrid"/>
    <x v="4"/>
    <m/>
    <s v="Sin valoración"/>
  </r>
  <r>
    <s v="V001391"/>
    <s v="978-6-86484-508-5"/>
    <s v="Ficciones"/>
    <s v="Jorge Luis Borges"/>
    <x v="9"/>
    <n v="1.49"/>
    <n v="149"/>
    <n v="1"/>
    <n v="1.49"/>
    <x v="14"/>
    <x v="1"/>
    <x v="784"/>
    <x v="2"/>
    <x v="1"/>
    <s v="Tienda Online"/>
    <x v="2"/>
    <n v="4"/>
    <n v="4"/>
  </r>
  <r>
    <s v="V001392"/>
    <s v="978-6-46434-564-5"/>
    <s v="En llamas"/>
    <s v="Suzanne Collins"/>
    <x v="8"/>
    <n v="1.49"/>
    <n v="149"/>
    <n v="1"/>
    <n v="1.49"/>
    <x v="64"/>
    <x v="3"/>
    <x v="785"/>
    <x v="0"/>
    <x v="1"/>
    <s v="Tienda Online"/>
    <x v="0"/>
    <m/>
    <s v="Sin valoración"/>
  </r>
  <r>
    <s v="V001393"/>
    <s v="978-3-85880-708-0"/>
    <s v="Persépolis"/>
    <s v="Marjane Satrapi"/>
    <x v="10"/>
    <n v="12.72"/>
    <n v="1272"/>
    <n v="2"/>
    <n v="25.44"/>
    <x v="54"/>
    <x v="3"/>
    <x v="210"/>
    <x v="1"/>
    <x v="1"/>
    <s v="Tienda Online"/>
    <x v="2"/>
    <n v="4"/>
    <n v="4"/>
  </r>
  <r>
    <s v="V001394"/>
    <s v="978-1-16630-767-8"/>
    <s v="Los pilares de la Tierra"/>
    <s v="Ken Follett"/>
    <x v="16"/>
    <n v="2.19"/>
    <n v="219"/>
    <n v="1"/>
    <n v="2.19"/>
    <x v="30"/>
    <x v="1"/>
    <x v="786"/>
    <x v="0"/>
    <x v="1"/>
    <s v="Tienda Online"/>
    <x v="4"/>
    <m/>
    <s v="Sin valoración"/>
  </r>
  <r>
    <s v="V001395"/>
    <s v="978-7-30289-294-4"/>
    <s v="Nada"/>
    <s v="Carmen Laforet"/>
    <x v="9"/>
    <n v="11.12"/>
    <n v="1112"/>
    <n v="2"/>
    <n v="22.24"/>
    <x v="31"/>
    <x v="0"/>
    <x v="450"/>
    <x v="2"/>
    <x v="1"/>
    <s v="Tienda Online"/>
    <x v="4"/>
    <n v="4"/>
    <n v="4"/>
  </r>
  <r>
    <s v="V001396"/>
    <s v="978-4-28301-352-8"/>
    <s v="El prisionero del cielo"/>
    <s v="Carlos Ruiz Zafón"/>
    <x v="3"/>
    <n v="19.690000000000001"/>
    <n v="1969"/>
    <n v="1"/>
    <n v="19.690000000000001"/>
    <x v="17"/>
    <x v="1"/>
    <x v="787"/>
    <x v="2"/>
    <x v="1"/>
    <s v="Tienda Online"/>
    <x v="4"/>
    <n v="4"/>
    <n v="4"/>
  </r>
  <r>
    <s v="V001397"/>
    <s v="978-9-65461-316-8"/>
    <s v="Padre rico, padre pobre"/>
    <s v="Robert Kiyosaki"/>
    <x v="5"/>
    <n v="1.69"/>
    <n v="169"/>
    <n v="1"/>
    <n v="1.69"/>
    <x v="35"/>
    <x v="1"/>
    <x v="788"/>
    <x v="0"/>
    <x v="1"/>
    <s v="Tienda Online"/>
    <x v="0"/>
    <n v="4"/>
    <n v="4"/>
  </r>
  <r>
    <s v="V001398"/>
    <s v="978-1-42591-296-3"/>
    <s v="Frankenstein"/>
    <s v="Mary Shelley"/>
    <x v="4"/>
    <n v="10.71"/>
    <n v="1071"/>
    <n v="1"/>
    <n v="10.71"/>
    <x v="29"/>
    <x v="0"/>
    <x v="724"/>
    <x v="1"/>
    <x v="0"/>
    <s v="Librería Central Madrid"/>
    <x v="3"/>
    <n v="4"/>
    <n v="4"/>
  </r>
  <r>
    <s v="V001399"/>
    <s v="978-2-18981-709-1"/>
    <s v="Una breve historia del tiempo"/>
    <s v="Stephen Hawking"/>
    <x v="11"/>
    <n v="13.52"/>
    <n v="1352"/>
    <n v="2"/>
    <n v="27.04"/>
    <x v="53"/>
    <x v="0"/>
    <x v="789"/>
    <x v="1"/>
    <x v="0"/>
    <s v="Librería Sevilla Triana"/>
    <x v="0"/>
    <n v="5"/>
    <n v="5"/>
  </r>
  <r>
    <s v="V001400"/>
    <s v="978-3-39451-165-5"/>
    <s v="Matilda"/>
    <s v="Roald Dahl"/>
    <x v="6"/>
    <n v="1.19"/>
    <n v="119"/>
    <n v="2"/>
    <n v="2.38"/>
    <x v="24"/>
    <x v="2"/>
    <x v="375"/>
    <x v="1"/>
    <x v="1"/>
    <s v="Tienda Online"/>
    <x v="1"/>
    <n v="5"/>
    <n v="5"/>
  </r>
  <r>
    <s v="V001401"/>
    <s v="978-0-40007-169-0"/>
    <s v="El Principito ilustrado"/>
    <s v="Antoine de Saint-Exupéry"/>
    <x v="6"/>
    <n v="17.489999999999998"/>
    <n v="1749"/>
    <n v="1"/>
    <n v="17.489999999999998"/>
    <x v="61"/>
    <x v="0"/>
    <x v="366"/>
    <x v="0"/>
    <x v="0"/>
    <s v="Librería Central Madrid"/>
    <x v="3"/>
    <n v="4"/>
    <n v="4"/>
  </r>
  <r>
    <s v="V001402"/>
    <s v="978-8-31643-371-8"/>
    <s v="Hábitos atómicos"/>
    <s v="James Clear"/>
    <x v="0"/>
    <n v="19.84"/>
    <n v="1984"/>
    <n v="1"/>
    <n v="19.84"/>
    <x v="36"/>
    <x v="3"/>
    <x v="402"/>
    <x v="1"/>
    <x v="0"/>
    <s v="Librería Gran Vía"/>
    <x v="2"/>
    <n v="5"/>
    <n v="5"/>
  </r>
  <r>
    <s v="V001403"/>
    <s v="978-1-40512-987-1"/>
    <s v="Los juegos del hambre"/>
    <s v="Suzanne Collins"/>
    <x v="8"/>
    <n v="1.49"/>
    <n v="149"/>
    <n v="3"/>
    <n v="4.47"/>
    <x v="20"/>
    <x v="2"/>
    <x v="300"/>
    <x v="2"/>
    <x v="1"/>
    <s v="Tienda Online"/>
    <x v="2"/>
    <m/>
    <s v="Sin valoración"/>
  </r>
  <r>
    <s v="V001404"/>
    <s v="978-9-18326-494-6"/>
    <s v="Romancero gitano"/>
    <s v="Federico García Lorca"/>
    <x v="7"/>
    <n v="1.0900000000000001"/>
    <n v="109"/>
    <n v="3"/>
    <n v="3.2700000000000005"/>
    <x v="22"/>
    <x v="0"/>
    <x v="245"/>
    <x v="1"/>
    <x v="1"/>
    <s v="Tienda Online"/>
    <x v="3"/>
    <n v="4"/>
    <n v="4"/>
  </r>
  <r>
    <s v="V001405"/>
    <s v="978-0-51104-158-0"/>
    <s v="Manual de cocina fácil"/>
    <s v="Karlos Arguiñano"/>
    <x v="14"/>
    <n v="16.11"/>
    <n v="1611"/>
    <n v="1"/>
    <n v="16.11"/>
    <x v="55"/>
    <x v="1"/>
    <x v="790"/>
    <x v="1"/>
    <x v="1"/>
    <s v="Tienda Online"/>
    <x v="3"/>
    <n v="5"/>
    <n v="5"/>
  </r>
  <r>
    <s v="V001406"/>
    <s v="978-8-44973-887-5"/>
    <s v="Ángeles y demonios"/>
    <s v="Dan Brown"/>
    <x v="1"/>
    <n v="1.69"/>
    <n v="169"/>
    <n v="1"/>
    <n v="1.69"/>
    <x v="45"/>
    <x v="3"/>
    <x v="593"/>
    <x v="2"/>
    <x v="1"/>
    <s v="Tienda Online"/>
    <x v="2"/>
    <n v="4"/>
    <n v="4"/>
  </r>
  <r>
    <s v="V001407"/>
    <s v="978-3-50857-508-5"/>
    <s v="Piense y hágase rico"/>
    <s v="Napoleon Hill"/>
    <x v="5"/>
    <n v="1.39"/>
    <n v="139"/>
    <n v="1"/>
    <n v="1.39"/>
    <x v="23"/>
    <x v="0"/>
    <x v="791"/>
    <x v="0"/>
    <x v="1"/>
    <s v="Tienda Online"/>
    <x v="3"/>
    <n v="3"/>
    <n v="3"/>
  </r>
  <r>
    <s v="V001408"/>
    <s v="978-2-26828-775-7"/>
    <s v="Los cuatro acuerdos"/>
    <s v="Miguel Ruiz"/>
    <x v="0"/>
    <n v="1.29"/>
    <n v="129"/>
    <n v="2"/>
    <n v="2.58"/>
    <x v="5"/>
    <x v="0"/>
    <x v="72"/>
    <x v="1"/>
    <x v="0"/>
    <s v="Librería Barcelona Gòtic"/>
    <x v="4"/>
    <n v="4"/>
    <n v="4"/>
  </r>
  <r>
    <s v="V001409"/>
    <s v="978-8-68800-243-6"/>
    <s v="El extranjero"/>
    <s v="Albert Camus"/>
    <x v="9"/>
    <n v="1.29"/>
    <n v="129"/>
    <n v="2"/>
    <n v="2.58"/>
    <x v="27"/>
    <x v="2"/>
    <x v="387"/>
    <x v="2"/>
    <x v="1"/>
    <s v="Tienda Online"/>
    <x v="3"/>
    <n v="5"/>
    <n v="5"/>
  </r>
  <r>
    <s v="V001410"/>
    <s v="978-7-30289-294-4"/>
    <s v="Nada"/>
    <s v="Carmen Laforet"/>
    <x v="9"/>
    <n v="1.39"/>
    <n v="139"/>
    <n v="1"/>
    <n v="1.39"/>
    <x v="25"/>
    <x v="2"/>
    <x v="792"/>
    <x v="1"/>
    <x v="0"/>
    <s v="Librería Gran Vía"/>
    <x v="4"/>
    <n v="3"/>
    <n v="3"/>
  </r>
  <r>
    <s v="V001411"/>
    <s v="978-9-71953-348-7"/>
    <s v="It"/>
    <s v="Stephen King"/>
    <x v="4"/>
    <n v="18.32"/>
    <n v="1832"/>
    <n v="2"/>
    <n v="36.64"/>
    <x v="65"/>
    <x v="2"/>
    <x v="723"/>
    <x v="1"/>
    <x v="1"/>
    <s v="Tienda Online"/>
    <x v="2"/>
    <n v="4"/>
    <n v="4"/>
  </r>
  <r>
    <s v="V001412"/>
    <s v="978-0-13905-195-3"/>
    <s v="Rebelión en la granja"/>
    <s v="George Orwell"/>
    <x v="3"/>
    <n v="11.25"/>
    <n v="1125"/>
    <n v="1"/>
    <n v="11.25"/>
    <x v="45"/>
    <x v="0"/>
    <x v="779"/>
    <x v="0"/>
    <x v="1"/>
    <s v="Tienda Online"/>
    <x v="2"/>
    <n v="3"/>
    <n v="3"/>
  </r>
  <r>
    <s v="V001413"/>
    <s v="978-5-19287-626-3"/>
    <s v="Coraline"/>
    <s v="Neil Gaiman"/>
    <x v="8"/>
    <n v="11.12"/>
    <n v="1112"/>
    <n v="4"/>
    <n v="44.48"/>
    <x v="61"/>
    <x v="3"/>
    <x v="738"/>
    <x v="1"/>
    <x v="0"/>
    <s v="Librería Central Madrid"/>
    <x v="3"/>
    <n v="4"/>
    <n v="4"/>
  </r>
  <r>
    <s v="V001414"/>
    <s v="978-8-68800-243-6"/>
    <s v="El extranjero"/>
    <s v="Albert Camus"/>
    <x v="9"/>
    <n v="10.96"/>
    <n v="1096"/>
    <n v="1"/>
    <n v="10.96"/>
    <x v="28"/>
    <x v="2"/>
    <x v="30"/>
    <x v="1"/>
    <x v="0"/>
    <s v="Librería Barcelona Gòtic"/>
    <x v="0"/>
    <n v="4"/>
    <n v="4"/>
  </r>
  <r>
    <s v="V001415"/>
    <s v="978-7-10425-839-4"/>
    <s v="El paciente silencioso"/>
    <s v="Alex Michaelides"/>
    <x v="1"/>
    <n v="14.32"/>
    <n v="1432"/>
    <n v="1"/>
    <n v="14.32"/>
    <x v="54"/>
    <x v="3"/>
    <x v="119"/>
    <x v="0"/>
    <x v="0"/>
    <s v="Librería Barcelona Gòtic"/>
    <x v="1"/>
    <m/>
    <s v="Sin valoración"/>
  </r>
  <r>
    <s v="V001416"/>
    <s v="978-3-76237-716-0"/>
    <s v="Fahrenheit 451"/>
    <s v="Ray Bradbury"/>
    <x v="12"/>
    <n v="11.12"/>
    <n v="1112"/>
    <n v="4"/>
    <n v="44.48"/>
    <x v="2"/>
    <x v="3"/>
    <x v="793"/>
    <x v="2"/>
    <x v="1"/>
    <s v="Tienda Online"/>
    <x v="0"/>
    <n v="4"/>
    <n v="4"/>
  </r>
  <r>
    <s v="V001417"/>
    <s v="978-8-27342-840-9"/>
    <s v="Stardust"/>
    <s v="Neil Gaiman"/>
    <x v="2"/>
    <n v="17.489999999999998"/>
    <n v="1749"/>
    <n v="1"/>
    <n v="17.489999999999998"/>
    <x v="48"/>
    <x v="2"/>
    <x v="62"/>
    <x v="0"/>
    <x v="1"/>
    <s v="Tienda Online"/>
    <x v="2"/>
    <n v="5"/>
    <n v="5"/>
  </r>
  <r>
    <s v="V001418"/>
    <s v="978-3-97782-833-5"/>
    <s v="V de Vendetta"/>
    <s v="Alan Moore"/>
    <x v="10"/>
    <n v="20.79"/>
    <n v="2079"/>
    <n v="1"/>
    <n v="20.79"/>
    <x v="54"/>
    <x v="3"/>
    <x v="208"/>
    <x v="0"/>
    <x v="0"/>
    <s v="Librería Valencia Centro"/>
    <x v="3"/>
    <n v="4"/>
    <n v="4"/>
  </r>
  <r>
    <s v="V001419"/>
    <s v="978-9-18326-494-6"/>
    <s v="Romancero gitano"/>
    <s v="Federico García Lorca"/>
    <x v="7"/>
    <n v="11.45"/>
    <n v="1145"/>
    <n v="1"/>
    <n v="11.45"/>
    <x v="45"/>
    <x v="2"/>
    <x v="8"/>
    <x v="0"/>
    <x v="1"/>
    <s v="Tienda Online"/>
    <x v="3"/>
    <n v="4"/>
    <n v="4"/>
  </r>
  <r>
    <s v="V001420"/>
    <s v="978-6-34957-196-1"/>
    <s v="El resplandor"/>
    <s v="Stephen King"/>
    <x v="4"/>
    <n v="19.84"/>
    <n v="1984"/>
    <n v="1"/>
    <n v="19.84"/>
    <x v="35"/>
    <x v="2"/>
    <x v="678"/>
    <x v="0"/>
    <x v="1"/>
    <s v="Tienda Online"/>
    <x v="3"/>
    <n v="5"/>
    <n v="5"/>
  </r>
  <r>
    <s v="V001421"/>
    <s v="978-2-92240-263-6"/>
    <s v="La casa de Bernarda Alba"/>
    <s v="Federico García Lorca"/>
    <x v="17"/>
    <n v="0.99"/>
    <n v="99"/>
    <n v="1"/>
    <n v="0.99"/>
    <x v="26"/>
    <x v="1"/>
    <x v="727"/>
    <x v="0"/>
    <x v="0"/>
    <s v="Librería Barcelona Gòtic"/>
    <x v="1"/>
    <n v="4"/>
    <n v="4"/>
  </r>
  <r>
    <s v="V001422"/>
    <s v="978-9-18326-494-6"/>
    <s v="Romancero gitano"/>
    <s v="Federico García Lorca"/>
    <x v="7"/>
    <n v="1.0900000000000001"/>
    <n v="109"/>
    <n v="4"/>
    <n v="4.3600000000000003"/>
    <x v="3"/>
    <x v="1"/>
    <x v="193"/>
    <x v="0"/>
    <x v="1"/>
    <s v="Tienda Online"/>
    <x v="0"/>
    <n v="2"/>
    <n v="2"/>
  </r>
  <r>
    <s v="V001423"/>
    <s v="978-2-18981-709-1"/>
    <s v="Una breve historia del tiempo"/>
    <s v="Stephen Hawking"/>
    <x v="11"/>
    <n v="15.21"/>
    <n v="1521"/>
    <n v="1"/>
    <n v="15.21"/>
    <x v="13"/>
    <x v="2"/>
    <x v="533"/>
    <x v="1"/>
    <x v="0"/>
    <s v="Librería Gran Vía"/>
    <x v="0"/>
    <n v="5"/>
    <n v="5"/>
  </r>
  <r>
    <s v="V001424"/>
    <s v="978-9-72493-614-8"/>
    <s v="El chef en casa"/>
    <s v="Jamie Oliver"/>
    <x v="14"/>
    <n v="1.99"/>
    <n v="199"/>
    <n v="1"/>
    <n v="1.99"/>
    <x v="67"/>
    <x v="1"/>
    <x v="585"/>
    <x v="2"/>
    <x v="1"/>
    <s v="Tienda Online"/>
    <x v="4"/>
    <n v="4"/>
    <n v="4"/>
  </r>
  <r>
    <s v="V001425"/>
    <s v="978-6-46434-564-5"/>
    <s v="En llamas"/>
    <s v="Suzanne Collins"/>
    <x v="8"/>
    <n v="1.49"/>
    <n v="149"/>
    <n v="2"/>
    <n v="2.98"/>
    <x v="9"/>
    <x v="1"/>
    <x v="794"/>
    <x v="1"/>
    <x v="1"/>
    <s v="Tienda Online"/>
    <x v="3"/>
    <n v="4"/>
    <n v="4"/>
  </r>
  <r>
    <s v="V001426"/>
    <s v="978-3-39256-242-1"/>
    <s v="El amor en los tiempos del cólera"/>
    <s v="Gabriel García Márquez"/>
    <x v="3"/>
    <n v="1.75"/>
    <n v="175"/>
    <n v="2"/>
    <n v="3.5"/>
    <x v="60"/>
    <x v="3"/>
    <x v="721"/>
    <x v="0"/>
    <x v="1"/>
    <s v="Tienda Online"/>
    <x v="1"/>
    <n v="3"/>
    <n v="3"/>
  </r>
  <r>
    <s v="V001427"/>
    <s v="978-8-68800-243-6"/>
    <s v="El extranjero"/>
    <s v="Albert Camus"/>
    <x v="9"/>
    <n v="13.55"/>
    <n v="1355"/>
    <n v="1"/>
    <n v="13.55"/>
    <x v="0"/>
    <x v="3"/>
    <x v="739"/>
    <x v="1"/>
    <x v="1"/>
    <s v="Tienda Online"/>
    <x v="0"/>
    <m/>
    <s v="Sin valoración"/>
  </r>
  <r>
    <s v="V001428"/>
    <s v="978-7-77839-562-1"/>
    <s v="El principito"/>
    <s v="Antoine de Saint-Exupéry"/>
    <x v="6"/>
    <n v="8.42"/>
    <n v="842"/>
    <n v="2"/>
    <n v="16.84"/>
    <x v="9"/>
    <x v="1"/>
    <x v="104"/>
    <x v="1"/>
    <x v="1"/>
    <s v="Tienda Online"/>
    <x v="2"/>
    <m/>
    <s v="Sin valoración"/>
  </r>
  <r>
    <s v="V001429"/>
    <s v="978-0-40007-169-0"/>
    <s v="El Principito ilustrado"/>
    <s v="Antoine de Saint-Exupéry"/>
    <x v="6"/>
    <n v="1.67"/>
    <n v="167"/>
    <n v="1"/>
    <n v="1.67"/>
    <x v="52"/>
    <x v="0"/>
    <x v="511"/>
    <x v="1"/>
    <x v="1"/>
    <s v="Tienda Online"/>
    <x v="4"/>
    <n v="4"/>
    <n v="4"/>
  </r>
  <r>
    <s v="V001430"/>
    <s v="978-0-62772-845-5"/>
    <s v="Drácula"/>
    <s v="Bram Stoker"/>
    <x v="4"/>
    <n v="10.96"/>
    <n v="1096"/>
    <n v="1"/>
    <n v="10.96"/>
    <x v="4"/>
    <x v="0"/>
    <x v="752"/>
    <x v="2"/>
    <x v="1"/>
    <s v="Tienda Online"/>
    <x v="3"/>
    <n v="4"/>
    <n v="4"/>
  </r>
  <r>
    <s v="V001431"/>
    <s v="978-4-93748-619-9"/>
    <s v="Perdida"/>
    <s v="Gillian Flynn"/>
    <x v="1"/>
    <n v="1.65"/>
    <n v="165"/>
    <n v="2"/>
    <n v="3.3"/>
    <x v="54"/>
    <x v="0"/>
    <x v="795"/>
    <x v="2"/>
    <x v="1"/>
    <s v="Tienda Online"/>
    <x v="4"/>
    <n v="4"/>
    <n v="4"/>
  </r>
  <r>
    <s v="V001432"/>
    <s v="978-9-51245-317-7"/>
    <s v="La sombra del viento"/>
    <s v="Carlos Ruiz Zafón"/>
    <x v="3"/>
    <n v="20.350000000000001"/>
    <n v="2035"/>
    <n v="1"/>
    <n v="20.350000000000001"/>
    <x v="17"/>
    <x v="1"/>
    <x v="390"/>
    <x v="1"/>
    <x v="1"/>
    <s v="Tienda Online"/>
    <x v="4"/>
    <n v="5"/>
    <n v="5"/>
  </r>
  <r>
    <s v="V001433"/>
    <s v="978-9-20745-529-9"/>
    <s v="Watchmen"/>
    <s v="Alan Moore"/>
    <x v="10"/>
    <n v="2.19"/>
    <n v="219"/>
    <n v="1"/>
    <n v="2.19"/>
    <x v="32"/>
    <x v="3"/>
    <x v="674"/>
    <x v="1"/>
    <x v="0"/>
    <s v="Librería Central Madrid"/>
    <x v="0"/>
    <n v="5"/>
    <n v="5"/>
  </r>
  <r>
    <s v="V001434"/>
    <s v="978-2-63269-597-7"/>
    <s v="La chica de nieve"/>
    <s v="Javier Castillo"/>
    <x v="1"/>
    <n v="1.89"/>
    <n v="189"/>
    <n v="1"/>
    <n v="1.89"/>
    <x v="0"/>
    <x v="0"/>
    <x v="219"/>
    <x v="2"/>
    <x v="1"/>
    <s v="Tienda Online"/>
    <x v="1"/>
    <n v="3"/>
    <n v="3"/>
  </r>
  <r>
    <s v="V001435"/>
    <s v="978-8-79514-100-9"/>
    <s v="La chica en la telaraña"/>
    <s v="David Lagercrantz"/>
    <x v="1"/>
    <n v="16.11"/>
    <n v="1611"/>
    <n v="1"/>
    <n v="16.11"/>
    <x v="51"/>
    <x v="3"/>
    <x v="288"/>
    <x v="0"/>
    <x v="1"/>
    <s v="Tienda Online"/>
    <x v="2"/>
    <n v="5"/>
    <n v="5"/>
  </r>
  <r>
    <s v="V001436"/>
    <s v="978-7-30289-294-4"/>
    <s v="Nada"/>
    <s v="Carmen Laforet"/>
    <x v="9"/>
    <n v="11.12"/>
    <n v="1112"/>
    <n v="1"/>
    <n v="11.12"/>
    <x v="31"/>
    <x v="2"/>
    <x v="796"/>
    <x v="1"/>
    <x v="1"/>
    <s v="Tienda Online"/>
    <x v="0"/>
    <n v="4"/>
    <n v="4"/>
  </r>
  <r>
    <s v="V001437"/>
    <s v="978-6-22676-467-5"/>
    <s v="Choque de Reyes"/>
    <s v="George R.R. Martin"/>
    <x v="2"/>
    <n v="1.99"/>
    <n v="199"/>
    <n v="1"/>
    <n v="1.99"/>
    <x v="48"/>
    <x v="3"/>
    <x v="584"/>
    <x v="2"/>
    <x v="1"/>
    <s v="Tienda Online"/>
    <x v="3"/>
    <m/>
    <s v="Sin valoración"/>
  </r>
  <r>
    <s v="V001438"/>
    <s v="978-1-48469-545-2"/>
    <s v="Origen"/>
    <s v="Dan Brown"/>
    <x v="1"/>
    <n v="21.89"/>
    <n v="2189"/>
    <n v="2"/>
    <n v="43.78"/>
    <x v="48"/>
    <x v="1"/>
    <x v="610"/>
    <x v="1"/>
    <x v="1"/>
    <s v="Tienda Online"/>
    <x v="0"/>
    <n v="5"/>
    <n v="5"/>
  </r>
  <r>
    <s v="V001439"/>
    <s v="978-8-79514-100-9"/>
    <s v="La chica en la telaraña"/>
    <s v="David Lagercrantz"/>
    <x v="1"/>
    <n v="1.79"/>
    <n v="179"/>
    <n v="2"/>
    <n v="3.58"/>
    <x v="17"/>
    <x v="0"/>
    <x v="194"/>
    <x v="1"/>
    <x v="1"/>
    <s v="Tienda Online"/>
    <x v="4"/>
    <n v="4"/>
    <n v="4"/>
  </r>
  <r>
    <s v="V001440"/>
    <s v="978-3-39256-242-1"/>
    <s v="El amor en los tiempos del cólera"/>
    <s v="Gabriel García Márquez"/>
    <x v="3"/>
    <n v="14.88"/>
    <n v="1488"/>
    <n v="1"/>
    <n v="14.88"/>
    <x v="49"/>
    <x v="3"/>
    <x v="797"/>
    <x v="1"/>
    <x v="1"/>
    <s v="Tienda Online"/>
    <x v="1"/>
    <n v="5"/>
    <n v="5"/>
  </r>
  <r>
    <s v="V001441"/>
    <s v="978-8-68800-243-6"/>
    <s v="El extranjero"/>
    <s v="Albert Camus"/>
    <x v="9"/>
    <n v="10.96"/>
    <n v="1096"/>
    <n v="1"/>
    <n v="10.96"/>
    <x v="44"/>
    <x v="1"/>
    <x v="377"/>
    <x v="1"/>
    <x v="0"/>
    <s v="Librería Barcelona Gòtic"/>
    <x v="1"/>
    <n v="3"/>
    <n v="3"/>
  </r>
  <r>
    <s v="V001442"/>
    <s v="978-8-36062-833-8"/>
    <s v="Crónicas marcianas"/>
    <s v="Ray Bradbury"/>
    <x v="12"/>
    <n v="1.52"/>
    <n v="152"/>
    <n v="2"/>
    <n v="3.04"/>
    <x v="30"/>
    <x v="1"/>
    <x v="204"/>
    <x v="0"/>
    <x v="1"/>
    <s v="Tienda Online"/>
    <x v="4"/>
    <n v="5"/>
    <n v="5"/>
  </r>
  <r>
    <s v="V001443"/>
    <s v="978-0-22224-871-3"/>
    <s v="Un mundo sin fin"/>
    <s v="Ken Follett"/>
    <x v="16"/>
    <n v="18.32"/>
    <n v="1832"/>
    <n v="2"/>
    <n v="36.64"/>
    <x v="14"/>
    <x v="1"/>
    <x v="471"/>
    <x v="1"/>
    <x v="0"/>
    <s v="Librería Barcelona Gòtic"/>
    <x v="2"/>
    <n v="3"/>
    <n v="3"/>
  </r>
  <r>
    <s v="V001444"/>
    <s v="978-8-36062-833-8"/>
    <s v="Crónicas marcianas"/>
    <s v="Ray Bradbury"/>
    <x v="12"/>
    <n v="1.52"/>
    <n v="152"/>
    <n v="1"/>
    <n v="1.52"/>
    <x v="60"/>
    <x v="0"/>
    <x v="345"/>
    <x v="2"/>
    <x v="1"/>
    <s v="Tienda Online"/>
    <x v="3"/>
    <n v="3"/>
    <n v="3"/>
  </r>
  <r>
    <s v="V001445"/>
    <s v="978-2-17455-620-1"/>
    <s v="Cosmos"/>
    <s v="Carl Sagan"/>
    <x v="11"/>
    <n v="1.89"/>
    <n v="189"/>
    <n v="2"/>
    <n v="3.78"/>
    <x v="45"/>
    <x v="3"/>
    <x v="635"/>
    <x v="1"/>
    <x v="1"/>
    <s v="Tienda Online"/>
    <x v="1"/>
    <n v="4"/>
    <n v="4"/>
  </r>
  <r>
    <s v="V001446"/>
    <s v="978-8-44973-887-5"/>
    <s v="Ángeles y demonios"/>
    <s v="Dan Brown"/>
    <x v="1"/>
    <n v="15.21"/>
    <n v="1521"/>
    <n v="1"/>
    <n v="15.21"/>
    <x v="28"/>
    <x v="0"/>
    <x v="124"/>
    <x v="1"/>
    <x v="1"/>
    <s v="Tienda Online"/>
    <x v="2"/>
    <n v="2"/>
    <n v="2"/>
  </r>
  <r>
    <s v="V001447"/>
    <s v="978-6-56438-533-6"/>
    <s v="Misery"/>
    <s v="Stephen King"/>
    <x v="4"/>
    <n v="1.69"/>
    <n v="169"/>
    <n v="2"/>
    <n v="3.38"/>
    <x v="16"/>
    <x v="1"/>
    <x v="96"/>
    <x v="2"/>
    <x v="1"/>
    <s v="Tienda Online"/>
    <x v="3"/>
    <n v="5"/>
    <n v="5"/>
  </r>
  <r>
    <s v="V001448"/>
    <s v="978-2-58520-463-3"/>
    <s v="Sinsajo"/>
    <s v="Suzanne Collins"/>
    <x v="8"/>
    <n v="15.65"/>
    <n v="1565"/>
    <n v="1"/>
    <n v="15.65"/>
    <x v="58"/>
    <x v="0"/>
    <x v="798"/>
    <x v="0"/>
    <x v="1"/>
    <s v="Tienda Online"/>
    <x v="2"/>
    <n v="4"/>
    <n v="4"/>
  </r>
  <r>
    <s v="V001449"/>
    <s v="978-9-44671-926-0"/>
    <s v="El Hobbit"/>
    <s v="J.R.R. Tolkien"/>
    <x v="2"/>
    <n v="14.36"/>
    <n v="1436"/>
    <n v="1"/>
    <n v="14.36"/>
    <x v="29"/>
    <x v="0"/>
    <x v="116"/>
    <x v="2"/>
    <x v="1"/>
    <s v="Tienda Online"/>
    <x v="0"/>
    <n v="5"/>
    <n v="5"/>
  </r>
  <r>
    <s v="V001450"/>
    <s v="978-0-40007-169-0"/>
    <s v="El Principito ilustrado"/>
    <s v="Antoine de Saint-Exupéry"/>
    <x v="6"/>
    <n v="1.59"/>
    <n v="159"/>
    <n v="1"/>
    <n v="1.59"/>
    <x v="62"/>
    <x v="0"/>
    <x v="799"/>
    <x v="2"/>
    <x v="1"/>
    <s v="Tienda Online"/>
    <x v="2"/>
    <n v="3"/>
    <n v="3"/>
  </r>
  <r>
    <s v="V001451"/>
    <s v="978-6-54597-384-2"/>
    <s v="El temor de un hombre sabio"/>
    <s v="Patrick Rothfuss"/>
    <x v="2"/>
    <n v="2.4900000000000002"/>
    <n v="249"/>
    <n v="1"/>
    <n v="2.4900000000000002"/>
    <x v="7"/>
    <x v="1"/>
    <x v="800"/>
    <x v="0"/>
    <x v="0"/>
    <s v="Librería Gran Vía"/>
    <x v="1"/>
    <m/>
    <s v="Sin valoración"/>
  </r>
  <r>
    <s v="V001452"/>
    <s v="978-4-99593-763-1"/>
    <s v="Crimen y castigo"/>
    <s v="Fiódor Dostoyevski"/>
    <x v="9"/>
    <n v="10.32"/>
    <n v="1032"/>
    <n v="1"/>
    <n v="10.32"/>
    <x v="8"/>
    <x v="0"/>
    <x v="801"/>
    <x v="1"/>
    <x v="0"/>
    <s v="Librería Valencia Centro"/>
    <x v="0"/>
    <n v="4"/>
    <n v="4"/>
  </r>
  <r>
    <s v="V001453"/>
    <s v="978-3-28131-621-7"/>
    <s v="El Aleph"/>
    <s v="Jorge Luis Borges"/>
    <x v="9"/>
    <n v="1.39"/>
    <n v="139"/>
    <n v="1"/>
    <n v="1.39"/>
    <x v="48"/>
    <x v="2"/>
    <x v="546"/>
    <x v="1"/>
    <x v="1"/>
    <s v="Tienda Online"/>
    <x v="3"/>
    <n v="1"/>
    <n v="1"/>
  </r>
  <r>
    <s v="V001454"/>
    <s v="978-8-44438-864-9"/>
    <s v="Rayuela"/>
    <s v="Julio Cortázar"/>
    <x v="9"/>
    <n v="18.59"/>
    <n v="1859"/>
    <n v="1"/>
    <n v="18.59"/>
    <x v="1"/>
    <x v="0"/>
    <x v="802"/>
    <x v="1"/>
    <x v="1"/>
    <s v="Tienda Online"/>
    <x v="2"/>
    <n v="5"/>
    <n v="5"/>
  </r>
  <r>
    <s v="V001455"/>
    <s v="978-0-96673-333-4"/>
    <s v="Harry Potter y el prisionero de Azkaban"/>
    <s v="J.K. Rowling"/>
    <x v="8"/>
    <n v="14.36"/>
    <n v="1436"/>
    <n v="2"/>
    <n v="28.72"/>
    <x v="34"/>
    <x v="2"/>
    <x v="198"/>
    <x v="1"/>
    <x v="1"/>
    <s v="Tienda Online"/>
    <x v="3"/>
    <n v="4"/>
    <n v="4"/>
  </r>
  <r>
    <s v="V001456"/>
    <s v="978-8-44973-887-5"/>
    <s v="Ángeles y demonios"/>
    <s v="Dan Brown"/>
    <x v="1"/>
    <n v="1.69"/>
    <n v="169"/>
    <n v="1"/>
    <n v="1.69"/>
    <x v="4"/>
    <x v="0"/>
    <x v="325"/>
    <x v="1"/>
    <x v="0"/>
    <s v="Librería Central Madrid"/>
    <x v="1"/>
    <n v="3"/>
    <n v="3"/>
  </r>
  <r>
    <s v="V001457"/>
    <s v="978-1-16175-981-1"/>
    <s v="Pedro Páramo"/>
    <s v="Juan Rulfo"/>
    <x v="9"/>
    <n v="1.29"/>
    <n v="129"/>
    <n v="1"/>
    <n v="1.29"/>
    <x v="45"/>
    <x v="3"/>
    <x v="803"/>
    <x v="1"/>
    <x v="0"/>
    <s v="Librería Valencia Centro"/>
    <x v="1"/>
    <n v="3"/>
    <n v="3"/>
  </r>
  <r>
    <s v="V001458"/>
    <s v="978-5-85674-296-1"/>
    <s v="Harry Potter y la cámara secreta"/>
    <s v="J.K. Rowling"/>
    <x v="8"/>
    <n v="14.31"/>
    <n v="1431"/>
    <n v="1"/>
    <n v="14.31"/>
    <x v="21"/>
    <x v="3"/>
    <x v="660"/>
    <x v="0"/>
    <x v="0"/>
    <s v="Librería Sevilla Triana"/>
    <x v="1"/>
    <n v="3"/>
    <n v="3"/>
  </r>
  <r>
    <s v="V001459"/>
    <s v="978-9-71953-348-7"/>
    <s v="It"/>
    <s v="Stephen King"/>
    <x v="4"/>
    <n v="2.29"/>
    <n v="229"/>
    <n v="1"/>
    <n v="2.29"/>
    <x v="59"/>
    <x v="3"/>
    <x v="277"/>
    <x v="2"/>
    <x v="1"/>
    <s v="Tienda Online"/>
    <x v="1"/>
    <n v="3"/>
    <n v="3"/>
  </r>
  <r>
    <s v="V001460"/>
    <s v="978-0-87110-667-3"/>
    <s v="Charlie y la fábrica de chocolate"/>
    <s v="Roald Dahl"/>
    <x v="6"/>
    <n v="10.119999999999999"/>
    <n v="1012"/>
    <n v="2"/>
    <n v="20.239999999999998"/>
    <x v="24"/>
    <x v="3"/>
    <x v="443"/>
    <x v="0"/>
    <x v="0"/>
    <s v="Librería Valencia Centro"/>
    <x v="3"/>
    <n v="5"/>
    <n v="5"/>
  </r>
  <r>
    <s v="V001461"/>
    <s v="978-1-48469-545-2"/>
    <s v="Origen"/>
    <s v="Dan Brown"/>
    <x v="1"/>
    <n v="20.89"/>
    <n v="2089"/>
    <n v="1"/>
    <n v="20.89"/>
    <x v="46"/>
    <x v="1"/>
    <x v="27"/>
    <x v="1"/>
    <x v="0"/>
    <s v="Librería Barcelona Gòtic"/>
    <x v="1"/>
    <n v="4"/>
    <n v="4"/>
  </r>
  <r>
    <s v="V001462"/>
    <s v="978-0-13905-195-3"/>
    <s v="Rebelión en la granja"/>
    <s v="George Orwell"/>
    <x v="3"/>
    <n v="10.62"/>
    <n v="1062"/>
    <n v="2"/>
    <n v="21.24"/>
    <x v="0"/>
    <x v="2"/>
    <x v="804"/>
    <x v="1"/>
    <x v="1"/>
    <s v="Tienda Online"/>
    <x v="0"/>
    <n v="3"/>
    <n v="3"/>
  </r>
  <r>
    <s v="V001463"/>
    <s v="978-7-47388-533-8"/>
    <s v="Los besos"/>
    <s v="Manuel Vilas"/>
    <x v="3"/>
    <n v="17.010000000000002"/>
    <n v="1701"/>
    <n v="1"/>
    <n v="17.010000000000002"/>
    <x v="12"/>
    <x v="2"/>
    <x v="805"/>
    <x v="0"/>
    <x v="0"/>
    <s v="Librería Sevilla Triana"/>
    <x v="2"/>
    <n v="5"/>
    <n v="5"/>
  </r>
  <r>
    <s v="V001464"/>
    <s v="978-9-18326-494-6"/>
    <s v="Romancero gitano"/>
    <s v="Federico García Lorca"/>
    <x v="7"/>
    <n v="1.0900000000000001"/>
    <n v="109"/>
    <n v="1"/>
    <n v="1.0900000000000001"/>
    <x v="8"/>
    <x v="2"/>
    <x v="640"/>
    <x v="2"/>
    <x v="1"/>
    <s v="Tienda Online"/>
    <x v="2"/>
    <n v="5"/>
    <n v="5"/>
  </r>
  <r>
    <s v="V001465"/>
    <s v="978-7-30289-294-4"/>
    <s v="Nada"/>
    <s v="Carmen Laforet"/>
    <x v="9"/>
    <n v="11.12"/>
    <n v="1112"/>
    <n v="3"/>
    <n v="33.36"/>
    <x v="66"/>
    <x v="3"/>
    <x v="806"/>
    <x v="2"/>
    <x v="1"/>
    <s v="Tienda Online"/>
    <x v="2"/>
    <n v="5"/>
    <n v="5"/>
  </r>
  <r>
    <s v="V001466"/>
    <s v="978-9-65461-316-8"/>
    <s v="Padre rico, padre pobre"/>
    <s v="Robert Kiyosaki"/>
    <x v="5"/>
    <n v="1.69"/>
    <n v="169"/>
    <n v="2"/>
    <n v="3.38"/>
    <x v="41"/>
    <x v="2"/>
    <x v="593"/>
    <x v="1"/>
    <x v="0"/>
    <s v="Librería Valencia Centro"/>
    <x v="2"/>
    <n v="5"/>
    <n v="5"/>
  </r>
  <r>
    <s v="V001467"/>
    <s v="978-1-16630-767-8"/>
    <s v="Los pilares de la Tierra"/>
    <s v="Ken Follett"/>
    <x v="16"/>
    <n v="18.61"/>
    <n v="1861"/>
    <n v="1"/>
    <n v="18.61"/>
    <x v="39"/>
    <x v="2"/>
    <x v="807"/>
    <x v="2"/>
    <x v="1"/>
    <s v="Tienda Online"/>
    <x v="3"/>
    <n v="5"/>
    <n v="5"/>
  </r>
  <r>
    <s v="V001468"/>
    <s v="978-3-99733-432-0"/>
    <s v="Don Quijote de la Mancha"/>
    <s v="Miguel de Cervantes"/>
    <x v="9"/>
    <n v="16.91"/>
    <n v="1691"/>
    <n v="1"/>
    <n v="16.91"/>
    <x v="16"/>
    <x v="1"/>
    <x v="808"/>
    <x v="1"/>
    <x v="0"/>
    <s v="Librería Central Madrid"/>
    <x v="0"/>
    <n v="5"/>
    <n v="5"/>
  </r>
  <r>
    <s v="V001469"/>
    <s v="978-1-16630-767-8"/>
    <s v="Los pilares de la Tierra"/>
    <s v="Ken Follett"/>
    <x v="16"/>
    <n v="18.61"/>
    <n v="1861"/>
    <n v="2"/>
    <n v="37.22"/>
    <x v="68"/>
    <x v="1"/>
    <x v="809"/>
    <x v="2"/>
    <x v="1"/>
    <s v="Tienda Online"/>
    <x v="0"/>
    <n v="4"/>
    <n v="4"/>
  </r>
  <r>
    <s v="V001470"/>
    <s v="978-0-96673-333-4"/>
    <s v="Harry Potter y el prisionero de Azkaban"/>
    <s v="J.K. Rowling"/>
    <x v="8"/>
    <n v="1.69"/>
    <n v="169"/>
    <n v="1"/>
    <n v="1.69"/>
    <x v="60"/>
    <x v="2"/>
    <x v="521"/>
    <x v="0"/>
    <x v="1"/>
    <s v="Tienda Online"/>
    <x v="3"/>
    <n v="5"/>
    <n v="5"/>
  </r>
  <r>
    <s v="V001471"/>
    <s v="978-0-87110-667-3"/>
    <s v="Charlie y la fábrica de chocolate"/>
    <s v="Roald Dahl"/>
    <x v="6"/>
    <n v="1.19"/>
    <n v="119"/>
    <n v="1"/>
    <n v="1.19"/>
    <x v="61"/>
    <x v="3"/>
    <x v="712"/>
    <x v="2"/>
    <x v="1"/>
    <s v="Tienda Online"/>
    <x v="1"/>
    <n v="5"/>
    <n v="5"/>
  </r>
  <r>
    <s v="V001472"/>
    <s v="978-3-39451-165-5"/>
    <s v="Matilda"/>
    <s v="Roald Dahl"/>
    <x v="6"/>
    <n v="13.09"/>
    <n v="1309"/>
    <n v="1"/>
    <n v="13.09"/>
    <x v="61"/>
    <x v="3"/>
    <x v="633"/>
    <x v="0"/>
    <x v="1"/>
    <s v="Tienda Online"/>
    <x v="0"/>
    <n v="5"/>
    <n v="5"/>
  </r>
  <r>
    <s v="V001473"/>
    <s v="978-3-31417-573-6"/>
    <s v="Ana Karenina"/>
    <s v="León Tolstói"/>
    <x v="9"/>
    <n v="14.36"/>
    <n v="1436"/>
    <n v="1"/>
    <n v="14.36"/>
    <x v="66"/>
    <x v="3"/>
    <x v="810"/>
    <x v="2"/>
    <x v="1"/>
    <s v="Tienda Online"/>
    <x v="0"/>
    <n v="2"/>
    <n v="2"/>
  </r>
  <r>
    <s v="V001474"/>
    <s v="978-9-18326-494-6"/>
    <s v="Romancero gitano"/>
    <s v="Federico García Lorca"/>
    <x v="7"/>
    <n v="11.45"/>
    <n v="1145"/>
    <n v="1"/>
    <n v="11.45"/>
    <x v="44"/>
    <x v="3"/>
    <x v="59"/>
    <x v="1"/>
    <x v="0"/>
    <s v="Librería Gran Vía"/>
    <x v="0"/>
    <n v="4"/>
    <n v="4"/>
  </r>
  <r>
    <s v="V001475"/>
    <s v="978-3-84364-180-1"/>
    <s v="21 lecciones para el siglo XXI"/>
    <s v="Yuval Noah Harari"/>
    <x v="15"/>
    <n v="20.89"/>
    <n v="2089"/>
    <n v="1"/>
    <n v="20.89"/>
    <x v="42"/>
    <x v="3"/>
    <x v="443"/>
    <x v="0"/>
    <x v="0"/>
    <s v="Librería Central Madrid"/>
    <x v="4"/>
    <n v="4"/>
    <n v="4"/>
  </r>
  <r>
    <s v="V001476"/>
    <s v="978-3-97782-833-5"/>
    <s v="V de Vendetta"/>
    <s v="Alan Moore"/>
    <x v="10"/>
    <n v="16.059999999999999"/>
    <n v="1606"/>
    <n v="2"/>
    <n v="32.119999999999997"/>
    <x v="0"/>
    <x v="1"/>
    <x v="811"/>
    <x v="2"/>
    <x v="1"/>
    <s v="Tienda Online"/>
    <x v="1"/>
    <n v="5"/>
    <n v="5"/>
  </r>
  <r>
    <s v="V001477"/>
    <s v="978-8-21395-704-6"/>
    <s v="1984"/>
    <s v="George Orwell"/>
    <x v="12"/>
    <n v="1.49"/>
    <n v="149"/>
    <n v="1"/>
    <n v="1.49"/>
    <x v="0"/>
    <x v="2"/>
    <x v="344"/>
    <x v="2"/>
    <x v="1"/>
    <s v="Tienda Online"/>
    <x v="3"/>
    <n v="3"/>
    <n v="3"/>
  </r>
  <r>
    <s v="V001478"/>
    <s v="978-6-22676-467-5"/>
    <s v="Choque de Reyes"/>
    <s v="George R.R. Martin"/>
    <x v="2"/>
    <n v="1.99"/>
    <n v="199"/>
    <n v="1"/>
    <n v="1.99"/>
    <x v="12"/>
    <x v="1"/>
    <x v="609"/>
    <x v="1"/>
    <x v="1"/>
    <s v="Tienda Online"/>
    <x v="4"/>
    <n v="4"/>
    <n v="4"/>
  </r>
  <r>
    <s v="V001479"/>
    <s v="978-8-21395-704-6"/>
    <s v="1984"/>
    <s v="George Orwell"/>
    <x v="12"/>
    <n v="11.92"/>
    <n v="1192"/>
    <n v="1"/>
    <n v="11.92"/>
    <x v="41"/>
    <x v="2"/>
    <x v="697"/>
    <x v="1"/>
    <x v="0"/>
    <s v="Librería Central Madrid"/>
    <x v="4"/>
    <m/>
    <s v="Sin valoración"/>
  </r>
  <r>
    <s v="V001480"/>
    <s v="978-9-20745-529-9"/>
    <s v="Watchmen"/>
    <s v="Alan Moore"/>
    <x v="10"/>
    <n v="17.52"/>
    <n v="1752"/>
    <n v="1"/>
    <n v="17.52"/>
    <x v="50"/>
    <x v="3"/>
    <x v="674"/>
    <x v="1"/>
    <x v="1"/>
    <s v="Tienda Online"/>
    <x v="0"/>
    <n v="3"/>
    <n v="3"/>
  </r>
  <r>
    <s v="V001481"/>
    <s v="978-8-11504-796-1"/>
    <s v="El código Da Vinci"/>
    <s v="Dan Brown"/>
    <x v="1"/>
    <n v="14.36"/>
    <n v="1436"/>
    <n v="1"/>
    <n v="14.36"/>
    <x v="17"/>
    <x v="0"/>
    <x v="26"/>
    <x v="0"/>
    <x v="0"/>
    <s v="Librería Barcelona Gòtic"/>
    <x v="2"/>
    <n v="5"/>
    <n v="5"/>
  </r>
  <r>
    <s v="V001482"/>
    <s v="978-4-99593-763-1"/>
    <s v="Crimen y castigo"/>
    <s v="Fiódor Dostoyevski"/>
    <x v="9"/>
    <n v="14.19"/>
    <n v="1419"/>
    <n v="3"/>
    <n v="42.57"/>
    <x v="53"/>
    <x v="0"/>
    <x v="18"/>
    <x v="0"/>
    <x v="1"/>
    <s v="Tienda Online"/>
    <x v="0"/>
    <n v="5"/>
    <n v="5"/>
  </r>
  <r>
    <s v="V001483"/>
    <s v="978-1-82357-400-9"/>
    <s v="Harry Potter y la piedra filosofal"/>
    <s v="J.K. Rowling"/>
    <x v="8"/>
    <n v="17.489999999999998"/>
    <n v="1749"/>
    <n v="2"/>
    <n v="34.979999999999997"/>
    <x v="21"/>
    <x v="0"/>
    <x v="46"/>
    <x v="2"/>
    <x v="1"/>
    <s v="Tienda Online"/>
    <x v="1"/>
    <n v="4"/>
    <n v="4"/>
  </r>
  <r>
    <s v="V001484"/>
    <s v="978-1-16175-981-1"/>
    <s v="Pedro Páramo"/>
    <s v="Juan Rulfo"/>
    <x v="9"/>
    <n v="10.32"/>
    <n v="1032"/>
    <n v="2"/>
    <n v="20.64"/>
    <x v="18"/>
    <x v="0"/>
    <x v="812"/>
    <x v="1"/>
    <x v="0"/>
    <s v="Librería Gran Vía"/>
    <x v="1"/>
    <n v="5"/>
    <n v="5"/>
  </r>
  <r>
    <s v="V001485"/>
    <s v="978-0-62772-845-5"/>
    <s v="Drácula"/>
    <s v="Bram Stoker"/>
    <x v="4"/>
    <n v="10.96"/>
    <n v="1096"/>
    <n v="3"/>
    <n v="32.880000000000003"/>
    <x v="67"/>
    <x v="2"/>
    <x v="384"/>
    <x v="2"/>
    <x v="1"/>
    <s v="Tienda Online"/>
    <x v="0"/>
    <m/>
    <s v="Sin valoración"/>
  </r>
  <r>
    <s v="V001486"/>
    <s v="978-9-20745-529-9"/>
    <s v="Watchmen"/>
    <s v="Alan Moore"/>
    <x v="10"/>
    <n v="18.61"/>
    <n v="1861"/>
    <n v="2"/>
    <n v="37.22"/>
    <x v="44"/>
    <x v="1"/>
    <x v="132"/>
    <x v="2"/>
    <x v="1"/>
    <s v="Tienda Online"/>
    <x v="4"/>
    <n v="5"/>
    <n v="5"/>
  </r>
  <r>
    <s v="V001487"/>
    <s v="978-3-62565-160-2"/>
    <s v="El día que se perdió la cordura"/>
    <s v="Javier Castillo"/>
    <x v="1"/>
    <n v="15.12"/>
    <n v="1512"/>
    <n v="1"/>
    <n v="15.12"/>
    <x v="38"/>
    <x v="0"/>
    <x v="813"/>
    <x v="1"/>
    <x v="0"/>
    <s v="Librería Sevilla Triana"/>
    <x v="3"/>
    <n v="4"/>
    <n v="4"/>
  </r>
  <r>
    <s v="V001488"/>
    <s v="978-1-16630-767-8"/>
    <s v="Los pilares de la Tierra"/>
    <s v="Ken Follett"/>
    <x v="16"/>
    <n v="2.19"/>
    <n v="219"/>
    <n v="2"/>
    <n v="4.38"/>
    <x v="40"/>
    <x v="2"/>
    <x v="181"/>
    <x v="0"/>
    <x v="1"/>
    <s v="Tienda Online"/>
    <x v="3"/>
    <m/>
    <s v="Sin valoración"/>
  </r>
  <r>
    <s v="V001489"/>
    <s v="978-1-40512-987-1"/>
    <s v="Los juegos del hambre"/>
    <s v="Suzanne Collins"/>
    <x v="8"/>
    <n v="16.39"/>
    <n v="1639"/>
    <n v="1"/>
    <n v="16.39"/>
    <x v="34"/>
    <x v="3"/>
    <x v="621"/>
    <x v="2"/>
    <x v="1"/>
    <s v="Tienda Online"/>
    <x v="4"/>
    <n v="4"/>
    <n v="4"/>
  </r>
  <r>
    <s v="V001490"/>
    <s v="978-1-82357-400-9"/>
    <s v="Harry Potter y la piedra filosofal"/>
    <s v="J.K. Rowling"/>
    <x v="8"/>
    <n v="1.59"/>
    <n v="159"/>
    <n v="3"/>
    <n v="4.7700000000000005"/>
    <x v="58"/>
    <x v="0"/>
    <x v="691"/>
    <x v="2"/>
    <x v="1"/>
    <s v="Tienda Online"/>
    <x v="3"/>
    <n v="5"/>
    <n v="5"/>
  </r>
  <r>
    <s v="V001491"/>
    <s v="978-0-87110-667-3"/>
    <s v="Charlie y la fábrica de chocolate"/>
    <s v="Roald Dahl"/>
    <x v="6"/>
    <n v="9.52"/>
    <n v="952"/>
    <n v="1"/>
    <n v="9.52"/>
    <x v="9"/>
    <x v="2"/>
    <x v="601"/>
    <x v="0"/>
    <x v="1"/>
    <s v="Tienda Online"/>
    <x v="0"/>
    <n v="5"/>
    <n v="5"/>
  </r>
  <r>
    <s v="V001492"/>
    <s v="978-3-31417-573-6"/>
    <s v="Ana Karenina"/>
    <s v="León Tolstói"/>
    <x v="9"/>
    <n v="1.69"/>
    <n v="169"/>
    <n v="1"/>
    <n v="1.69"/>
    <x v="34"/>
    <x v="0"/>
    <x v="730"/>
    <x v="1"/>
    <x v="1"/>
    <s v="Tienda Online"/>
    <x v="2"/>
    <n v="5"/>
    <n v="5"/>
  </r>
  <r>
    <s v="V001493"/>
    <s v="978-3-31417-573-6"/>
    <s v="Ana Karenina"/>
    <s v="León Tolstói"/>
    <x v="9"/>
    <n v="15.21"/>
    <n v="1521"/>
    <n v="1"/>
    <n v="15.21"/>
    <x v="59"/>
    <x v="2"/>
    <x v="361"/>
    <x v="0"/>
    <x v="1"/>
    <s v="Tienda Online"/>
    <x v="1"/>
    <m/>
    <s v="Sin valoración"/>
  </r>
  <r>
    <s v="V001494"/>
    <s v="978-7-17100-789-1"/>
    <s v="Carrie"/>
    <s v="Stephen King"/>
    <x v="4"/>
    <n v="16.39"/>
    <n v="1639"/>
    <n v="4"/>
    <n v="65.56"/>
    <x v="46"/>
    <x v="3"/>
    <x v="814"/>
    <x v="1"/>
    <x v="1"/>
    <s v="Tienda Online"/>
    <x v="4"/>
    <n v="4"/>
    <n v="4"/>
  </r>
  <r>
    <s v="V001495"/>
    <s v="978-4-93748-619-9"/>
    <s v="Perdida"/>
    <s v="Gillian Flynn"/>
    <x v="1"/>
    <n v="14.85"/>
    <n v="1485"/>
    <n v="1"/>
    <n v="14.85"/>
    <x v="59"/>
    <x v="1"/>
    <x v="415"/>
    <x v="0"/>
    <x v="0"/>
    <s v="Librería Sevilla Triana"/>
    <x v="1"/>
    <n v="4"/>
    <n v="4"/>
  </r>
  <r>
    <s v="V001496"/>
    <s v="978-3-97782-833-5"/>
    <s v="V de Vendetta"/>
    <s v="Alan Moore"/>
    <x v="10"/>
    <n v="20.79"/>
    <n v="2079"/>
    <n v="1"/>
    <n v="20.79"/>
    <x v="3"/>
    <x v="2"/>
    <x v="815"/>
    <x v="0"/>
    <x v="1"/>
    <s v="Tienda Online"/>
    <x v="0"/>
    <n v="5"/>
    <n v="5"/>
  </r>
  <r>
    <s v="V001497"/>
    <s v="978-8-11504-796-1"/>
    <s v="El código Da Vinci"/>
    <s v="Dan Brown"/>
    <x v="1"/>
    <n v="1.69"/>
    <n v="169"/>
    <n v="1"/>
    <n v="1.69"/>
    <x v="44"/>
    <x v="3"/>
    <x v="382"/>
    <x v="2"/>
    <x v="1"/>
    <s v="Tienda Online"/>
    <x v="4"/>
    <m/>
    <s v="Sin valoración"/>
  </r>
  <r>
    <s v="V001498"/>
    <s v="978-3-62565-160-2"/>
    <s v="El día que se perdió la cordura"/>
    <s v="Javier Castillo"/>
    <x v="1"/>
    <n v="17.010000000000002"/>
    <n v="1701"/>
    <n v="1"/>
    <n v="17.010000000000002"/>
    <x v="43"/>
    <x v="3"/>
    <x v="706"/>
    <x v="2"/>
    <x v="1"/>
    <s v="Tienda Online"/>
    <x v="1"/>
    <n v="5"/>
    <n v="5"/>
  </r>
  <r>
    <s v="V001499"/>
    <s v="978-3-76237-716-0"/>
    <s v="Fahrenheit 451"/>
    <s v="Ray Bradbury"/>
    <x v="12"/>
    <n v="1.39"/>
    <n v="139"/>
    <n v="1"/>
    <n v="1.39"/>
    <x v="54"/>
    <x v="2"/>
    <x v="700"/>
    <x v="2"/>
    <x v="1"/>
    <s v="Tienda Online"/>
    <x v="2"/>
    <n v="4"/>
    <n v="4"/>
  </r>
  <r>
    <s v="V001500"/>
    <s v="978-7-47388-533-8"/>
    <s v="Los besos"/>
    <s v="Manuel Vilas"/>
    <x v="3"/>
    <n v="1.89"/>
    <n v="189"/>
    <n v="1"/>
    <n v="1.89"/>
    <x v="55"/>
    <x v="0"/>
    <x v="499"/>
    <x v="1"/>
    <x v="1"/>
    <s v="Tienda Online"/>
    <x v="3"/>
    <n v="4"/>
    <n v="4"/>
  </r>
  <r>
    <s v="V001501"/>
    <s v="978-0-51104-158-0"/>
    <s v="Manual de cocina fácil"/>
    <s v="Karlos Arguiñano"/>
    <x v="14"/>
    <n v="1.79"/>
    <n v="179"/>
    <n v="2"/>
    <n v="3.58"/>
    <x v="7"/>
    <x v="3"/>
    <x v="816"/>
    <x v="2"/>
    <x v="1"/>
    <s v="Tienda Online"/>
    <x v="4"/>
    <n v="4"/>
    <n v="4"/>
  </r>
  <r>
    <s v="V001502"/>
    <s v="978-4-28301-352-8"/>
    <s v="El prisionero del cielo"/>
    <s v="Carlos Ruiz Zafón"/>
    <x v="3"/>
    <n v="1.79"/>
    <n v="179"/>
    <n v="1"/>
    <n v="1.79"/>
    <x v="3"/>
    <x v="0"/>
    <x v="817"/>
    <x v="1"/>
    <x v="0"/>
    <s v="Librería Barcelona Gòtic"/>
    <x v="1"/>
    <n v="4"/>
    <n v="4"/>
  </r>
  <r>
    <s v="V001503"/>
    <s v="978-9-51245-317-7"/>
    <s v="La sombra del viento"/>
    <s v="Carlos Ruiz Zafón"/>
    <x v="3"/>
    <n v="1.48"/>
    <n v="148"/>
    <n v="3"/>
    <n v="4.4399999999999995"/>
    <x v="0"/>
    <x v="1"/>
    <x v="818"/>
    <x v="2"/>
    <x v="1"/>
    <s v="Tienda Online"/>
    <x v="1"/>
    <n v="2"/>
    <n v="2"/>
  </r>
  <r>
    <s v="V001504"/>
    <s v="978-6-56438-533-6"/>
    <s v="Misery"/>
    <s v="Stephen King"/>
    <x v="4"/>
    <n v="1.69"/>
    <n v="169"/>
    <n v="1"/>
    <n v="1.69"/>
    <x v="27"/>
    <x v="3"/>
    <x v="819"/>
    <x v="1"/>
    <x v="0"/>
    <s v="Librería Sevilla Triana"/>
    <x v="0"/>
    <n v="4"/>
    <n v="4"/>
  </r>
  <r>
    <s v="V001505"/>
    <s v="978-9-71348-641-4"/>
    <s v="Veinte poemas de amor"/>
    <s v="Pablo Neruda"/>
    <x v="7"/>
    <n v="7.92"/>
    <n v="792"/>
    <n v="1"/>
    <n v="7.92"/>
    <x v="12"/>
    <x v="0"/>
    <x v="820"/>
    <x v="1"/>
    <x v="0"/>
    <s v="Librería Barcelona Gòtic"/>
    <x v="0"/>
    <n v="5"/>
    <n v="5"/>
  </r>
  <r>
    <s v="V001506"/>
    <s v="978-0-87110-667-3"/>
    <s v="Charlie y la fábrica de chocolate"/>
    <s v="Roald Dahl"/>
    <x v="6"/>
    <n v="10.119999999999999"/>
    <n v="1012"/>
    <n v="1"/>
    <n v="10.119999999999999"/>
    <x v="11"/>
    <x v="2"/>
    <x v="427"/>
    <x v="2"/>
    <x v="1"/>
    <s v="Tienda Online"/>
    <x v="1"/>
    <n v="3"/>
    <n v="3"/>
  </r>
  <r>
    <s v="V001507"/>
    <s v="978-9-38864-107-1"/>
    <s v="James y el melocotón gigante"/>
    <s v="Roald Dahl"/>
    <x v="6"/>
    <n v="9.81"/>
    <n v="981"/>
    <n v="2"/>
    <n v="19.62"/>
    <x v="62"/>
    <x v="1"/>
    <x v="398"/>
    <x v="0"/>
    <x v="1"/>
    <s v="Tienda Online"/>
    <x v="1"/>
    <m/>
    <s v="Sin valoración"/>
  </r>
  <r>
    <s v="V001508"/>
    <s v="978-9-72493-614-8"/>
    <s v="El chef en casa"/>
    <s v="Jamie Oliver"/>
    <x v="14"/>
    <n v="15.92"/>
    <n v="1592"/>
    <n v="1"/>
    <n v="15.92"/>
    <x v="64"/>
    <x v="1"/>
    <x v="204"/>
    <x v="0"/>
    <x v="1"/>
    <s v="Tienda Online"/>
    <x v="2"/>
    <n v="5"/>
    <n v="5"/>
  </r>
  <r>
    <s v="V001509"/>
    <s v="978-9-93227-275-8"/>
    <s v="Los hermanos Karamázov"/>
    <s v="Fiódor Dostoyevski"/>
    <x v="9"/>
    <n v="17.010000000000002"/>
    <n v="1701"/>
    <n v="1"/>
    <n v="17.010000000000002"/>
    <x v="36"/>
    <x v="2"/>
    <x v="349"/>
    <x v="1"/>
    <x v="0"/>
    <s v="Librería Sevilla Triana"/>
    <x v="1"/>
    <n v="4"/>
    <n v="4"/>
  </r>
  <r>
    <s v="V001510"/>
    <s v="978-6-10282-499-4"/>
    <s v="Patria"/>
    <s v="Fernando Aramburu"/>
    <x v="3"/>
    <n v="1.99"/>
    <n v="199"/>
    <n v="1"/>
    <n v="1.99"/>
    <x v="57"/>
    <x v="1"/>
    <x v="404"/>
    <x v="2"/>
    <x v="1"/>
    <s v="Tienda Online"/>
    <x v="4"/>
    <m/>
    <s v="Sin valoración"/>
  </r>
  <r>
    <s v="V001511"/>
    <s v="978-3-39256-242-1"/>
    <s v="El amor en los tiempos del cólera"/>
    <s v="Gabriel García Márquez"/>
    <x v="3"/>
    <n v="18.38"/>
    <n v="1838"/>
    <n v="1"/>
    <n v="18.38"/>
    <x v="14"/>
    <x v="0"/>
    <x v="565"/>
    <x v="1"/>
    <x v="0"/>
    <s v="Librería Sevilla Triana"/>
    <x v="0"/>
    <n v="5"/>
    <n v="5"/>
  </r>
  <r>
    <s v="V001512"/>
    <s v="978-5-74042-119-1"/>
    <s v="Sapiens"/>
    <s v="Yuval Noah Harari"/>
    <x v="15"/>
    <n v="18.61"/>
    <n v="1861"/>
    <n v="1"/>
    <n v="18.61"/>
    <x v="18"/>
    <x v="1"/>
    <x v="58"/>
    <x v="0"/>
    <x v="1"/>
    <s v="Tienda Online"/>
    <x v="4"/>
    <n v="4"/>
    <n v="4"/>
  </r>
  <r>
    <s v="V001513"/>
    <s v="978-3-76237-716-0"/>
    <s v="Fahrenheit 451"/>
    <s v="Ray Bradbury"/>
    <x v="12"/>
    <n v="11.12"/>
    <n v="1112"/>
    <n v="2"/>
    <n v="22.24"/>
    <x v="34"/>
    <x v="0"/>
    <x v="457"/>
    <x v="2"/>
    <x v="1"/>
    <s v="Tienda Online"/>
    <x v="2"/>
    <n v="4"/>
    <n v="4"/>
  </r>
  <r>
    <s v="V001514"/>
    <s v="978-6-86484-508-5"/>
    <s v="Ficciones"/>
    <s v="Jorge Luis Borges"/>
    <x v="9"/>
    <n v="12.66"/>
    <n v="1266"/>
    <n v="1"/>
    <n v="12.66"/>
    <x v="28"/>
    <x v="0"/>
    <x v="821"/>
    <x v="1"/>
    <x v="0"/>
    <s v="Librería Central Madrid"/>
    <x v="0"/>
    <m/>
    <s v="Sin valoración"/>
  </r>
  <r>
    <s v="V001515"/>
    <s v="978-9-44671-926-0"/>
    <s v="El Hobbit"/>
    <s v="J.R.R. Tolkien"/>
    <x v="2"/>
    <n v="15.21"/>
    <n v="1521"/>
    <n v="1"/>
    <n v="15.21"/>
    <x v="38"/>
    <x v="3"/>
    <x v="558"/>
    <x v="1"/>
    <x v="0"/>
    <s v="Librería Sevilla Triana"/>
    <x v="3"/>
    <n v="4"/>
    <n v="4"/>
  </r>
  <r>
    <s v="V001516"/>
    <s v="978-7-47388-533-8"/>
    <s v="Los besos"/>
    <s v="Manuel Vilas"/>
    <x v="3"/>
    <n v="1.89"/>
    <n v="189"/>
    <n v="1"/>
    <n v="1.89"/>
    <x v="35"/>
    <x v="0"/>
    <x v="5"/>
    <x v="0"/>
    <x v="0"/>
    <s v="Librería Valencia Centro"/>
    <x v="1"/>
    <n v="5"/>
    <n v="5"/>
  </r>
  <r>
    <s v="V001517"/>
    <s v="978-6-45093-167-3"/>
    <s v="Paula"/>
    <s v="Isabel Allende"/>
    <x v="13"/>
    <n v="1.67"/>
    <n v="167"/>
    <n v="1"/>
    <n v="1.67"/>
    <x v="38"/>
    <x v="0"/>
    <x v="822"/>
    <x v="1"/>
    <x v="1"/>
    <s v="Tienda Online"/>
    <x v="2"/>
    <m/>
    <s v="Sin valoración"/>
  </r>
  <r>
    <s v="V001518"/>
    <s v="978-7-77839-562-1"/>
    <s v="El principito"/>
    <s v="Antoine de Saint-Exupéry"/>
    <x v="6"/>
    <n v="0.99"/>
    <n v="99"/>
    <n v="1"/>
    <n v="0.99"/>
    <x v="24"/>
    <x v="3"/>
    <x v="67"/>
    <x v="0"/>
    <x v="0"/>
    <s v="Librería Gran Vía"/>
    <x v="2"/>
    <n v="4"/>
    <n v="4"/>
  </r>
  <r>
    <s v="V001519"/>
    <s v="978-0-87110-667-3"/>
    <s v="Charlie y la fábrica de chocolate"/>
    <s v="Roald Dahl"/>
    <x v="6"/>
    <n v="9.52"/>
    <n v="952"/>
    <n v="1"/>
    <n v="9.52"/>
    <x v="56"/>
    <x v="0"/>
    <x v="156"/>
    <x v="0"/>
    <x v="1"/>
    <s v="Tienda Online"/>
    <x v="2"/>
    <n v="2"/>
    <n v="2"/>
  </r>
  <r>
    <s v="V001520"/>
    <s v="978-2-92240-263-6"/>
    <s v="La casa de Bernarda Alba"/>
    <s v="Federico García Lorca"/>
    <x v="17"/>
    <n v="10.89"/>
    <n v="1089"/>
    <n v="1"/>
    <n v="10.89"/>
    <x v="22"/>
    <x v="0"/>
    <x v="588"/>
    <x v="0"/>
    <x v="0"/>
    <s v="Librería Gran Vía"/>
    <x v="0"/>
    <n v="4"/>
    <n v="4"/>
  </r>
  <r>
    <s v="V001521"/>
    <s v="978-9-78522-423-4"/>
    <s v="Maus"/>
    <s v="Art Spiegelman"/>
    <x v="10"/>
    <n v="15.21"/>
    <n v="1521"/>
    <n v="1"/>
    <n v="15.21"/>
    <x v="66"/>
    <x v="0"/>
    <x v="722"/>
    <x v="0"/>
    <x v="0"/>
    <s v="Librería Valencia Centro"/>
    <x v="3"/>
    <n v="3"/>
    <n v="3"/>
  </r>
  <r>
    <s v="V001522"/>
    <s v="978-4-97684-597-3"/>
    <s v="American Gods"/>
    <s v="Neil Gaiman"/>
    <x v="2"/>
    <n v="1.99"/>
    <n v="199"/>
    <n v="2"/>
    <n v="3.98"/>
    <x v="23"/>
    <x v="3"/>
    <x v="290"/>
    <x v="1"/>
    <x v="1"/>
    <s v="Tienda Online"/>
    <x v="2"/>
    <n v="5"/>
    <n v="5"/>
  </r>
  <r>
    <s v="V001523"/>
    <s v="978-6-86484-508-5"/>
    <s v="Ficciones"/>
    <s v="Jorge Luis Borges"/>
    <x v="9"/>
    <n v="15.65"/>
    <n v="1565"/>
    <n v="1"/>
    <n v="15.65"/>
    <x v="26"/>
    <x v="1"/>
    <x v="169"/>
    <x v="1"/>
    <x v="1"/>
    <s v="Tienda Online"/>
    <x v="2"/>
    <n v="5"/>
    <n v="5"/>
  </r>
  <r>
    <s v="V001524"/>
    <s v="978-3-62565-160-2"/>
    <s v="El día que se perdió la cordura"/>
    <s v="Javier Castillo"/>
    <x v="1"/>
    <n v="19.84"/>
    <n v="1984"/>
    <n v="1"/>
    <n v="19.84"/>
    <x v="33"/>
    <x v="1"/>
    <x v="823"/>
    <x v="2"/>
    <x v="1"/>
    <s v="Tienda Online"/>
    <x v="4"/>
    <n v="2"/>
    <n v="2"/>
  </r>
  <r>
    <s v="V001525"/>
    <s v="978-1-42591-296-3"/>
    <s v="Frankenstein"/>
    <s v="Mary Shelley"/>
    <x v="4"/>
    <n v="10.119999999999999"/>
    <n v="1012"/>
    <n v="1"/>
    <n v="10.119999999999999"/>
    <x v="36"/>
    <x v="2"/>
    <x v="266"/>
    <x v="2"/>
    <x v="1"/>
    <s v="Tienda Online"/>
    <x v="1"/>
    <n v="4"/>
    <n v="4"/>
  </r>
  <r>
    <s v="V001526"/>
    <s v="978-3-85880-708-0"/>
    <s v="Persépolis"/>
    <s v="Marjane Satrapi"/>
    <x v="10"/>
    <n v="12.72"/>
    <n v="1272"/>
    <n v="1"/>
    <n v="12.72"/>
    <x v="29"/>
    <x v="3"/>
    <x v="124"/>
    <x v="0"/>
    <x v="1"/>
    <s v="Tienda Online"/>
    <x v="2"/>
    <n v="4"/>
    <n v="4"/>
  </r>
  <r>
    <s v="V001527"/>
    <s v="978-7-10425-839-4"/>
    <s v="El paciente silencioso"/>
    <s v="Alex Michaelides"/>
    <x v="1"/>
    <n v="16.11"/>
    <n v="1611"/>
    <n v="1"/>
    <n v="16.11"/>
    <x v="26"/>
    <x v="0"/>
    <x v="219"/>
    <x v="0"/>
    <x v="1"/>
    <s v="Tienda Online"/>
    <x v="4"/>
    <n v="5"/>
    <n v="5"/>
  </r>
  <r>
    <s v="V001528"/>
    <s v="978-6-86484-508-5"/>
    <s v="Ficciones"/>
    <s v="Jorge Luis Borges"/>
    <x v="9"/>
    <n v="15.65"/>
    <n v="1565"/>
    <n v="2"/>
    <n v="31.3"/>
    <x v="33"/>
    <x v="3"/>
    <x v="824"/>
    <x v="0"/>
    <x v="0"/>
    <s v="Librería Gran Vía"/>
    <x v="2"/>
    <n v="3"/>
    <n v="3"/>
  </r>
  <r>
    <s v="V001529"/>
    <s v="978-4-28301-352-8"/>
    <s v="El prisionero del cielo"/>
    <s v="Carlos Ruiz Zafón"/>
    <x v="3"/>
    <n v="18.79"/>
    <n v="1879"/>
    <n v="1"/>
    <n v="18.79"/>
    <x v="59"/>
    <x v="1"/>
    <x v="825"/>
    <x v="2"/>
    <x v="1"/>
    <s v="Tienda Online"/>
    <x v="0"/>
    <n v="3"/>
    <n v="3"/>
  </r>
  <r>
    <s v="V001530"/>
    <s v="978-8-36062-833-8"/>
    <s v="Crónicas marcianas"/>
    <s v="Ray Bradbury"/>
    <x v="12"/>
    <n v="12.92"/>
    <n v="1292"/>
    <n v="1"/>
    <n v="12.92"/>
    <x v="46"/>
    <x v="2"/>
    <x v="792"/>
    <x v="1"/>
    <x v="0"/>
    <s v="Librería Sevilla Triana"/>
    <x v="2"/>
    <n v="1"/>
    <n v="1"/>
  </r>
  <r>
    <s v="V001531"/>
    <s v="978-8-44438-864-9"/>
    <s v="Rayuela"/>
    <s v="Julio Cortázar"/>
    <x v="9"/>
    <n v="1.69"/>
    <n v="169"/>
    <n v="1"/>
    <n v="1.69"/>
    <x v="40"/>
    <x v="2"/>
    <x v="322"/>
    <x v="2"/>
    <x v="1"/>
    <s v="Tienda Online"/>
    <x v="4"/>
    <n v="4"/>
    <n v="4"/>
  </r>
  <r>
    <s v="V001532"/>
    <s v="978-2-26828-775-7"/>
    <s v="Los cuatro acuerdos"/>
    <s v="Miguel Ruiz"/>
    <x v="0"/>
    <n v="10.32"/>
    <n v="1032"/>
    <n v="3"/>
    <n v="30.96"/>
    <x v="36"/>
    <x v="2"/>
    <x v="688"/>
    <x v="0"/>
    <x v="1"/>
    <s v="Tienda Online"/>
    <x v="3"/>
    <n v="3"/>
    <n v="3"/>
  </r>
  <r>
    <s v="V001533"/>
    <s v="978-8-36062-833-8"/>
    <s v="Crónicas marcianas"/>
    <s v="Ray Bradbury"/>
    <x v="12"/>
    <n v="12.92"/>
    <n v="1292"/>
    <n v="3"/>
    <n v="38.76"/>
    <x v="26"/>
    <x v="1"/>
    <x v="826"/>
    <x v="2"/>
    <x v="1"/>
    <s v="Tienda Online"/>
    <x v="0"/>
    <n v="3"/>
    <n v="3"/>
  </r>
  <r>
    <s v="V001534"/>
    <s v="978-3-62923-222-9"/>
    <s v="El gen egoísta"/>
    <s v="Richard Dawkins"/>
    <x v="11"/>
    <n v="1.79"/>
    <n v="179"/>
    <n v="1"/>
    <n v="1.79"/>
    <x v="19"/>
    <x v="0"/>
    <x v="827"/>
    <x v="1"/>
    <x v="0"/>
    <s v="Librería Central Madrid"/>
    <x v="4"/>
    <n v="3"/>
    <n v="3"/>
  </r>
  <r>
    <s v="V001535"/>
    <s v="978-9-44671-926-0"/>
    <s v="El Hobbit"/>
    <s v="J.R.R. Tolkien"/>
    <x v="2"/>
    <n v="1.69"/>
    <n v="169"/>
    <n v="1"/>
    <n v="1.69"/>
    <x v="29"/>
    <x v="2"/>
    <x v="374"/>
    <x v="0"/>
    <x v="1"/>
    <s v="Tienda Online"/>
    <x v="1"/>
    <m/>
    <s v="Sin valoración"/>
  </r>
  <r>
    <s v="V001536"/>
    <s v="978-1-82357-400-9"/>
    <s v="Harry Potter y la piedra filosofal"/>
    <s v="J.K. Rowling"/>
    <x v="8"/>
    <n v="1.59"/>
    <n v="159"/>
    <n v="1"/>
    <n v="1.59"/>
    <x v="21"/>
    <x v="0"/>
    <x v="135"/>
    <x v="2"/>
    <x v="1"/>
    <s v="Tienda Online"/>
    <x v="4"/>
    <m/>
    <s v="Sin valoración"/>
  </r>
  <r>
    <s v="V001537"/>
    <s v="978-8-27342-840-9"/>
    <s v="Stardust"/>
    <s v="Neil Gaiman"/>
    <x v="2"/>
    <n v="1.59"/>
    <n v="159"/>
    <n v="1"/>
    <n v="1.59"/>
    <x v="18"/>
    <x v="0"/>
    <x v="828"/>
    <x v="0"/>
    <x v="1"/>
    <s v="Tienda Online"/>
    <x v="2"/>
    <n v="5"/>
    <n v="5"/>
  </r>
  <r>
    <s v="V001538"/>
    <s v="978-2-58520-463-3"/>
    <s v="Sinsajo"/>
    <s v="Suzanne Collins"/>
    <x v="8"/>
    <n v="1.49"/>
    <n v="149"/>
    <n v="1"/>
    <n v="1.49"/>
    <x v="20"/>
    <x v="1"/>
    <x v="699"/>
    <x v="1"/>
    <x v="1"/>
    <s v="Tienda Online"/>
    <x v="1"/>
    <n v="4"/>
    <n v="4"/>
  </r>
  <r>
    <s v="V001539"/>
    <s v="978-0-51104-158-0"/>
    <s v="Manual de cocina fácil"/>
    <s v="Karlos Arguiñano"/>
    <x v="14"/>
    <n v="18.79"/>
    <n v="1879"/>
    <n v="2"/>
    <n v="37.58"/>
    <x v="53"/>
    <x v="3"/>
    <x v="274"/>
    <x v="1"/>
    <x v="0"/>
    <s v="Librería Valencia Centro"/>
    <x v="4"/>
    <n v="2"/>
    <n v="2"/>
  </r>
  <r>
    <s v="V001540"/>
    <s v="978-8-11504-796-1"/>
    <s v="El código Da Vinci"/>
    <s v="Dan Brown"/>
    <x v="1"/>
    <n v="14.36"/>
    <n v="1436"/>
    <n v="2"/>
    <n v="28.72"/>
    <x v="39"/>
    <x v="1"/>
    <x v="272"/>
    <x v="1"/>
    <x v="0"/>
    <s v="Librería Barcelona Gòtic"/>
    <x v="2"/>
    <n v="3"/>
    <n v="3"/>
  </r>
  <r>
    <s v="V001541"/>
    <s v="978-0-22224-871-3"/>
    <s v="Un mundo sin fin"/>
    <s v="Ken Follett"/>
    <x v="16"/>
    <n v="2.29"/>
    <n v="229"/>
    <n v="4"/>
    <n v="9.16"/>
    <x v="48"/>
    <x v="0"/>
    <x v="664"/>
    <x v="0"/>
    <x v="0"/>
    <s v="Librería Valencia Centro"/>
    <x v="4"/>
    <n v="2"/>
    <n v="2"/>
  </r>
  <r>
    <s v="V001542"/>
    <s v="978-1-82357-400-9"/>
    <s v="Harry Potter y la piedra filosofal"/>
    <s v="J.K. Rowling"/>
    <x v="8"/>
    <n v="12.72"/>
    <n v="1272"/>
    <n v="1"/>
    <n v="12.72"/>
    <x v="20"/>
    <x v="1"/>
    <x v="139"/>
    <x v="2"/>
    <x v="1"/>
    <s v="Tienda Online"/>
    <x v="0"/>
    <n v="5"/>
    <n v="5"/>
  </r>
  <r>
    <s v="V001543"/>
    <s v="978-9-44671-926-0"/>
    <s v="El Hobbit"/>
    <s v="J.R.R. Tolkien"/>
    <x v="2"/>
    <n v="17.75"/>
    <n v="1775"/>
    <n v="1"/>
    <n v="17.75"/>
    <x v="64"/>
    <x v="1"/>
    <x v="829"/>
    <x v="1"/>
    <x v="0"/>
    <s v="Librería Sevilla Triana"/>
    <x v="4"/>
    <n v="3"/>
    <n v="3"/>
  </r>
  <r>
    <s v="V001544"/>
    <s v="978-8-33416-619-1"/>
    <s v="La chica del tren"/>
    <s v="Paula Hawkins"/>
    <x v="1"/>
    <n v="1.59"/>
    <n v="159"/>
    <n v="3"/>
    <n v="4.7700000000000005"/>
    <x v="35"/>
    <x v="1"/>
    <x v="783"/>
    <x v="1"/>
    <x v="0"/>
    <s v="Librería Valencia Centro"/>
    <x v="3"/>
    <n v="5"/>
    <n v="5"/>
  </r>
  <r>
    <s v="V001545"/>
    <s v="978-8-33416-619-1"/>
    <s v="La chica del tren"/>
    <s v="Paula Hawkins"/>
    <x v="1"/>
    <n v="1.67"/>
    <n v="167"/>
    <n v="1"/>
    <n v="1.67"/>
    <x v="70"/>
    <x v="0"/>
    <x v="830"/>
    <x v="1"/>
    <x v="1"/>
    <s v="Tienda Online"/>
    <x v="3"/>
    <m/>
    <s v="Sin valoración"/>
  </r>
  <r>
    <s v="V001546"/>
    <s v="978-3-28131-621-7"/>
    <s v="El Aleph"/>
    <s v="Jorge Luis Borges"/>
    <x v="9"/>
    <n v="1.39"/>
    <n v="139"/>
    <n v="1"/>
    <n v="1.39"/>
    <x v="49"/>
    <x v="3"/>
    <x v="734"/>
    <x v="2"/>
    <x v="1"/>
    <s v="Tienda Online"/>
    <x v="3"/>
    <n v="5"/>
    <n v="5"/>
  </r>
  <r>
    <s v="V001547"/>
    <s v="978-8-31643-371-8"/>
    <s v="Hábitos atómicos"/>
    <s v="James Clear"/>
    <x v="0"/>
    <n v="17.010000000000002"/>
    <n v="1701"/>
    <n v="1"/>
    <n v="17.010000000000002"/>
    <x v="7"/>
    <x v="1"/>
    <x v="831"/>
    <x v="1"/>
    <x v="0"/>
    <s v="Librería Central Madrid"/>
    <x v="1"/>
    <n v="5"/>
    <n v="5"/>
  </r>
  <r>
    <s v="V001548"/>
    <s v="978-0-87110-667-3"/>
    <s v="Charlie y la fábrica de chocolate"/>
    <s v="Roald Dahl"/>
    <x v="6"/>
    <n v="9.52"/>
    <n v="952"/>
    <n v="1"/>
    <n v="9.52"/>
    <x v="11"/>
    <x v="2"/>
    <x v="515"/>
    <x v="0"/>
    <x v="1"/>
    <s v="Tienda Online"/>
    <x v="1"/>
    <n v="5"/>
    <n v="5"/>
  </r>
  <r>
    <s v="V001549"/>
    <s v="978-5-19287-626-3"/>
    <s v="Coraline"/>
    <s v="Neil Gaiman"/>
    <x v="8"/>
    <n v="1.39"/>
    <n v="139"/>
    <n v="1"/>
    <n v="1.39"/>
    <x v="55"/>
    <x v="3"/>
    <x v="832"/>
    <x v="1"/>
    <x v="1"/>
    <s v="Tienda Online"/>
    <x v="3"/>
    <n v="3"/>
    <n v="3"/>
  </r>
  <r>
    <s v="V001550"/>
    <s v="978-3-97782-833-5"/>
    <s v="V de Vendetta"/>
    <s v="Alan Moore"/>
    <x v="10"/>
    <n v="1.89"/>
    <n v="189"/>
    <n v="1"/>
    <n v="1.89"/>
    <x v="32"/>
    <x v="1"/>
    <x v="121"/>
    <x v="2"/>
    <x v="1"/>
    <s v="Tienda Online"/>
    <x v="4"/>
    <n v="4"/>
    <n v="4"/>
  </r>
  <r>
    <s v="V001551"/>
    <s v="978-0-40007-169-0"/>
    <s v="El Principito ilustrado"/>
    <s v="Antoine de Saint-Exupéry"/>
    <x v="6"/>
    <n v="17.489999999999998"/>
    <n v="1749"/>
    <n v="1"/>
    <n v="17.489999999999998"/>
    <x v="11"/>
    <x v="0"/>
    <x v="308"/>
    <x v="1"/>
    <x v="1"/>
    <s v="Tienda Online"/>
    <x v="3"/>
    <n v="4"/>
    <n v="4"/>
  </r>
  <r>
    <s v="V001552"/>
    <s v="978-3-28131-621-7"/>
    <s v="El Aleph"/>
    <s v="Jorge Luis Borges"/>
    <x v="9"/>
    <n v="11.12"/>
    <n v="1112"/>
    <n v="2"/>
    <n v="22.24"/>
    <x v="4"/>
    <x v="0"/>
    <x v="741"/>
    <x v="1"/>
    <x v="0"/>
    <s v="Librería Valencia Centro"/>
    <x v="1"/>
    <n v="4"/>
    <n v="4"/>
  </r>
  <r>
    <s v="V001553"/>
    <s v="978-6-10282-499-4"/>
    <s v="Patria"/>
    <s v="Fernando Aramburu"/>
    <x v="3"/>
    <n v="16.91"/>
    <n v="1691"/>
    <n v="2"/>
    <n v="33.82"/>
    <x v="28"/>
    <x v="1"/>
    <x v="19"/>
    <x v="2"/>
    <x v="1"/>
    <s v="Tienda Online"/>
    <x v="4"/>
    <n v="5"/>
    <n v="5"/>
  </r>
  <r>
    <s v="V001554"/>
    <s v="978-6-34957-196-1"/>
    <s v="El resplandor"/>
    <s v="Stephen King"/>
    <x v="4"/>
    <n v="20.79"/>
    <n v="2079"/>
    <n v="3"/>
    <n v="62.37"/>
    <x v="1"/>
    <x v="3"/>
    <x v="196"/>
    <x v="1"/>
    <x v="0"/>
    <s v="Librería Gran Vía"/>
    <x v="2"/>
    <n v="3"/>
    <n v="3"/>
  </r>
  <r>
    <s v="V001555"/>
    <s v="978-6-45093-167-3"/>
    <s v="Paula"/>
    <s v="Isabel Allende"/>
    <x v="13"/>
    <n v="1.59"/>
    <n v="159"/>
    <n v="1"/>
    <n v="1.59"/>
    <x v="26"/>
    <x v="3"/>
    <x v="583"/>
    <x v="0"/>
    <x v="0"/>
    <s v="Librería Valencia Centro"/>
    <x v="2"/>
    <n v="4"/>
    <n v="4"/>
  </r>
  <r>
    <s v="V001556"/>
    <s v="978-3-17665-693-8"/>
    <s v="La familia de Pascual Duarte"/>
    <s v="Camilo José Cela"/>
    <x v="9"/>
    <n v="1.29"/>
    <n v="129"/>
    <n v="1"/>
    <n v="1.29"/>
    <x v="50"/>
    <x v="0"/>
    <x v="95"/>
    <x v="0"/>
    <x v="0"/>
    <s v="Librería Barcelona Gòtic"/>
    <x v="2"/>
    <n v="2"/>
    <n v="2"/>
  </r>
  <r>
    <s v="V001557"/>
    <s v="978-3-62923-222-9"/>
    <s v="El gen egoísta"/>
    <s v="Richard Dawkins"/>
    <x v="11"/>
    <n v="15.21"/>
    <n v="1521"/>
    <n v="2"/>
    <n v="30.42"/>
    <x v="68"/>
    <x v="0"/>
    <x v="833"/>
    <x v="2"/>
    <x v="1"/>
    <s v="Tienda Online"/>
    <x v="1"/>
    <n v="4"/>
    <n v="4"/>
  </r>
  <r>
    <s v="V001558"/>
    <s v="978-3-84364-180-1"/>
    <s v="21 lecciones para el siglo XXI"/>
    <s v="Yuval Noah Harari"/>
    <x v="15"/>
    <n v="20.89"/>
    <n v="2089"/>
    <n v="1"/>
    <n v="20.89"/>
    <x v="7"/>
    <x v="0"/>
    <x v="834"/>
    <x v="0"/>
    <x v="1"/>
    <s v="Tienda Online"/>
    <x v="3"/>
    <m/>
    <s v="Sin valoración"/>
  </r>
  <r>
    <s v="V001559"/>
    <s v="978-3-17665-693-8"/>
    <s v="La familia de Pascual Duarte"/>
    <s v="Camilo José Cela"/>
    <x v="9"/>
    <n v="14.19"/>
    <n v="1419"/>
    <n v="2"/>
    <n v="28.38"/>
    <x v="5"/>
    <x v="1"/>
    <x v="532"/>
    <x v="2"/>
    <x v="1"/>
    <s v="Tienda Online"/>
    <x v="2"/>
    <n v="5"/>
    <n v="5"/>
  </r>
  <r>
    <s v="V001560"/>
    <s v="978-4-93886-804-8"/>
    <s v="Guerra y paz"/>
    <s v="León Tolstói"/>
    <x v="9"/>
    <n v="27.39"/>
    <n v="2739"/>
    <n v="1"/>
    <n v="27.39"/>
    <x v="23"/>
    <x v="3"/>
    <x v="542"/>
    <x v="2"/>
    <x v="1"/>
    <s v="Tienda Online"/>
    <x v="3"/>
    <n v="4"/>
    <n v="4"/>
  </r>
  <r>
    <s v="V001561"/>
    <s v="978-6-56438-533-6"/>
    <s v="Misery"/>
    <s v="Stephen King"/>
    <x v="4"/>
    <n v="1.69"/>
    <n v="169"/>
    <n v="4"/>
    <n v="6.76"/>
    <x v="44"/>
    <x v="1"/>
    <x v="835"/>
    <x v="2"/>
    <x v="1"/>
    <s v="Tienda Online"/>
    <x v="3"/>
    <n v="5"/>
    <n v="5"/>
  </r>
  <r>
    <s v="V001562"/>
    <s v="978-7-47388-533-8"/>
    <s v="Los besos"/>
    <s v="Manuel Vilas"/>
    <x v="3"/>
    <n v="19.84"/>
    <n v="1984"/>
    <n v="1"/>
    <n v="19.84"/>
    <x v="37"/>
    <x v="0"/>
    <x v="824"/>
    <x v="1"/>
    <x v="1"/>
    <s v="Tienda Online"/>
    <x v="3"/>
    <n v="5"/>
    <n v="5"/>
  </r>
  <r>
    <s v="V001563"/>
    <s v="978-9-65461-316-8"/>
    <s v="Padre rico, padre pobre"/>
    <s v="Robert Kiyosaki"/>
    <x v="5"/>
    <n v="13.52"/>
    <n v="1352"/>
    <n v="4"/>
    <n v="54.08"/>
    <x v="44"/>
    <x v="3"/>
    <x v="235"/>
    <x v="1"/>
    <x v="0"/>
    <s v="Librería Valencia Centro"/>
    <x v="0"/>
    <n v="3"/>
    <n v="3"/>
  </r>
  <r>
    <s v="V001564"/>
    <s v="978-0-96673-333-4"/>
    <s v="Harry Potter y el prisionero de Azkaban"/>
    <s v="J.K. Rowling"/>
    <x v="8"/>
    <n v="1.69"/>
    <n v="169"/>
    <n v="2"/>
    <n v="3.38"/>
    <x v="60"/>
    <x v="0"/>
    <x v="707"/>
    <x v="2"/>
    <x v="1"/>
    <s v="Tienda Online"/>
    <x v="4"/>
    <n v="4"/>
    <n v="4"/>
  </r>
  <r>
    <s v="V001565"/>
    <s v="978-1-48469-545-2"/>
    <s v="Origen"/>
    <s v="Dan Brown"/>
    <x v="1"/>
    <n v="1.99"/>
    <n v="199"/>
    <n v="3"/>
    <n v="5.97"/>
    <x v="0"/>
    <x v="3"/>
    <x v="264"/>
    <x v="0"/>
    <x v="0"/>
    <s v="Librería Barcelona Gòtic"/>
    <x v="1"/>
    <n v="2"/>
    <n v="2"/>
  </r>
  <r>
    <s v="V001566"/>
    <s v="978-1-16175-981-1"/>
    <s v="Pedro Páramo"/>
    <s v="Juan Rulfo"/>
    <x v="9"/>
    <n v="13.55"/>
    <n v="1355"/>
    <n v="1"/>
    <n v="13.55"/>
    <x v="45"/>
    <x v="3"/>
    <x v="836"/>
    <x v="2"/>
    <x v="1"/>
    <s v="Tienda Online"/>
    <x v="4"/>
    <n v="5"/>
    <n v="5"/>
  </r>
  <r>
    <s v="V001567"/>
    <s v="978-3-85880-708-0"/>
    <s v="Persépolis"/>
    <s v="Marjane Satrapi"/>
    <x v="10"/>
    <n v="12.72"/>
    <n v="1272"/>
    <n v="1"/>
    <n v="12.72"/>
    <x v="28"/>
    <x v="2"/>
    <x v="660"/>
    <x v="0"/>
    <x v="1"/>
    <s v="Tienda Online"/>
    <x v="3"/>
    <n v="2"/>
    <n v="2"/>
  </r>
  <r>
    <s v="V001568"/>
    <s v="978-3-31417-573-6"/>
    <s v="Ana Karenina"/>
    <s v="León Tolstói"/>
    <x v="9"/>
    <n v="15.21"/>
    <n v="1521"/>
    <n v="2"/>
    <n v="30.42"/>
    <x v="8"/>
    <x v="1"/>
    <x v="503"/>
    <x v="0"/>
    <x v="1"/>
    <s v="Tienda Online"/>
    <x v="4"/>
    <n v="3"/>
    <n v="3"/>
  </r>
  <r>
    <s v="V001569"/>
    <s v="978-0-87110-667-3"/>
    <s v="Charlie y la fábrica de chocolate"/>
    <s v="Roald Dahl"/>
    <x v="6"/>
    <n v="1.25"/>
    <n v="125"/>
    <n v="1"/>
    <n v="1.25"/>
    <x v="61"/>
    <x v="0"/>
    <x v="837"/>
    <x v="2"/>
    <x v="1"/>
    <s v="Tienda Online"/>
    <x v="2"/>
    <n v="3"/>
    <n v="3"/>
  </r>
  <r>
    <s v="V001570"/>
    <s v="978-3-97782-833-5"/>
    <s v="V de Vendetta"/>
    <s v="Alan Moore"/>
    <x v="10"/>
    <n v="20.79"/>
    <n v="2079"/>
    <n v="1"/>
    <n v="20.79"/>
    <x v="18"/>
    <x v="3"/>
    <x v="305"/>
    <x v="0"/>
    <x v="1"/>
    <s v="Tienda Online"/>
    <x v="1"/>
    <n v="4"/>
    <n v="4"/>
  </r>
  <r>
    <s v="V001571"/>
    <s v="978-9-78522-423-4"/>
    <s v="Maus"/>
    <s v="Art Spiegelman"/>
    <x v="10"/>
    <n v="17.75"/>
    <n v="1775"/>
    <n v="1"/>
    <n v="17.75"/>
    <x v="47"/>
    <x v="3"/>
    <x v="457"/>
    <x v="1"/>
    <x v="1"/>
    <s v="Tienda Online"/>
    <x v="1"/>
    <n v="5"/>
    <n v="5"/>
  </r>
  <r>
    <s v="V001572"/>
    <s v="978-6-94259-569-2"/>
    <s v="El juego del ángel"/>
    <s v="Carlos Ruiz Zafón"/>
    <x v="3"/>
    <n v="19.43"/>
    <n v="1943"/>
    <n v="1"/>
    <n v="19.43"/>
    <x v="32"/>
    <x v="2"/>
    <x v="838"/>
    <x v="2"/>
    <x v="1"/>
    <s v="Tienda Online"/>
    <x v="3"/>
    <n v="4"/>
    <n v="4"/>
  </r>
  <r>
    <s v="V001573"/>
    <s v="978-7-10425-839-4"/>
    <s v="El paciente silencioso"/>
    <s v="Alex Michaelides"/>
    <x v="1"/>
    <n v="1.79"/>
    <n v="179"/>
    <n v="1"/>
    <n v="1.79"/>
    <x v="8"/>
    <x v="2"/>
    <x v="839"/>
    <x v="2"/>
    <x v="1"/>
    <s v="Tienda Online"/>
    <x v="4"/>
    <n v="4"/>
    <n v="4"/>
  </r>
  <r>
    <s v="V001574"/>
    <s v="978-9-18326-494-6"/>
    <s v="Romancero gitano"/>
    <s v="Federico García Lorca"/>
    <x v="7"/>
    <n v="1.0900000000000001"/>
    <n v="109"/>
    <n v="2"/>
    <n v="2.1800000000000002"/>
    <x v="10"/>
    <x v="2"/>
    <x v="296"/>
    <x v="0"/>
    <x v="1"/>
    <s v="Tienda Online"/>
    <x v="3"/>
    <n v="4"/>
    <n v="4"/>
  </r>
  <r>
    <s v="V001575"/>
    <s v="978-8-79514-100-9"/>
    <s v="La chica en la telaraña"/>
    <s v="David Lagercrantz"/>
    <x v="1"/>
    <n v="1.79"/>
    <n v="179"/>
    <n v="1"/>
    <n v="1.79"/>
    <x v="27"/>
    <x v="3"/>
    <x v="381"/>
    <x v="2"/>
    <x v="1"/>
    <s v="Tienda Online"/>
    <x v="0"/>
    <n v="5"/>
    <n v="5"/>
  </r>
  <r>
    <s v="V001576"/>
    <s v="978-9-93227-275-8"/>
    <s v="Los hermanos Karamázov"/>
    <s v="Fiódor Dostoyevski"/>
    <x v="9"/>
    <n v="16.059999999999999"/>
    <n v="1606"/>
    <n v="1"/>
    <n v="16.059999999999999"/>
    <x v="5"/>
    <x v="2"/>
    <x v="483"/>
    <x v="0"/>
    <x v="1"/>
    <s v="Tienda Online"/>
    <x v="4"/>
    <n v="3"/>
    <n v="3"/>
  </r>
  <r>
    <s v="V001577"/>
    <s v="978-9-78522-423-4"/>
    <s v="Maus"/>
    <s v="Art Spiegelman"/>
    <x v="10"/>
    <n v="18.59"/>
    <n v="1859"/>
    <n v="1"/>
    <n v="18.59"/>
    <x v="59"/>
    <x v="1"/>
    <x v="786"/>
    <x v="2"/>
    <x v="1"/>
    <s v="Tienda Online"/>
    <x v="2"/>
    <n v="4"/>
    <n v="4"/>
  </r>
  <r>
    <s v="V001578"/>
    <s v="978-1-16175-981-1"/>
    <s v="Pedro Páramo"/>
    <s v="Juan Rulfo"/>
    <x v="9"/>
    <n v="1.29"/>
    <n v="129"/>
    <n v="1"/>
    <n v="1.29"/>
    <x v="8"/>
    <x v="1"/>
    <x v="497"/>
    <x v="2"/>
    <x v="1"/>
    <s v="Tienda Online"/>
    <x v="4"/>
    <m/>
    <s v="Sin valoración"/>
  </r>
  <r>
    <s v="V001579"/>
    <s v="978-0-40007-169-0"/>
    <s v="El Principito ilustrado"/>
    <s v="Antoine de Saint-Exupéry"/>
    <x v="6"/>
    <n v="1.59"/>
    <n v="159"/>
    <n v="2"/>
    <n v="3.18"/>
    <x v="56"/>
    <x v="3"/>
    <x v="840"/>
    <x v="2"/>
    <x v="1"/>
    <s v="Tienda Online"/>
    <x v="1"/>
    <n v="5"/>
    <n v="5"/>
  </r>
  <r>
    <s v="V001580"/>
    <s v="978-0-96673-333-4"/>
    <s v="Harry Potter y el prisionero de Azkaban"/>
    <s v="J.K. Rowling"/>
    <x v="8"/>
    <n v="18.59"/>
    <n v="1859"/>
    <n v="2"/>
    <n v="37.18"/>
    <x v="58"/>
    <x v="0"/>
    <x v="344"/>
    <x v="2"/>
    <x v="1"/>
    <s v="Tienda Online"/>
    <x v="4"/>
    <n v="3"/>
    <n v="3"/>
  </r>
  <r>
    <s v="V001581"/>
    <s v="978-1-68082-927-8"/>
    <s v="Náuseas"/>
    <s v="Jean-Paul Sartre"/>
    <x v="9"/>
    <n v="12.51"/>
    <n v="1251"/>
    <n v="1"/>
    <n v="12.51"/>
    <x v="49"/>
    <x v="3"/>
    <x v="841"/>
    <x v="2"/>
    <x v="1"/>
    <s v="Tienda Online"/>
    <x v="4"/>
    <n v="5"/>
    <n v="5"/>
  </r>
  <r>
    <s v="V001582"/>
    <s v="978-4-97684-597-3"/>
    <s v="American Gods"/>
    <s v="Neil Gaiman"/>
    <x v="2"/>
    <n v="21.89"/>
    <n v="2189"/>
    <n v="2"/>
    <n v="43.78"/>
    <x v="19"/>
    <x v="0"/>
    <x v="146"/>
    <x v="0"/>
    <x v="0"/>
    <s v="Librería Valencia Centro"/>
    <x v="0"/>
    <n v="2"/>
    <n v="2"/>
  </r>
  <r>
    <s v="V001583"/>
    <s v="978-0-96673-333-4"/>
    <s v="Harry Potter y el prisionero de Azkaban"/>
    <s v="J.K. Rowling"/>
    <x v="8"/>
    <n v="14.36"/>
    <n v="1436"/>
    <n v="2"/>
    <n v="28.72"/>
    <x v="58"/>
    <x v="1"/>
    <x v="11"/>
    <x v="0"/>
    <x v="1"/>
    <s v="Tienda Online"/>
    <x v="1"/>
    <n v="5"/>
    <n v="5"/>
  </r>
  <r>
    <s v="V001584"/>
    <s v="978-4-10851-877-2"/>
    <s v="El nombre del viento"/>
    <s v="Patrick Rothfuss"/>
    <x v="2"/>
    <n v="19.71"/>
    <n v="1971"/>
    <n v="1"/>
    <n v="19.71"/>
    <x v="22"/>
    <x v="2"/>
    <x v="1"/>
    <x v="1"/>
    <x v="1"/>
    <s v="Tienda Online"/>
    <x v="1"/>
    <n v="4"/>
    <n v="4"/>
  </r>
  <r>
    <s v="V001585"/>
    <s v="978-9-51245-317-7"/>
    <s v="La sombra del viento"/>
    <s v="Carlos Ruiz Zafón"/>
    <x v="3"/>
    <n v="1.85"/>
    <n v="185"/>
    <n v="1"/>
    <n v="1.85"/>
    <x v="49"/>
    <x v="2"/>
    <x v="842"/>
    <x v="1"/>
    <x v="1"/>
    <s v="Tienda Online"/>
    <x v="4"/>
    <n v="2"/>
    <n v="2"/>
  </r>
  <r>
    <s v="V001586"/>
    <s v="978-5-19287-626-3"/>
    <s v="Coraline"/>
    <s v="Neil Gaiman"/>
    <x v="8"/>
    <n v="15.29"/>
    <n v="1529"/>
    <n v="1"/>
    <n v="15.29"/>
    <x v="20"/>
    <x v="0"/>
    <x v="254"/>
    <x v="1"/>
    <x v="0"/>
    <s v="Librería Gran Vía"/>
    <x v="3"/>
    <n v="3"/>
    <n v="3"/>
  </r>
  <r>
    <s v="V001587"/>
    <s v="978-6-38893-559-9"/>
    <s v="Dune"/>
    <s v="Frank Herbert"/>
    <x v="12"/>
    <n v="25.19"/>
    <n v="2519"/>
    <n v="1"/>
    <n v="25.19"/>
    <x v="42"/>
    <x v="1"/>
    <x v="843"/>
    <x v="0"/>
    <x v="1"/>
    <s v="Tienda Online"/>
    <x v="1"/>
    <n v="4"/>
    <n v="4"/>
  </r>
  <r>
    <s v="V001588"/>
    <s v="978-5-74042-119-1"/>
    <s v="Sapiens"/>
    <s v="Yuval Noah Harari"/>
    <x v="15"/>
    <n v="2.19"/>
    <n v="219"/>
    <n v="1"/>
    <n v="2.19"/>
    <x v="18"/>
    <x v="1"/>
    <x v="719"/>
    <x v="1"/>
    <x v="0"/>
    <s v="Librería Barcelona Gòtic"/>
    <x v="2"/>
    <n v="3"/>
    <n v="3"/>
  </r>
  <r>
    <s v="V001589"/>
    <s v="978-1-48469-545-2"/>
    <s v="Origen"/>
    <s v="Dan Brown"/>
    <x v="1"/>
    <n v="16.91"/>
    <n v="1691"/>
    <n v="4"/>
    <n v="67.64"/>
    <x v="31"/>
    <x v="3"/>
    <x v="101"/>
    <x v="2"/>
    <x v="1"/>
    <s v="Tienda Online"/>
    <x v="1"/>
    <n v="4"/>
    <n v="4"/>
  </r>
  <r>
    <s v="V001590"/>
    <s v="978-9-44671-926-0"/>
    <s v="El Hobbit"/>
    <s v="J.R.R. Tolkien"/>
    <x v="2"/>
    <n v="13.52"/>
    <n v="1352"/>
    <n v="3"/>
    <n v="40.56"/>
    <x v="18"/>
    <x v="1"/>
    <x v="80"/>
    <x v="2"/>
    <x v="1"/>
    <s v="Tienda Online"/>
    <x v="4"/>
    <m/>
    <s v="Sin valoración"/>
  </r>
  <r>
    <s v="V001591"/>
    <s v="978-8-33416-619-1"/>
    <s v="La chica del tren"/>
    <s v="Paula Hawkins"/>
    <x v="1"/>
    <n v="1.67"/>
    <n v="167"/>
    <n v="2"/>
    <n v="3.34"/>
    <x v="48"/>
    <x v="1"/>
    <x v="844"/>
    <x v="1"/>
    <x v="0"/>
    <s v="Librería Valencia Centro"/>
    <x v="1"/>
    <m/>
    <s v="Sin valoración"/>
  </r>
  <r>
    <s v="V001592"/>
    <s v="978-7-30289-294-4"/>
    <s v="Nada"/>
    <s v="Carmen Laforet"/>
    <x v="9"/>
    <n v="11.81"/>
    <n v="1181"/>
    <n v="2"/>
    <n v="23.62"/>
    <x v="47"/>
    <x v="3"/>
    <x v="683"/>
    <x v="0"/>
    <x v="1"/>
    <s v="Tienda Online"/>
    <x v="0"/>
    <n v="4"/>
    <n v="4"/>
  </r>
  <r>
    <s v="V001593"/>
    <s v="978-9-71348-641-4"/>
    <s v="Veinte poemas de amor"/>
    <s v="Pablo Neruda"/>
    <x v="7"/>
    <n v="1.04"/>
    <n v="104"/>
    <n v="1"/>
    <n v="1.04"/>
    <x v="32"/>
    <x v="0"/>
    <x v="777"/>
    <x v="1"/>
    <x v="1"/>
    <s v="Tienda Online"/>
    <x v="1"/>
    <n v="4"/>
    <n v="4"/>
  </r>
  <r>
    <s v="V001594"/>
    <s v="978-3-39451-165-5"/>
    <s v="Matilda"/>
    <s v="Roald Dahl"/>
    <x v="6"/>
    <n v="1.19"/>
    <n v="119"/>
    <n v="4"/>
    <n v="4.76"/>
    <x v="58"/>
    <x v="1"/>
    <x v="845"/>
    <x v="0"/>
    <x v="0"/>
    <s v="Librería Barcelona Gòtic"/>
    <x v="1"/>
    <n v="5"/>
    <n v="5"/>
  </r>
  <r>
    <s v="V001595"/>
    <s v="978-1-48469-545-2"/>
    <s v="Origen"/>
    <s v="Dan Brown"/>
    <x v="1"/>
    <n v="1.99"/>
    <n v="199"/>
    <n v="1"/>
    <n v="1.99"/>
    <x v="30"/>
    <x v="2"/>
    <x v="641"/>
    <x v="1"/>
    <x v="1"/>
    <s v="Tienda Online"/>
    <x v="2"/>
    <n v="1"/>
    <n v="1"/>
  </r>
  <r>
    <s v="V001596"/>
    <s v="978-8-44438-864-9"/>
    <s v="Rayuela"/>
    <s v="Julio Cortázar"/>
    <x v="9"/>
    <n v="1.69"/>
    <n v="169"/>
    <n v="2"/>
    <n v="3.38"/>
    <x v="42"/>
    <x v="1"/>
    <x v="326"/>
    <x v="2"/>
    <x v="1"/>
    <s v="Tienda Online"/>
    <x v="2"/>
    <n v="4"/>
    <n v="4"/>
  </r>
  <r>
    <s v="V001597"/>
    <s v="978-6-56438-533-6"/>
    <s v="Misery"/>
    <s v="Stephen King"/>
    <x v="4"/>
    <n v="1.69"/>
    <n v="169"/>
    <n v="1"/>
    <n v="1.69"/>
    <x v="10"/>
    <x v="2"/>
    <x v="476"/>
    <x v="1"/>
    <x v="1"/>
    <s v="Tienda Online"/>
    <x v="3"/>
    <n v="3"/>
    <n v="3"/>
  </r>
  <r>
    <s v="V001598"/>
    <s v="978-2-46509-573-3"/>
    <s v="La peste"/>
    <s v="Albert Camus"/>
    <x v="9"/>
    <n v="1.49"/>
    <n v="149"/>
    <n v="1"/>
    <n v="1.49"/>
    <x v="27"/>
    <x v="2"/>
    <x v="767"/>
    <x v="1"/>
    <x v="1"/>
    <s v="Tienda Online"/>
    <x v="4"/>
    <n v="3"/>
    <n v="3"/>
  </r>
  <r>
    <s v="V001599"/>
    <s v="978-3-50857-508-5"/>
    <s v="Piense y hágase rico"/>
    <s v="Napoleon Hill"/>
    <x v="5"/>
    <n v="1.39"/>
    <n v="139"/>
    <n v="1"/>
    <n v="1.39"/>
    <x v="12"/>
    <x v="0"/>
    <x v="472"/>
    <x v="1"/>
    <x v="1"/>
    <s v="Tienda Online"/>
    <x v="0"/>
    <n v="1"/>
    <n v="1"/>
  </r>
  <r>
    <s v="V001600"/>
    <s v="978-0-40007-169-0"/>
    <s v="El Principito ilustrado"/>
    <s v="Antoine de Saint-Exupéry"/>
    <x v="6"/>
    <n v="1.67"/>
    <n v="167"/>
    <n v="1"/>
    <n v="1.67"/>
    <x v="52"/>
    <x v="2"/>
    <x v="19"/>
    <x v="2"/>
    <x v="1"/>
    <s v="Tienda Online"/>
    <x v="3"/>
    <n v="5"/>
    <n v="5"/>
  </r>
  <r>
    <s v="V001601"/>
    <s v="978-6-86484-508-5"/>
    <s v="Ficciones"/>
    <s v="Jorge Luis Borges"/>
    <x v="9"/>
    <n v="11.92"/>
    <n v="1192"/>
    <n v="2"/>
    <n v="23.84"/>
    <x v="0"/>
    <x v="1"/>
    <x v="172"/>
    <x v="2"/>
    <x v="1"/>
    <s v="Tienda Online"/>
    <x v="3"/>
    <n v="5"/>
    <n v="5"/>
  </r>
  <r>
    <s v="V001602"/>
    <s v="978-4-97684-597-3"/>
    <s v="American Gods"/>
    <s v="Neil Gaiman"/>
    <x v="2"/>
    <n v="1.99"/>
    <n v="199"/>
    <n v="2"/>
    <n v="3.98"/>
    <x v="17"/>
    <x v="1"/>
    <x v="249"/>
    <x v="2"/>
    <x v="1"/>
    <s v="Tienda Online"/>
    <x v="0"/>
    <n v="5"/>
    <n v="5"/>
  </r>
  <r>
    <s v="V001603"/>
    <s v="978-8-21395-704-6"/>
    <s v="1984"/>
    <s v="George Orwell"/>
    <x v="12"/>
    <n v="12.66"/>
    <n v="1266"/>
    <n v="1"/>
    <n v="12.66"/>
    <x v="26"/>
    <x v="2"/>
    <x v="763"/>
    <x v="2"/>
    <x v="1"/>
    <s v="Tienda Online"/>
    <x v="3"/>
    <n v="4"/>
    <n v="4"/>
  </r>
  <r>
    <s v="V001604"/>
    <s v="978-9-44671-926-0"/>
    <s v="El Hobbit"/>
    <s v="J.R.R. Tolkien"/>
    <x v="2"/>
    <n v="15.21"/>
    <n v="1521"/>
    <n v="1"/>
    <n v="15.21"/>
    <x v="18"/>
    <x v="1"/>
    <x v="307"/>
    <x v="2"/>
    <x v="1"/>
    <s v="Tienda Online"/>
    <x v="0"/>
    <n v="5"/>
    <n v="5"/>
  </r>
  <r>
    <s v="V001605"/>
    <s v="978-9-65461-316-8"/>
    <s v="Padre rico, padre pobre"/>
    <s v="Robert Kiyosaki"/>
    <x v="5"/>
    <n v="1.69"/>
    <n v="169"/>
    <n v="2"/>
    <n v="3.38"/>
    <x v="49"/>
    <x v="0"/>
    <x v="595"/>
    <x v="0"/>
    <x v="0"/>
    <s v="Librería Barcelona Gòtic"/>
    <x v="1"/>
    <n v="5"/>
    <n v="5"/>
  </r>
  <r>
    <s v="V001606"/>
    <s v="978-3-99733-432-0"/>
    <s v="Don Quijote de la Mancha"/>
    <s v="Miguel de Cervantes"/>
    <x v="9"/>
    <n v="1.99"/>
    <n v="199"/>
    <n v="2"/>
    <n v="3.98"/>
    <x v="43"/>
    <x v="1"/>
    <x v="810"/>
    <x v="1"/>
    <x v="0"/>
    <s v="Librería Gran Vía"/>
    <x v="4"/>
    <n v="5"/>
    <n v="5"/>
  </r>
  <r>
    <s v="V001607"/>
    <s v="978-8-27342-840-9"/>
    <s v="Stardust"/>
    <s v="Neil Gaiman"/>
    <x v="2"/>
    <n v="1.59"/>
    <n v="159"/>
    <n v="1"/>
    <n v="1.59"/>
    <x v="49"/>
    <x v="3"/>
    <x v="846"/>
    <x v="2"/>
    <x v="1"/>
    <s v="Tienda Online"/>
    <x v="3"/>
    <n v="5"/>
    <n v="5"/>
  </r>
  <r>
    <s v="V001608"/>
    <s v="978-1-48469-545-2"/>
    <s v="Origen"/>
    <s v="Dan Brown"/>
    <x v="1"/>
    <n v="17.91"/>
    <n v="1791"/>
    <n v="2"/>
    <n v="35.82"/>
    <x v="23"/>
    <x v="1"/>
    <x v="325"/>
    <x v="2"/>
    <x v="1"/>
    <s v="Tienda Online"/>
    <x v="4"/>
    <n v="4"/>
    <n v="4"/>
  </r>
  <r>
    <s v="V001609"/>
    <s v="978-6-54597-384-2"/>
    <s v="El temor de un hombre sabio"/>
    <s v="Patrick Rothfuss"/>
    <x v="2"/>
    <n v="19.920000000000002"/>
    <n v="1992"/>
    <n v="1"/>
    <n v="19.920000000000002"/>
    <x v="3"/>
    <x v="1"/>
    <x v="766"/>
    <x v="1"/>
    <x v="0"/>
    <s v="Librería Sevilla Triana"/>
    <x v="4"/>
    <n v="2"/>
    <n v="2"/>
  </r>
  <r>
    <s v="V001610"/>
    <s v="978-9-72493-614-8"/>
    <s v="El chef en casa"/>
    <s v="Jamie Oliver"/>
    <x v="14"/>
    <n v="1.99"/>
    <n v="199"/>
    <n v="1"/>
    <n v="1.99"/>
    <x v="3"/>
    <x v="0"/>
    <x v="847"/>
    <x v="2"/>
    <x v="1"/>
    <s v="Tienda Online"/>
    <x v="3"/>
    <n v="5"/>
    <n v="5"/>
  </r>
  <r>
    <s v="V001611"/>
    <s v="978-0-51104-158-0"/>
    <s v="Manual de cocina fácil"/>
    <s v="Karlos Arguiñano"/>
    <x v="14"/>
    <n v="16.11"/>
    <n v="1611"/>
    <n v="1"/>
    <n v="16.11"/>
    <x v="35"/>
    <x v="0"/>
    <x v="508"/>
    <x v="0"/>
    <x v="1"/>
    <s v="Tienda Online"/>
    <x v="4"/>
    <n v="5"/>
    <n v="5"/>
  </r>
  <r>
    <s v="V001612"/>
    <s v="978-5-50306-345-0"/>
    <s v="Homo Deus"/>
    <s v="Yuval Noah Harari"/>
    <x v="15"/>
    <n v="18.61"/>
    <n v="1861"/>
    <n v="2"/>
    <n v="37.22"/>
    <x v="1"/>
    <x v="0"/>
    <x v="718"/>
    <x v="2"/>
    <x v="1"/>
    <s v="Tienda Online"/>
    <x v="1"/>
    <n v="5"/>
    <n v="5"/>
  </r>
  <r>
    <s v="V001613"/>
    <s v="978-4-97684-597-3"/>
    <s v="American Gods"/>
    <s v="Neil Gaiman"/>
    <x v="2"/>
    <n v="20.89"/>
    <n v="2089"/>
    <n v="1"/>
    <n v="20.89"/>
    <x v="23"/>
    <x v="0"/>
    <x v="578"/>
    <x v="0"/>
    <x v="0"/>
    <s v="Librería Central Madrid"/>
    <x v="0"/>
    <n v="4"/>
    <n v="4"/>
  </r>
  <r>
    <s v="V001614"/>
    <s v="978-1-16630-767-8"/>
    <s v="Los pilares de la Tierra"/>
    <s v="Ken Follett"/>
    <x v="16"/>
    <n v="2.19"/>
    <n v="219"/>
    <n v="1"/>
    <n v="2.19"/>
    <x v="64"/>
    <x v="3"/>
    <x v="848"/>
    <x v="2"/>
    <x v="1"/>
    <s v="Tienda Online"/>
    <x v="1"/>
    <n v="5"/>
    <n v="5"/>
  </r>
  <r>
    <s v="V001615"/>
    <s v="978-7-47388-533-8"/>
    <s v="Los besos"/>
    <s v="Manuel Vilas"/>
    <x v="3"/>
    <n v="1.89"/>
    <n v="189"/>
    <n v="1"/>
    <n v="1.89"/>
    <x v="67"/>
    <x v="1"/>
    <x v="849"/>
    <x v="1"/>
    <x v="0"/>
    <s v="Librería Valencia Centro"/>
    <x v="1"/>
    <n v="3"/>
    <n v="3"/>
  </r>
  <r>
    <s v="V001616"/>
    <s v="978-5-74042-119-1"/>
    <s v="Sapiens"/>
    <s v="Yuval Noah Harari"/>
    <x v="15"/>
    <n v="24.09"/>
    <n v="2409"/>
    <n v="1"/>
    <n v="24.09"/>
    <x v="3"/>
    <x v="2"/>
    <x v="850"/>
    <x v="2"/>
    <x v="1"/>
    <s v="Tienda Online"/>
    <x v="3"/>
    <n v="4"/>
    <n v="4"/>
  </r>
  <r>
    <s v="V001617"/>
    <s v="978-6-86484-508-5"/>
    <s v="Ficciones"/>
    <s v="Jorge Luis Borges"/>
    <x v="9"/>
    <n v="16.39"/>
    <n v="1639"/>
    <n v="4"/>
    <n v="65.56"/>
    <x v="44"/>
    <x v="2"/>
    <x v="723"/>
    <x v="1"/>
    <x v="0"/>
    <s v="Librería Sevilla Triana"/>
    <x v="0"/>
    <m/>
    <s v="Sin valoración"/>
  </r>
  <r>
    <s v="V001618"/>
    <s v="978-8-79514-100-9"/>
    <s v="La chica en la telaraña"/>
    <s v="David Lagercrantz"/>
    <x v="1"/>
    <n v="16.11"/>
    <n v="1611"/>
    <n v="1"/>
    <n v="16.11"/>
    <x v="2"/>
    <x v="2"/>
    <x v="843"/>
    <x v="2"/>
    <x v="1"/>
    <s v="Tienda Online"/>
    <x v="3"/>
    <n v="4"/>
    <n v="4"/>
  </r>
  <r>
    <s v="V001619"/>
    <s v="978-3-30032-482-2"/>
    <s v="Los hombres que no amaban a las mujeres"/>
    <s v="Stieg Larsson"/>
    <x v="1"/>
    <n v="18.79"/>
    <n v="1879"/>
    <n v="1"/>
    <n v="18.79"/>
    <x v="3"/>
    <x v="1"/>
    <x v="851"/>
    <x v="0"/>
    <x v="1"/>
    <s v="Tienda Online"/>
    <x v="2"/>
    <n v="4"/>
    <n v="4"/>
  </r>
  <r>
    <s v="V001620"/>
    <s v="978-3-30032-482-2"/>
    <s v="Los hombres que no amaban a las mujeres"/>
    <s v="Stieg Larsson"/>
    <x v="1"/>
    <n v="14.32"/>
    <n v="1432"/>
    <n v="2"/>
    <n v="28.64"/>
    <x v="38"/>
    <x v="0"/>
    <x v="816"/>
    <x v="1"/>
    <x v="0"/>
    <s v="Librería Valencia Centro"/>
    <x v="2"/>
    <n v="5"/>
    <n v="5"/>
  </r>
  <r>
    <s v="V001621"/>
    <s v="978-1-82357-400-9"/>
    <s v="Harry Potter y la piedra filosofal"/>
    <s v="J.K. Rowling"/>
    <x v="8"/>
    <n v="1.67"/>
    <n v="167"/>
    <n v="1"/>
    <n v="1.67"/>
    <x v="34"/>
    <x v="2"/>
    <x v="365"/>
    <x v="1"/>
    <x v="1"/>
    <s v="Tienda Online"/>
    <x v="1"/>
    <n v="4"/>
    <n v="4"/>
  </r>
  <r>
    <s v="V001622"/>
    <s v="978-3-50857-508-5"/>
    <s v="Piense y hágase rico"/>
    <s v="Napoleon Hill"/>
    <x v="5"/>
    <n v="1.46"/>
    <n v="146"/>
    <n v="1"/>
    <n v="1.46"/>
    <x v="3"/>
    <x v="2"/>
    <x v="117"/>
    <x v="1"/>
    <x v="1"/>
    <s v="Tienda Online"/>
    <x v="1"/>
    <m/>
    <s v="Sin valoración"/>
  </r>
  <r>
    <s v="V001623"/>
    <s v="978-8-31643-371-8"/>
    <s v="Hábitos atómicos"/>
    <s v="James Clear"/>
    <x v="0"/>
    <n v="15.12"/>
    <n v="1512"/>
    <n v="1"/>
    <n v="15.12"/>
    <x v="44"/>
    <x v="0"/>
    <x v="852"/>
    <x v="1"/>
    <x v="0"/>
    <s v="Librería Central Madrid"/>
    <x v="0"/>
    <n v="5"/>
    <n v="5"/>
  </r>
  <r>
    <s v="V001624"/>
    <s v="978-3-97782-833-5"/>
    <s v="V de Vendetta"/>
    <s v="Alan Moore"/>
    <x v="10"/>
    <n v="1.89"/>
    <n v="189"/>
    <n v="1"/>
    <n v="1.89"/>
    <x v="49"/>
    <x v="2"/>
    <x v="76"/>
    <x v="0"/>
    <x v="1"/>
    <s v="Tienda Online"/>
    <x v="2"/>
    <m/>
    <s v="Sin valoración"/>
  </r>
  <r>
    <s v="V001625"/>
    <s v="978-2-17455-620-1"/>
    <s v="Cosmos"/>
    <s v="Carl Sagan"/>
    <x v="11"/>
    <n v="17.010000000000002"/>
    <n v="1701"/>
    <n v="1"/>
    <n v="17.010000000000002"/>
    <x v="65"/>
    <x v="2"/>
    <x v="247"/>
    <x v="2"/>
    <x v="1"/>
    <s v="Tienda Online"/>
    <x v="0"/>
    <n v="3"/>
    <n v="3"/>
  </r>
  <r>
    <s v="V001626"/>
    <s v="978-1-16175-981-1"/>
    <s v="Pedro Páramo"/>
    <s v="Juan Rulfo"/>
    <x v="9"/>
    <n v="13.55"/>
    <n v="1355"/>
    <n v="1"/>
    <n v="13.55"/>
    <x v="4"/>
    <x v="0"/>
    <x v="770"/>
    <x v="0"/>
    <x v="0"/>
    <s v="Librería Gran Vía"/>
    <x v="1"/>
    <n v="5"/>
    <n v="5"/>
  </r>
  <r>
    <s v="V001627"/>
    <s v="978-8-21395-704-6"/>
    <s v="1984"/>
    <s v="George Orwell"/>
    <x v="12"/>
    <n v="1.49"/>
    <n v="149"/>
    <n v="1"/>
    <n v="1.49"/>
    <x v="51"/>
    <x v="2"/>
    <x v="765"/>
    <x v="2"/>
    <x v="1"/>
    <s v="Tienda Online"/>
    <x v="0"/>
    <n v="4"/>
    <n v="4"/>
  </r>
  <r>
    <s v="V001628"/>
    <s v="978-2-58520-463-3"/>
    <s v="Sinsajo"/>
    <s v="Suzanne Collins"/>
    <x v="8"/>
    <n v="16.39"/>
    <n v="1639"/>
    <n v="2"/>
    <n v="32.78"/>
    <x v="20"/>
    <x v="1"/>
    <x v="260"/>
    <x v="0"/>
    <x v="1"/>
    <s v="Tienda Online"/>
    <x v="2"/>
    <n v="5"/>
    <n v="5"/>
  </r>
  <r>
    <s v="V001629"/>
    <s v="978-6-22676-467-5"/>
    <s v="Choque de Reyes"/>
    <s v="George R.R. Martin"/>
    <x v="2"/>
    <n v="1.99"/>
    <n v="199"/>
    <n v="1"/>
    <n v="1.99"/>
    <x v="12"/>
    <x v="1"/>
    <x v="476"/>
    <x v="1"/>
    <x v="1"/>
    <s v="Tienda Online"/>
    <x v="1"/>
    <n v="2"/>
    <n v="2"/>
  </r>
  <r>
    <s v="V001630"/>
    <s v="978-3-30032-482-2"/>
    <s v="Los hombres que no amaban a las mujeres"/>
    <s v="Stieg Larsson"/>
    <x v="1"/>
    <n v="14.32"/>
    <n v="1432"/>
    <n v="2"/>
    <n v="28.64"/>
    <x v="69"/>
    <x v="3"/>
    <x v="697"/>
    <x v="2"/>
    <x v="1"/>
    <s v="Tienda Online"/>
    <x v="3"/>
    <n v="5"/>
    <n v="5"/>
  </r>
  <r>
    <s v="V001631"/>
    <s v="978-9-78522-423-4"/>
    <s v="Maus"/>
    <s v="Art Spiegelman"/>
    <x v="10"/>
    <n v="18.59"/>
    <n v="1859"/>
    <n v="3"/>
    <n v="55.769999999999996"/>
    <x v="23"/>
    <x v="1"/>
    <x v="698"/>
    <x v="1"/>
    <x v="1"/>
    <s v="Tienda Online"/>
    <x v="4"/>
    <n v="4"/>
    <n v="4"/>
  </r>
  <r>
    <s v="V001632"/>
    <s v="978-9-65461-316-8"/>
    <s v="Padre rico, padre pobre"/>
    <s v="Robert Kiyosaki"/>
    <x v="5"/>
    <n v="1.69"/>
    <n v="169"/>
    <n v="1"/>
    <n v="1.69"/>
    <x v="16"/>
    <x v="1"/>
    <x v="21"/>
    <x v="1"/>
    <x v="0"/>
    <s v="Librería Sevilla Triana"/>
    <x v="2"/>
    <n v="4"/>
    <n v="4"/>
  </r>
  <r>
    <s v="V001633"/>
    <s v="978-3-54118-204-1"/>
    <s v="Juego de Tronos"/>
    <s v="George R.R. Martin"/>
    <x v="2"/>
    <n v="15.92"/>
    <n v="1592"/>
    <n v="1"/>
    <n v="15.92"/>
    <x v="43"/>
    <x v="1"/>
    <x v="24"/>
    <x v="2"/>
    <x v="1"/>
    <s v="Tienda Online"/>
    <x v="1"/>
    <n v="5"/>
    <n v="5"/>
  </r>
  <r>
    <s v="V001634"/>
    <s v="978-9-20745-529-9"/>
    <s v="Watchmen"/>
    <s v="Alan Moore"/>
    <x v="10"/>
    <n v="19.71"/>
    <n v="1971"/>
    <n v="1"/>
    <n v="19.71"/>
    <x v="32"/>
    <x v="1"/>
    <x v="853"/>
    <x v="2"/>
    <x v="1"/>
    <s v="Tienda Online"/>
    <x v="0"/>
    <n v="4"/>
    <n v="4"/>
  </r>
  <r>
    <s v="V001635"/>
    <s v="978-9-65461-316-8"/>
    <s v="Padre rico, padre pobre"/>
    <s v="Robert Kiyosaki"/>
    <x v="5"/>
    <n v="1.69"/>
    <n v="169"/>
    <n v="1"/>
    <n v="1.69"/>
    <x v="51"/>
    <x v="2"/>
    <x v="348"/>
    <x v="1"/>
    <x v="0"/>
    <s v="Librería Barcelona Gòtic"/>
    <x v="3"/>
    <n v="5"/>
    <n v="5"/>
  </r>
  <r>
    <s v="V001636"/>
    <s v="978-0-22224-871-3"/>
    <s v="Un mundo sin fin"/>
    <s v="Ken Follett"/>
    <x v="16"/>
    <n v="18.32"/>
    <n v="1832"/>
    <n v="1"/>
    <n v="18.32"/>
    <x v="33"/>
    <x v="1"/>
    <x v="668"/>
    <x v="1"/>
    <x v="0"/>
    <s v="Librería Sevilla Triana"/>
    <x v="4"/>
    <n v="4"/>
    <n v="4"/>
  </r>
  <r>
    <s v="V001637"/>
    <s v="978-1-68082-927-8"/>
    <s v="Náuseas"/>
    <s v="Jean-Paul Sartre"/>
    <x v="9"/>
    <n v="11.81"/>
    <n v="1181"/>
    <n v="1"/>
    <n v="11.81"/>
    <x v="19"/>
    <x v="3"/>
    <x v="256"/>
    <x v="0"/>
    <x v="1"/>
    <s v="Tienda Online"/>
    <x v="1"/>
    <n v="4"/>
    <n v="4"/>
  </r>
  <r>
    <s v="V001638"/>
    <s v="978-8-68800-243-6"/>
    <s v="El extranjero"/>
    <s v="Albert Camus"/>
    <x v="9"/>
    <n v="1.29"/>
    <n v="129"/>
    <n v="1"/>
    <n v="1.29"/>
    <x v="25"/>
    <x v="2"/>
    <x v="265"/>
    <x v="1"/>
    <x v="0"/>
    <s v="Librería Gran Vía"/>
    <x v="1"/>
    <m/>
    <s v="Sin valoración"/>
  </r>
  <r>
    <s v="V001639"/>
    <s v="978-7-30289-294-4"/>
    <s v="Nada"/>
    <s v="Carmen Laforet"/>
    <x v="9"/>
    <n v="1.46"/>
    <n v="146"/>
    <n v="1"/>
    <n v="1.46"/>
    <x v="3"/>
    <x v="1"/>
    <x v="416"/>
    <x v="2"/>
    <x v="1"/>
    <s v="Tienda Online"/>
    <x v="2"/>
    <n v="5"/>
    <n v="5"/>
  </r>
  <r>
    <s v="V001640"/>
    <s v="978-4-28301-352-8"/>
    <s v="El prisionero del cielo"/>
    <s v="Carlos Ruiz Zafón"/>
    <x v="3"/>
    <n v="1.79"/>
    <n v="179"/>
    <n v="1"/>
    <n v="1.79"/>
    <x v="60"/>
    <x v="0"/>
    <x v="141"/>
    <x v="2"/>
    <x v="1"/>
    <s v="Tienda Online"/>
    <x v="3"/>
    <n v="5"/>
    <n v="5"/>
  </r>
  <r>
    <s v="V001641"/>
    <s v="978-6-22676-467-5"/>
    <s v="Choque de Reyes"/>
    <s v="George R.R. Martin"/>
    <x v="2"/>
    <n v="1.99"/>
    <n v="199"/>
    <n v="1"/>
    <n v="1.99"/>
    <x v="48"/>
    <x v="0"/>
    <x v="217"/>
    <x v="2"/>
    <x v="1"/>
    <s v="Tienda Online"/>
    <x v="0"/>
    <n v="4"/>
    <n v="4"/>
  </r>
  <r>
    <s v="V001642"/>
    <s v="978-5-19287-626-3"/>
    <s v="Coraline"/>
    <s v="Neil Gaiman"/>
    <x v="8"/>
    <n v="1.39"/>
    <n v="139"/>
    <n v="2"/>
    <n v="2.78"/>
    <x v="55"/>
    <x v="1"/>
    <x v="854"/>
    <x v="2"/>
    <x v="1"/>
    <s v="Tienda Online"/>
    <x v="2"/>
    <m/>
    <s v="Sin valoración"/>
  </r>
  <r>
    <s v="V001643"/>
    <s v="978-9-65461-316-8"/>
    <s v="Padre rico, padre pobre"/>
    <s v="Robert Kiyosaki"/>
    <x v="5"/>
    <n v="1.69"/>
    <n v="169"/>
    <n v="2"/>
    <n v="3.38"/>
    <x v="14"/>
    <x v="1"/>
    <x v="223"/>
    <x v="2"/>
    <x v="1"/>
    <s v="Tienda Online"/>
    <x v="2"/>
    <n v="5"/>
    <n v="5"/>
  </r>
  <r>
    <s v="V001644"/>
    <s v="978-8-79514-100-9"/>
    <s v="La chica en la telaraña"/>
    <s v="David Lagercrantz"/>
    <x v="1"/>
    <n v="15.21"/>
    <n v="1521"/>
    <n v="1"/>
    <n v="15.21"/>
    <x v="63"/>
    <x v="1"/>
    <x v="379"/>
    <x v="2"/>
    <x v="1"/>
    <s v="Tienda Online"/>
    <x v="2"/>
    <n v="5"/>
    <n v="5"/>
  </r>
  <r>
    <s v="V001645"/>
    <s v="978-8-44438-864-9"/>
    <s v="Rayuela"/>
    <s v="Julio Cortázar"/>
    <x v="9"/>
    <n v="15.21"/>
    <n v="1521"/>
    <n v="2"/>
    <n v="30.42"/>
    <x v="53"/>
    <x v="0"/>
    <x v="218"/>
    <x v="1"/>
    <x v="0"/>
    <s v="Librería Barcelona Gòtic"/>
    <x v="4"/>
    <n v="4"/>
    <n v="4"/>
  </r>
  <r>
    <s v="V001646"/>
    <s v="978-9-93227-275-8"/>
    <s v="Los hermanos Karamázov"/>
    <s v="Fiódor Dostoyevski"/>
    <x v="9"/>
    <n v="1.89"/>
    <n v="189"/>
    <n v="1"/>
    <n v="1.89"/>
    <x v="19"/>
    <x v="1"/>
    <x v="855"/>
    <x v="1"/>
    <x v="1"/>
    <s v="Tienda Online"/>
    <x v="4"/>
    <m/>
    <s v="Sin valoración"/>
  </r>
  <r>
    <s v="V001647"/>
    <s v="978-6-46434-564-5"/>
    <s v="En llamas"/>
    <s v="Suzanne Collins"/>
    <x v="8"/>
    <n v="15.65"/>
    <n v="1565"/>
    <n v="1"/>
    <n v="15.65"/>
    <x v="29"/>
    <x v="3"/>
    <x v="347"/>
    <x v="0"/>
    <x v="0"/>
    <s v="Librería Central Madrid"/>
    <x v="2"/>
    <n v="5"/>
    <n v="5"/>
  </r>
  <r>
    <s v="V001648"/>
    <s v="978-3-30032-482-2"/>
    <s v="Los hombres que no amaban a las mujeres"/>
    <s v="Stieg Larsson"/>
    <x v="1"/>
    <n v="1.79"/>
    <n v="179"/>
    <n v="1"/>
    <n v="1.79"/>
    <x v="25"/>
    <x v="1"/>
    <x v="856"/>
    <x v="2"/>
    <x v="1"/>
    <s v="Tienda Online"/>
    <x v="1"/>
    <n v="5"/>
    <n v="5"/>
  </r>
  <r>
    <s v="V001649"/>
    <s v="978-8-33416-619-1"/>
    <s v="La chica del tren"/>
    <s v="Paula Hawkins"/>
    <x v="1"/>
    <n v="1.59"/>
    <n v="159"/>
    <n v="1"/>
    <n v="1.59"/>
    <x v="35"/>
    <x v="1"/>
    <x v="113"/>
    <x v="1"/>
    <x v="1"/>
    <s v="Tienda Online"/>
    <x v="4"/>
    <n v="5"/>
    <n v="5"/>
  </r>
  <r>
    <s v="V001650"/>
    <s v="978-3-54118-204-1"/>
    <s v="Juego de Tronos"/>
    <s v="George R.R. Martin"/>
    <x v="2"/>
    <n v="16.91"/>
    <n v="1691"/>
    <n v="1"/>
    <n v="16.91"/>
    <x v="10"/>
    <x v="1"/>
    <x v="462"/>
    <x v="2"/>
    <x v="1"/>
    <s v="Tienda Online"/>
    <x v="3"/>
    <n v="4"/>
    <n v="4"/>
  </r>
  <r>
    <s v="V001651"/>
    <s v="978-7-19071-878-8"/>
    <s v="El poder del ahora"/>
    <s v="Eckhart Tolle"/>
    <x v="0"/>
    <n v="1.49"/>
    <n v="149"/>
    <n v="1"/>
    <n v="1.49"/>
    <x v="6"/>
    <x v="3"/>
    <x v="677"/>
    <x v="1"/>
    <x v="0"/>
    <s v="Librería Valencia Centro"/>
    <x v="3"/>
    <n v="5"/>
    <n v="5"/>
  </r>
  <r>
    <s v="V001652"/>
    <s v="978-0-96673-333-4"/>
    <s v="Harry Potter y el prisionero de Azkaban"/>
    <s v="J.K. Rowling"/>
    <x v="8"/>
    <n v="18.59"/>
    <n v="1859"/>
    <n v="1"/>
    <n v="18.59"/>
    <x v="20"/>
    <x v="0"/>
    <x v="474"/>
    <x v="2"/>
    <x v="1"/>
    <s v="Tienda Online"/>
    <x v="0"/>
    <n v="2"/>
    <n v="2"/>
  </r>
  <r>
    <s v="V001653"/>
    <s v="978-2-18981-709-1"/>
    <s v="Una breve historia del tiempo"/>
    <s v="Stephen Hawking"/>
    <x v="11"/>
    <n v="15.21"/>
    <n v="1521"/>
    <n v="1"/>
    <n v="15.21"/>
    <x v="41"/>
    <x v="3"/>
    <x v="857"/>
    <x v="2"/>
    <x v="1"/>
    <s v="Tienda Online"/>
    <x v="3"/>
    <n v="4"/>
    <n v="4"/>
  </r>
  <r>
    <s v="V001654"/>
    <s v="978-4-99593-763-1"/>
    <s v="Crimen y castigo"/>
    <s v="Fiódor Dostoyevski"/>
    <x v="9"/>
    <n v="13.55"/>
    <n v="1355"/>
    <n v="1"/>
    <n v="13.55"/>
    <x v="5"/>
    <x v="3"/>
    <x v="214"/>
    <x v="0"/>
    <x v="0"/>
    <s v="Librería Gran Vía"/>
    <x v="2"/>
    <n v="4"/>
    <n v="4"/>
  </r>
  <r>
    <s v="V001655"/>
    <s v="978-8-11504-796-1"/>
    <s v="El código Da Vinci"/>
    <s v="Dan Brown"/>
    <x v="1"/>
    <n v="17.75"/>
    <n v="1775"/>
    <n v="3"/>
    <n v="53.25"/>
    <x v="7"/>
    <x v="1"/>
    <x v="452"/>
    <x v="2"/>
    <x v="1"/>
    <s v="Tienda Online"/>
    <x v="2"/>
    <n v="5"/>
    <n v="5"/>
  </r>
  <r>
    <s v="V001656"/>
    <s v="978-6-10282-499-4"/>
    <s v="Patria"/>
    <s v="Fernando Aramburu"/>
    <x v="3"/>
    <n v="20.89"/>
    <n v="2089"/>
    <n v="2"/>
    <n v="41.78"/>
    <x v="7"/>
    <x v="0"/>
    <x v="714"/>
    <x v="1"/>
    <x v="1"/>
    <s v="Tienda Online"/>
    <x v="0"/>
    <n v="5"/>
    <n v="5"/>
  </r>
  <r>
    <s v="V001657"/>
    <s v="978-8-33416-619-1"/>
    <s v="La chica del tren"/>
    <s v="Paula Hawkins"/>
    <x v="1"/>
    <n v="1.59"/>
    <n v="159"/>
    <n v="1"/>
    <n v="1.59"/>
    <x v="47"/>
    <x v="3"/>
    <x v="587"/>
    <x v="1"/>
    <x v="1"/>
    <s v="Tienda Online"/>
    <x v="0"/>
    <n v="4"/>
    <n v="4"/>
  </r>
  <r>
    <s v="V001658"/>
    <s v="978-6-22676-467-5"/>
    <s v="Choque de Reyes"/>
    <s v="George R.R. Martin"/>
    <x v="2"/>
    <n v="15.92"/>
    <n v="1592"/>
    <n v="1"/>
    <n v="15.92"/>
    <x v="45"/>
    <x v="2"/>
    <x v="858"/>
    <x v="0"/>
    <x v="1"/>
    <s v="Tienda Online"/>
    <x v="3"/>
    <n v="4"/>
    <n v="4"/>
  </r>
  <r>
    <s v="V001659"/>
    <s v="978-6-34957-196-1"/>
    <s v="El resplandor"/>
    <s v="Stephen King"/>
    <x v="4"/>
    <n v="15.12"/>
    <n v="1512"/>
    <n v="1"/>
    <n v="15.12"/>
    <x v="18"/>
    <x v="2"/>
    <x v="354"/>
    <x v="2"/>
    <x v="1"/>
    <s v="Tienda Online"/>
    <x v="2"/>
    <n v="2"/>
    <n v="2"/>
  </r>
  <r>
    <s v="V001660"/>
    <s v="978-2-58520-463-3"/>
    <s v="Sinsajo"/>
    <s v="Suzanne Collins"/>
    <x v="8"/>
    <n v="16.39"/>
    <n v="1639"/>
    <n v="1"/>
    <n v="16.39"/>
    <x v="20"/>
    <x v="2"/>
    <x v="859"/>
    <x v="0"/>
    <x v="0"/>
    <s v="Librería Valencia Centro"/>
    <x v="3"/>
    <n v="5"/>
    <n v="5"/>
  </r>
  <r>
    <s v="V001661"/>
    <s v="978-3-28131-621-7"/>
    <s v="El Aleph"/>
    <s v="Jorge Luis Borges"/>
    <x v="9"/>
    <n v="1.39"/>
    <n v="139"/>
    <n v="1"/>
    <n v="1.39"/>
    <x v="55"/>
    <x v="2"/>
    <x v="860"/>
    <x v="0"/>
    <x v="1"/>
    <s v="Tienda Online"/>
    <x v="2"/>
    <n v="4"/>
    <n v="4"/>
  </r>
  <r>
    <s v="V001662"/>
    <s v="978-3-99733-432-0"/>
    <s v="Don Quijote de la Mancha"/>
    <s v="Miguel de Cervantes"/>
    <x v="9"/>
    <n v="1.99"/>
    <n v="199"/>
    <n v="2"/>
    <n v="3.98"/>
    <x v="60"/>
    <x v="1"/>
    <x v="66"/>
    <x v="2"/>
    <x v="1"/>
    <s v="Tienda Online"/>
    <x v="1"/>
    <n v="5"/>
    <n v="5"/>
  </r>
  <r>
    <s v="V001663"/>
    <s v="978-4-93886-804-8"/>
    <s v="Guerra y paz"/>
    <s v="León Tolstói"/>
    <x v="9"/>
    <n v="2.4900000000000002"/>
    <n v="249"/>
    <n v="1"/>
    <n v="2.4900000000000002"/>
    <x v="63"/>
    <x v="3"/>
    <x v="861"/>
    <x v="0"/>
    <x v="0"/>
    <s v="Librería Gran Vía"/>
    <x v="3"/>
    <n v="3"/>
    <n v="3"/>
  </r>
  <r>
    <s v="V001664"/>
    <s v="978-3-17665-693-8"/>
    <s v="La familia de Pascual Duarte"/>
    <s v="Camilo José Cela"/>
    <x v="9"/>
    <n v="11.61"/>
    <n v="1161"/>
    <n v="1"/>
    <n v="11.61"/>
    <x v="28"/>
    <x v="0"/>
    <x v="862"/>
    <x v="0"/>
    <x v="1"/>
    <s v="Tienda Online"/>
    <x v="1"/>
    <n v="5"/>
    <n v="5"/>
  </r>
  <r>
    <s v="V001665"/>
    <s v="978-2-63269-597-7"/>
    <s v="La chica de nieve"/>
    <s v="Javier Castillo"/>
    <x v="1"/>
    <n v="19.84"/>
    <n v="1984"/>
    <n v="1"/>
    <n v="19.84"/>
    <x v="60"/>
    <x v="1"/>
    <x v="863"/>
    <x v="1"/>
    <x v="0"/>
    <s v="Librería Valencia Centro"/>
    <x v="0"/>
    <n v="2"/>
    <n v="2"/>
  </r>
  <r>
    <s v="V001666"/>
    <s v="978-1-16175-981-1"/>
    <s v="Pedro Páramo"/>
    <s v="Juan Rulfo"/>
    <x v="9"/>
    <n v="1.29"/>
    <n v="129"/>
    <n v="1"/>
    <n v="1.29"/>
    <x v="63"/>
    <x v="3"/>
    <x v="587"/>
    <x v="2"/>
    <x v="1"/>
    <s v="Tienda Online"/>
    <x v="1"/>
    <n v="5"/>
    <n v="5"/>
  </r>
  <r>
    <s v="V001667"/>
    <s v="978-6-94259-569-2"/>
    <s v="El juego del ángel"/>
    <s v="Carlos Ruiz Zafón"/>
    <x v="3"/>
    <n v="16.649999999999999"/>
    <n v="1665"/>
    <n v="1"/>
    <n v="16.649999999999999"/>
    <x v="7"/>
    <x v="0"/>
    <x v="292"/>
    <x v="2"/>
    <x v="1"/>
    <s v="Tienda Online"/>
    <x v="1"/>
    <n v="3"/>
    <n v="3"/>
  </r>
  <r>
    <s v="V001668"/>
    <s v="978-3-76237-716-0"/>
    <s v="Fahrenheit 451"/>
    <s v="Ray Bradbury"/>
    <x v="12"/>
    <n v="15.29"/>
    <n v="1529"/>
    <n v="1"/>
    <n v="15.29"/>
    <x v="10"/>
    <x v="0"/>
    <x v="208"/>
    <x v="1"/>
    <x v="1"/>
    <s v="Tienda Online"/>
    <x v="4"/>
    <n v="1"/>
    <n v="1"/>
  </r>
  <r>
    <s v="V001669"/>
    <s v="978-7-77839-562-1"/>
    <s v="El principito"/>
    <s v="Antoine de Saint-Exupéry"/>
    <x v="6"/>
    <n v="0.99"/>
    <n v="99"/>
    <n v="2"/>
    <n v="1.98"/>
    <x v="11"/>
    <x v="1"/>
    <x v="864"/>
    <x v="2"/>
    <x v="1"/>
    <s v="Tienda Online"/>
    <x v="1"/>
    <n v="5"/>
    <n v="5"/>
  </r>
  <r>
    <s v="V001670"/>
    <s v="978-1-16630-767-8"/>
    <s v="Los pilares de la Tierra"/>
    <s v="Ken Follett"/>
    <x v="16"/>
    <n v="17.52"/>
    <n v="1752"/>
    <n v="1"/>
    <n v="17.52"/>
    <x v="47"/>
    <x v="3"/>
    <x v="832"/>
    <x v="2"/>
    <x v="1"/>
    <s v="Tienda Online"/>
    <x v="0"/>
    <n v="3"/>
    <n v="3"/>
  </r>
  <r>
    <s v="V001671"/>
    <s v="978-1-40512-987-1"/>
    <s v="Los juegos del hambre"/>
    <s v="Suzanne Collins"/>
    <x v="8"/>
    <n v="1.49"/>
    <n v="149"/>
    <n v="1"/>
    <n v="1.49"/>
    <x v="21"/>
    <x v="0"/>
    <x v="865"/>
    <x v="2"/>
    <x v="1"/>
    <s v="Tienda Online"/>
    <x v="2"/>
    <n v="5"/>
    <n v="5"/>
  </r>
  <r>
    <s v="V001672"/>
    <s v="978-7-30289-294-4"/>
    <s v="Nada"/>
    <s v="Carmen Laforet"/>
    <x v="9"/>
    <n v="1.46"/>
    <n v="146"/>
    <n v="1"/>
    <n v="1.46"/>
    <x v="34"/>
    <x v="2"/>
    <x v="818"/>
    <x v="1"/>
    <x v="1"/>
    <s v="Tienda Online"/>
    <x v="3"/>
    <n v="5"/>
    <n v="5"/>
  </r>
  <r>
    <s v="V001673"/>
    <s v="978-2-63269-597-7"/>
    <s v="La chica de nieve"/>
    <s v="Javier Castillo"/>
    <x v="1"/>
    <n v="19.84"/>
    <n v="1984"/>
    <n v="1"/>
    <n v="19.84"/>
    <x v="28"/>
    <x v="0"/>
    <x v="321"/>
    <x v="2"/>
    <x v="1"/>
    <s v="Tienda Online"/>
    <x v="2"/>
    <n v="2"/>
    <n v="2"/>
  </r>
  <r>
    <s v="V001674"/>
    <s v="978-6-10282-499-4"/>
    <s v="Patria"/>
    <s v="Fernando Aramburu"/>
    <x v="3"/>
    <n v="1.99"/>
    <n v="199"/>
    <n v="2"/>
    <n v="3.98"/>
    <x v="16"/>
    <x v="1"/>
    <x v="156"/>
    <x v="1"/>
    <x v="0"/>
    <s v="Librería Barcelona Gòtic"/>
    <x v="3"/>
    <n v="5"/>
    <n v="5"/>
  </r>
  <r>
    <s v="V001675"/>
    <s v="978-3-39451-165-5"/>
    <s v="Matilda"/>
    <s v="Roald Dahl"/>
    <x v="6"/>
    <n v="13.09"/>
    <n v="1309"/>
    <n v="1"/>
    <n v="13.09"/>
    <x v="61"/>
    <x v="1"/>
    <x v="313"/>
    <x v="0"/>
    <x v="1"/>
    <s v="Tienda Online"/>
    <x v="3"/>
    <n v="3"/>
    <n v="3"/>
  </r>
  <r>
    <s v="V001676"/>
    <s v="978-9-71348-641-4"/>
    <s v="Veinte poemas de amor"/>
    <s v="Pablo Neruda"/>
    <x v="7"/>
    <n v="1.04"/>
    <n v="104"/>
    <n v="1"/>
    <n v="1.04"/>
    <x v="60"/>
    <x v="1"/>
    <x v="866"/>
    <x v="1"/>
    <x v="0"/>
    <s v="Librería Sevilla Triana"/>
    <x v="4"/>
    <n v="3"/>
    <n v="3"/>
  </r>
  <r>
    <s v="V001677"/>
    <s v="978-9-78522-423-4"/>
    <s v="Maus"/>
    <s v="Art Spiegelman"/>
    <x v="10"/>
    <n v="15.21"/>
    <n v="1521"/>
    <n v="1"/>
    <n v="15.21"/>
    <x v="31"/>
    <x v="2"/>
    <x v="752"/>
    <x v="0"/>
    <x v="1"/>
    <s v="Tienda Online"/>
    <x v="2"/>
    <n v="3"/>
    <n v="3"/>
  </r>
  <r>
    <s v="V001678"/>
    <s v="978-8-27342-840-9"/>
    <s v="Stardust"/>
    <s v="Neil Gaiman"/>
    <x v="2"/>
    <n v="13.52"/>
    <n v="1352"/>
    <n v="1"/>
    <n v="13.52"/>
    <x v="14"/>
    <x v="0"/>
    <x v="156"/>
    <x v="1"/>
    <x v="1"/>
    <s v="Tienda Online"/>
    <x v="4"/>
    <m/>
    <s v="Sin valoración"/>
  </r>
  <r>
    <s v="V001679"/>
    <s v="978-3-39256-242-1"/>
    <s v="El amor en los tiempos del cólera"/>
    <s v="Gabriel García Márquez"/>
    <x v="3"/>
    <n v="15.75"/>
    <n v="1575"/>
    <n v="2"/>
    <n v="31.5"/>
    <x v="30"/>
    <x v="3"/>
    <x v="331"/>
    <x v="1"/>
    <x v="0"/>
    <s v="Librería Barcelona Gòtic"/>
    <x v="4"/>
    <n v="5"/>
    <n v="5"/>
  </r>
  <r>
    <s v="V001680"/>
    <s v="978-4-10851-877-2"/>
    <s v="El nombre del viento"/>
    <s v="Patrick Rothfuss"/>
    <x v="2"/>
    <n v="2.2999999999999998"/>
    <n v="230"/>
    <n v="1"/>
    <n v="2.2999999999999998"/>
    <x v="34"/>
    <x v="3"/>
    <x v="472"/>
    <x v="2"/>
    <x v="1"/>
    <s v="Tienda Online"/>
    <x v="1"/>
    <m/>
    <s v="Sin valoración"/>
  </r>
  <r>
    <s v="V001681"/>
    <s v="978-2-17455-620-1"/>
    <s v="Cosmos"/>
    <s v="Carl Sagan"/>
    <x v="11"/>
    <n v="19.84"/>
    <n v="1984"/>
    <n v="1"/>
    <n v="19.84"/>
    <x v="22"/>
    <x v="3"/>
    <x v="333"/>
    <x v="2"/>
    <x v="1"/>
    <s v="Tienda Online"/>
    <x v="0"/>
    <n v="3"/>
    <n v="3"/>
  </r>
  <r>
    <s v="V001682"/>
    <s v="978-9-93227-275-8"/>
    <s v="Los hermanos Karamázov"/>
    <s v="Fiódor Dostoyevski"/>
    <x v="9"/>
    <n v="17.010000000000002"/>
    <n v="1701"/>
    <n v="1"/>
    <n v="17.010000000000002"/>
    <x v="34"/>
    <x v="1"/>
    <x v="511"/>
    <x v="0"/>
    <x v="0"/>
    <s v="Librería Central Madrid"/>
    <x v="0"/>
    <n v="5"/>
    <n v="5"/>
  </r>
  <r>
    <s v="V001683"/>
    <s v="978-9-93227-275-8"/>
    <s v="Los hermanos Karamázov"/>
    <s v="Fiódor Dostoyevski"/>
    <x v="9"/>
    <n v="1.89"/>
    <n v="189"/>
    <n v="1"/>
    <n v="1.89"/>
    <x v="2"/>
    <x v="0"/>
    <x v="635"/>
    <x v="0"/>
    <x v="1"/>
    <s v="Tienda Online"/>
    <x v="4"/>
    <n v="5"/>
    <n v="5"/>
  </r>
  <r>
    <s v="V001684"/>
    <s v="978-2-58520-463-3"/>
    <s v="Sinsajo"/>
    <s v="Suzanne Collins"/>
    <x v="8"/>
    <n v="1.49"/>
    <n v="149"/>
    <n v="1"/>
    <n v="1.49"/>
    <x v="20"/>
    <x v="2"/>
    <x v="673"/>
    <x v="1"/>
    <x v="1"/>
    <s v="Tienda Online"/>
    <x v="3"/>
    <n v="5"/>
    <n v="5"/>
  </r>
  <r>
    <s v="V001685"/>
    <s v="978-0-40007-169-0"/>
    <s v="El Principito ilustrado"/>
    <s v="Antoine de Saint-Exupéry"/>
    <x v="6"/>
    <n v="1.59"/>
    <n v="159"/>
    <n v="3"/>
    <n v="4.7700000000000005"/>
    <x v="24"/>
    <x v="2"/>
    <x v="863"/>
    <x v="2"/>
    <x v="1"/>
    <s v="Tienda Online"/>
    <x v="2"/>
    <n v="2"/>
    <n v="2"/>
  </r>
  <r>
    <s v="V001686"/>
    <s v="978-6-46434-564-5"/>
    <s v="En llamas"/>
    <s v="Suzanne Collins"/>
    <x v="8"/>
    <n v="1.49"/>
    <n v="149"/>
    <n v="1"/>
    <n v="1.49"/>
    <x v="64"/>
    <x v="0"/>
    <x v="75"/>
    <x v="1"/>
    <x v="0"/>
    <s v="Librería Sevilla Triana"/>
    <x v="4"/>
    <n v="3"/>
    <n v="3"/>
  </r>
  <r>
    <s v="V001687"/>
    <s v="978-7-80284-227-6"/>
    <s v="El Señor de los Anillos"/>
    <s v="J.R.R. Tolkien"/>
    <x v="2"/>
    <n v="32.89"/>
    <n v="3289"/>
    <n v="2"/>
    <n v="65.78"/>
    <x v="51"/>
    <x v="0"/>
    <x v="526"/>
    <x v="0"/>
    <x v="0"/>
    <s v="Librería Gran Vía"/>
    <x v="2"/>
    <n v="4"/>
    <n v="4"/>
  </r>
  <r>
    <s v="V001688"/>
    <s v="978-7-10425-839-4"/>
    <s v="El paciente silencioso"/>
    <s v="Alex Michaelides"/>
    <x v="1"/>
    <n v="16.11"/>
    <n v="1611"/>
    <n v="2"/>
    <n v="32.22"/>
    <x v="40"/>
    <x v="2"/>
    <x v="561"/>
    <x v="2"/>
    <x v="1"/>
    <s v="Tienda Online"/>
    <x v="2"/>
    <n v="5"/>
    <n v="5"/>
  </r>
  <r>
    <s v="V001689"/>
    <s v="978-2-26828-775-7"/>
    <s v="Los cuatro acuerdos"/>
    <s v="Miguel Ruiz"/>
    <x v="0"/>
    <n v="1.29"/>
    <n v="129"/>
    <n v="2"/>
    <n v="2.58"/>
    <x v="18"/>
    <x v="2"/>
    <x v="801"/>
    <x v="2"/>
    <x v="1"/>
    <s v="Tienda Online"/>
    <x v="4"/>
    <n v="2"/>
    <n v="2"/>
  </r>
  <r>
    <s v="V001690"/>
    <s v="978-8-33416-619-1"/>
    <s v="La chica del tren"/>
    <s v="Paula Hawkins"/>
    <x v="1"/>
    <n v="17.489999999999998"/>
    <n v="1749"/>
    <n v="1"/>
    <n v="17.489999999999998"/>
    <x v="8"/>
    <x v="1"/>
    <x v="867"/>
    <x v="1"/>
    <x v="0"/>
    <s v="Librería Valencia Centro"/>
    <x v="4"/>
    <n v="4"/>
    <n v="4"/>
  </r>
  <r>
    <s v="V001691"/>
    <s v="978-0-62772-845-5"/>
    <s v="Drácula"/>
    <s v="Bram Stoker"/>
    <x v="4"/>
    <n v="1.29"/>
    <n v="129"/>
    <n v="1"/>
    <n v="1.29"/>
    <x v="25"/>
    <x v="2"/>
    <x v="868"/>
    <x v="1"/>
    <x v="1"/>
    <s v="Tienda Online"/>
    <x v="2"/>
    <n v="5"/>
    <n v="5"/>
  </r>
  <r>
    <s v="V001692"/>
    <s v="978-6-46434-564-5"/>
    <s v="En llamas"/>
    <s v="Suzanne Collins"/>
    <x v="8"/>
    <n v="13.41"/>
    <n v="1341"/>
    <n v="1"/>
    <n v="13.41"/>
    <x v="20"/>
    <x v="2"/>
    <x v="869"/>
    <x v="0"/>
    <x v="1"/>
    <s v="Tienda Online"/>
    <x v="1"/>
    <n v="5"/>
    <n v="5"/>
  </r>
  <r>
    <s v="V001693"/>
    <s v="978-0-96673-333-4"/>
    <s v="Harry Potter y el prisionero de Azkaban"/>
    <s v="J.K. Rowling"/>
    <x v="8"/>
    <n v="1.69"/>
    <n v="169"/>
    <n v="1"/>
    <n v="1.69"/>
    <x v="34"/>
    <x v="0"/>
    <x v="346"/>
    <x v="2"/>
    <x v="1"/>
    <s v="Tienda Online"/>
    <x v="3"/>
    <m/>
    <s v="Sin valoración"/>
  </r>
  <r>
    <s v="V001694"/>
    <s v="978-0-40007-169-0"/>
    <s v="El Principito ilustrado"/>
    <s v="Antoine de Saint-Exupéry"/>
    <x v="6"/>
    <n v="1.59"/>
    <n v="159"/>
    <n v="1"/>
    <n v="1.59"/>
    <x v="52"/>
    <x v="0"/>
    <x v="3"/>
    <x v="1"/>
    <x v="1"/>
    <s v="Tienda Online"/>
    <x v="0"/>
    <m/>
    <s v="Sin valoración"/>
  </r>
  <r>
    <s v="V001695"/>
    <s v="978-0-62772-845-5"/>
    <s v="Drácula"/>
    <s v="Bram Stoker"/>
    <x v="4"/>
    <n v="10.32"/>
    <n v="1032"/>
    <n v="2"/>
    <n v="20.64"/>
    <x v="8"/>
    <x v="3"/>
    <x v="111"/>
    <x v="1"/>
    <x v="1"/>
    <s v="Tienda Online"/>
    <x v="0"/>
    <n v="5"/>
    <n v="5"/>
  </r>
  <r>
    <s v="V001696"/>
    <s v="978-0-40007-169-0"/>
    <s v="El Principito ilustrado"/>
    <s v="Antoine de Saint-Exupéry"/>
    <x v="6"/>
    <n v="12.72"/>
    <n v="1272"/>
    <n v="1"/>
    <n v="12.72"/>
    <x v="11"/>
    <x v="3"/>
    <x v="404"/>
    <x v="0"/>
    <x v="0"/>
    <s v="Librería Barcelona Gòtic"/>
    <x v="0"/>
    <n v="5"/>
    <n v="5"/>
  </r>
  <r>
    <s v="V001697"/>
    <s v="978-3-85880-708-0"/>
    <s v="Persépolis"/>
    <s v="Marjane Satrapi"/>
    <x v="10"/>
    <n v="1.59"/>
    <n v="159"/>
    <n v="2"/>
    <n v="3.18"/>
    <x v="60"/>
    <x v="3"/>
    <x v="729"/>
    <x v="0"/>
    <x v="1"/>
    <s v="Tienda Online"/>
    <x v="4"/>
    <n v="1"/>
    <n v="1"/>
  </r>
  <r>
    <s v="V001698"/>
    <s v="978-4-10851-877-2"/>
    <s v="El nombre del viento"/>
    <s v="Patrick Rothfuss"/>
    <x v="2"/>
    <n v="2.19"/>
    <n v="219"/>
    <n v="1"/>
    <n v="2.19"/>
    <x v="3"/>
    <x v="3"/>
    <x v="308"/>
    <x v="1"/>
    <x v="0"/>
    <s v="Librería Gran Vía"/>
    <x v="0"/>
    <n v="5"/>
    <n v="5"/>
  </r>
  <r>
    <s v="V001699"/>
    <s v="978-1-82357-400-9"/>
    <s v="Harry Potter y la piedra filosofal"/>
    <s v="J.K. Rowling"/>
    <x v="8"/>
    <n v="1.67"/>
    <n v="167"/>
    <n v="2"/>
    <n v="3.34"/>
    <x v="61"/>
    <x v="3"/>
    <x v="460"/>
    <x v="0"/>
    <x v="0"/>
    <s v="Librería Barcelona Gòtic"/>
    <x v="1"/>
    <n v="5"/>
    <n v="5"/>
  </r>
  <r>
    <s v="V001700"/>
    <s v="978-3-39256-242-1"/>
    <s v="El amor en los tiempos del cólera"/>
    <s v="Gabriel García Márquez"/>
    <x v="3"/>
    <n v="19.25"/>
    <n v="1925"/>
    <n v="1"/>
    <n v="19.25"/>
    <x v="30"/>
    <x v="3"/>
    <x v="531"/>
    <x v="0"/>
    <x v="0"/>
    <s v="Librería Gran Vía"/>
    <x v="1"/>
    <n v="5"/>
    <n v="5"/>
  </r>
  <r>
    <s v="V001701"/>
    <s v="978-0-96673-333-4"/>
    <s v="Harry Potter y el prisionero de Azkaban"/>
    <s v="J.K. Rowling"/>
    <x v="8"/>
    <n v="18.59"/>
    <n v="1859"/>
    <n v="1"/>
    <n v="18.59"/>
    <x v="9"/>
    <x v="3"/>
    <x v="796"/>
    <x v="2"/>
    <x v="1"/>
    <s v="Tienda Online"/>
    <x v="2"/>
    <n v="5"/>
    <n v="5"/>
  </r>
  <r>
    <s v="V001702"/>
    <s v="978-6-22676-467-5"/>
    <s v="Choque de Reyes"/>
    <s v="George R.R. Martin"/>
    <x v="2"/>
    <n v="15.92"/>
    <n v="1592"/>
    <n v="2"/>
    <n v="31.84"/>
    <x v="28"/>
    <x v="3"/>
    <x v="670"/>
    <x v="1"/>
    <x v="1"/>
    <s v="Tienda Online"/>
    <x v="4"/>
    <n v="5"/>
    <n v="5"/>
  </r>
  <r>
    <s v="V001703"/>
    <s v="978-8-21395-704-6"/>
    <s v="1984"/>
    <s v="George Orwell"/>
    <x v="12"/>
    <n v="1.49"/>
    <n v="149"/>
    <n v="1"/>
    <n v="1.49"/>
    <x v="35"/>
    <x v="1"/>
    <x v="165"/>
    <x v="0"/>
    <x v="1"/>
    <s v="Tienda Online"/>
    <x v="2"/>
    <n v="5"/>
    <n v="5"/>
  </r>
  <r>
    <s v="V001704"/>
    <s v="978-3-85880-708-0"/>
    <s v="Persépolis"/>
    <s v="Marjane Satrapi"/>
    <x v="10"/>
    <n v="1.59"/>
    <n v="159"/>
    <n v="1"/>
    <n v="1.59"/>
    <x v="54"/>
    <x v="0"/>
    <x v="798"/>
    <x v="0"/>
    <x v="0"/>
    <s v="Librería Sevilla Triana"/>
    <x v="2"/>
    <n v="5"/>
    <n v="5"/>
  </r>
  <r>
    <s v="V001705"/>
    <s v="978-7-17100-789-1"/>
    <s v="Carrie"/>
    <s v="Stephen King"/>
    <x v="4"/>
    <n v="1.49"/>
    <n v="149"/>
    <n v="2"/>
    <n v="2.98"/>
    <x v="33"/>
    <x v="3"/>
    <x v="870"/>
    <x v="0"/>
    <x v="1"/>
    <s v="Tienda Online"/>
    <x v="3"/>
    <n v="5"/>
    <n v="5"/>
  </r>
  <r>
    <s v="V001706"/>
    <s v="978-2-92240-263-6"/>
    <s v="La casa de Bernarda Alba"/>
    <s v="Federico García Lorca"/>
    <x v="17"/>
    <n v="8.42"/>
    <n v="842"/>
    <n v="3"/>
    <n v="25.259999999999998"/>
    <x v="4"/>
    <x v="2"/>
    <x v="144"/>
    <x v="2"/>
    <x v="1"/>
    <s v="Tienda Online"/>
    <x v="1"/>
    <n v="4"/>
    <n v="4"/>
  </r>
  <r>
    <s v="V001707"/>
    <s v="978-3-50857-508-5"/>
    <s v="Piense y hágase rico"/>
    <s v="Napoleon Hill"/>
    <x v="5"/>
    <n v="11.81"/>
    <n v="1181"/>
    <n v="1"/>
    <n v="11.81"/>
    <x v="12"/>
    <x v="0"/>
    <x v="871"/>
    <x v="1"/>
    <x v="0"/>
    <s v="Librería Barcelona Gòtic"/>
    <x v="2"/>
    <n v="1"/>
    <n v="1"/>
  </r>
  <r>
    <s v="V001708"/>
    <s v="978-7-10425-839-4"/>
    <s v="El paciente silencioso"/>
    <s v="Alex Michaelides"/>
    <x v="1"/>
    <n v="19.690000000000001"/>
    <n v="1969"/>
    <n v="2"/>
    <n v="39.380000000000003"/>
    <x v="26"/>
    <x v="2"/>
    <x v="541"/>
    <x v="1"/>
    <x v="1"/>
    <s v="Tienda Online"/>
    <x v="1"/>
    <n v="3"/>
    <n v="3"/>
  </r>
  <r>
    <s v="V001709"/>
    <s v="978-5-85674-296-1"/>
    <s v="Harry Potter y la cámara secreta"/>
    <s v="J.K. Rowling"/>
    <x v="8"/>
    <n v="13.52"/>
    <n v="1352"/>
    <n v="1"/>
    <n v="13.52"/>
    <x v="9"/>
    <x v="1"/>
    <x v="382"/>
    <x v="0"/>
    <x v="0"/>
    <s v="Librería Valencia Centro"/>
    <x v="4"/>
    <n v="4"/>
    <n v="4"/>
  </r>
  <r>
    <s v="V001710"/>
    <s v="978-3-62565-160-2"/>
    <s v="El día que se perdió la cordura"/>
    <s v="Javier Castillo"/>
    <x v="1"/>
    <n v="19.84"/>
    <n v="1984"/>
    <n v="1"/>
    <n v="19.84"/>
    <x v="0"/>
    <x v="2"/>
    <x v="872"/>
    <x v="2"/>
    <x v="1"/>
    <s v="Tienda Online"/>
    <x v="4"/>
    <n v="4"/>
    <n v="4"/>
  </r>
  <r>
    <s v="V001711"/>
    <s v="978-4-93748-619-9"/>
    <s v="Perdida"/>
    <s v="Gillian Flynn"/>
    <x v="1"/>
    <n v="14.03"/>
    <n v="1403"/>
    <n v="1"/>
    <n v="14.03"/>
    <x v="49"/>
    <x v="1"/>
    <x v="873"/>
    <x v="0"/>
    <x v="0"/>
    <s v="Librería Barcelona Gòtic"/>
    <x v="1"/>
    <n v="4"/>
    <n v="4"/>
  </r>
  <r>
    <s v="V001712"/>
    <s v="978-0-87110-667-3"/>
    <s v="Charlie y la fábrica de chocolate"/>
    <s v="Roald Dahl"/>
    <x v="6"/>
    <n v="9.52"/>
    <n v="952"/>
    <n v="1"/>
    <n v="9.52"/>
    <x v="56"/>
    <x v="3"/>
    <x v="770"/>
    <x v="1"/>
    <x v="0"/>
    <s v="Librería Valencia Centro"/>
    <x v="3"/>
    <n v="5"/>
    <n v="5"/>
  </r>
  <r>
    <s v="V001713"/>
    <s v="978-0-22224-871-3"/>
    <s v="Un mundo sin fin"/>
    <s v="Ken Follett"/>
    <x v="16"/>
    <n v="18.32"/>
    <n v="1832"/>
    <n v="2"/>
    <n v="36.64"/>
    <x v="23"/>
    <x v="2"/>
    <x v="265"/>
    <x v="1"/>
    <x v="1"/>
    <s v="Tienda Online"/>
    <x v="2"/>
    <n v="3"/>
    <n v="3"/>
  </r>
  <r>
    <s v="V001714"/>
    <s v="978-0-96673-333-4"/>
    <s v="Harry Potter y el prisionero de Azkaban"/>
    <s v="J.K. Rowling"/>
    <x v="8"/>
    <n v="18.59"/>
    <n v="1859"/>
    <n v="1"/>
    <n v="18.59"/>
    <x v="21"/>
    <x v="0"/>
    <x v="874"/>
    <x v="2"/>
    <x v="1"/>
    <s v="Tienda Online"/>
    <x v="1"/>
    <n v="5"/>
    <n v="5"/>
  </r>
  <r>
    <s v="V001715"/>
    <s v="978-1-48469-545-2"/>
    <s v="Origen"/>
    <s v="Dan Brown"/>
    <x v="1"/>
    <n v="1.99"/>
    <n v="199"/>
    <n v="4"/>
    <n v="7.96"/>
    <x v="2"/>
    <x v="2"/>
    <x v="843"/>
    <x v="1"/>
    <x v="0"/>
    <s v="Librería Sevilla Triana"/>
    <x v="3"/>
    <n v="5"/>
    <n v="5"/>
  </r>
  <r>
    <s v="V001716"/>
    <s v="978-6-10282-499-4"/>
    <s v="Patria"/>
    <s v="Fernando Aramburu"/>
    <x v="3"/>
    <n v="17.91"/>
    <n v="1791"/>
    <n v="2"/>
    <n v="35.82"/>
    <x v="6"/>
    <x v="1"/>
    <x v="194"/>
    <x v="1"/>
    <x v="1"/>
    <s v="Tienda Online"/>
    <x v="2"/>
    <n v="5"/>
    <n v="5"/>
  </r>
  <r>
    <s v="V001717"/>
    <s v="978-9-78522-423-4"/>
    <s v="Maus"/>
    <s v="Art Spiegelman"/>
    <x v="10"/>
    <n v="14.36"/>
    <n v="1436"/>
    <n v="3"/>
    <n v="43.08"/>
    <x v="49"/>
    <x v="3"/>
    <x v="534"/>
    <x v="1"/>
    <x v="1"/>
    <s v="Tienda Online"/>
    <x v="4"/>
    <n v="5"/>
    <n v="5"/>
  </r>
  <r>
    <s v="V001718"/>
    <s v="978-8-44973-887-5"/>
    <s v="Ángeles y demonios"/>
    <s v="Dan Brown"/>
    <x v="1"/>
    <n v="15.21"/>
    <n v="1521"/>
    <n v="4"/>
    <n v="60.84"/>
    <x v="35"/>
    <x v="2"/>
    <x v="302"/>
    <x v="1"/>
    <x v="0"/>
    <s v="Librería Gran Vía"/>
    <x v="4"/>
    <n v="4"/>
    <n v="4"/>
  </r>
  <r>
    <s v="V001719"/>
    <s v="978-8-68800-243-6"/>
    <s v="El extranjero"/>
    <s v="Albert Camus"/>
    <x v="9"/>
    <n v="11.61"/>
    <n v="1161"/>
    <n v="2"/>
    <n v="23.22"/>
    <x v="45"/>
    <x v="3"/>
    <x v="647"/>
    <x v="2"/>
    <x v="1"/>
    <s v="Tienda Online"/>
    <x v="1"/>
    <n v="5"/>
    <n v="5"/>
  </r>
  <r>
    <s v="V001720"/>
    <s v="978-9-20745-529-9"/>
    <s v="Watchmen"/>
    <s v="Alan Moore"/>
    <x v="10"/>
    <n v="2.19"/>
    <n v="219"/>
    <n v="1"/>
    <n v="2.19"/>
    <x v="5"/>
    <x v="1"/>
    <x v="652"/>
    <x v="2"/>
    <x v="1"/>
    <s v="Tienda Online"/>
    <x v="2"/>
    <n v="4"/>
    <n v="4"/>
  </r>
  <r>
    <s v="V001721"/>
    <s v="978-6-46434-564-5"/>
    <s v="En llamas"/>
    <s v="Suzanne Collins"/>
    <x v="8"/>
    <n v="12.66"/>
    <n v="1266"/>
    <n v="1"/>
    <n v="12.66"/>
    <x v="15"/>
    <x v="1"/>
    <x v="246"/>
    <x v="0"/>
    <x v="0"/>
    <s v="Librería Gran Vía"/>
    <x v="3"/>
    <n v="5"/>
    <n v="5"/>
  </r>
  <r>
    <s v="V001722"/>
    <s v="978-9-20745-529-9"/>
    <s v="Watchmen"/>
    <s v="Alan Moore"/>
    <x v="10"/>
    <n v="2.19"/>
    <n v="219"/>
    <n v="2"/>
    <n v="4.38"/>
    <x v="64"/>
    <x v="3"/>
    <x v="875"/>
    <x v="0"/>
    <x v="1"/>
    <s v="Tienda Online"/>
    <x v="0"/>
    <m/>
    <s v="Sin valoración"/>
  </r>
  <r>
    <s v="V001723"/>
    <s v="978-8-44438-864-9"/>
    <s v="Rayuela"/>
    <s v="Julio Cortázar"/>
    <x v="9"/>
    <n v="1.69"/>
    <n v="169"/>
    <n v="2"/>
    <n v="3.38"/>
    <x v="18"/>
    <x v="1"/>
    <x v="384"/>
    <x v="0"/>
    <x v="0"/>
    <s v="Librería Barcelona Gòtic"/>
    <x v="4"/>
    <n v="5"/>
    <n v="5"/>
  </r>
  <r>
    <s v="V001724"/>
    <s v="978-3-76237-716-0"/>
    <s v="Fahrenheit 451"/>
    <s v="Ray Bradbury"/>
    <x v="12"/>
    <n v="11.81"/>
    <n v="1181"/>
    <n v="1"/>
    <n v="11.81"/>
    <x v="46"/>
    <x v="2"/>
    <x v="18"/>
    <x v="2"/>
    <x v="1"/>
    <s v="Tienda Online"/>
    <x v="1"/>
    <n v="4"/>
    <n v="4"/>
  </r>
  <r>
    <s v="V001725"/>
    <s v="978-9-78522-423-4"/>
    <s v="Maus"/>
    <s v="Art Spiegelman"/>
    <x v="10"/>
    <n v="1.69"/>
    <n v="169"/>
    <n v="1"/>
    <n v="1.69"/>
    <x v="22"/>
    <x v="0"/>
    <x v="210"/>
    <x v="2"/>
    <x v="1"/>
    <s v="Tienda Online"/>
    <x v="1"/>
    <n v="5"/>
    <n v="5"/>
  </r>
  <r>
    <s v="V001726"/>
    <s v="978-9-20745-529-9"/>
    <s v="Watchmen"/>
    <s v="Alan Moore"/>
    <x v="10"/>
    <n v="18.61"/>
    <n v="1861"/>
    <n v="1"/>
    <n v="18.61"/>
    <x v="22"/>
    <x v="1"/>
    <x v="641"/>
    <x v="2"/>
    <x v="1"/>
    <s v="Tienda Online"/>
    <x v="1"/>
    <n v="5"/>
    <n v="5"/>
  </r>
  <r>
    <s v="V001727"/>
    <s v="978-6-46434-564-5"/>
    <s v="En llamas"/>
    <s v="Suzanne Collins"/>
    <x v="8"/>
    <n v="13.41"/>
    <n v="1341"/>
    <n v="2"/>
    <n v="26.82"/>
    <x v="9"/>
    <x v="3"/>
    <x v="116"/>
    <x v="1"/>
    <x v="1"/>
    <s v="Tienda Online"/>
    <x v="1"/>
    <n v="4"/>
    <n v="4"/>
  </r>
  <r>
    <s v="V001728"/>
    <s v="978-5-50306-345-0"/>
    <s v="Homo Deus"/>
    <s v="Yuval Noah Harari"/>
    <x v="15"/>
    <n v="18.61"/>
    <n v="1861"/>
    <n v="1"/>
    <n v="18.61"/>
    <x v="57"/>
    <x v="3"/>
    <x v="464"/>
    <x v="1"/>
    <x v="0"/>
    <s v="Librería Sevilla Triana"/>
    <x v="3"/>
    <n v="4"/>
    <n v="4"/>
  </r>
  <r>
    <s v="V001729"/>
    <s v="978-3-85880-708-0"/>
    <s v="Persépolis"/>
    <s v="Marjane Satrapi"/>
    <x v="10"/>
    <n v="1.59"/>
    <n v="159"/>
    <n v="1"/>
    <n v="1.59"/>
    <x v="40"/>
    <x v="3"/>
    <x v="703"/>
    <x v="0"/>
    <x v="1"/>
    <s v="Tienda Online"/>
    <x v="2"/>
    <n v="4"/>
    <n v="4"/>
  </r>
  <r>
    <s v="V001730"/>
    <s v="978-2-58520-463-3"/>
    <s v="Sinsajo"/>
    <s v="Suzanne Collins"/>
    <x v="8"/>
    <n v="15.65"/>
    <n v="1565"/>
    <n v="1"/>
    <n v="15.65"/>
    <x v="8"/>
    <x v="1"/>
    <x v="641"/>
    <x v="2"/>
    <x v="1"/>
    <s v="Tienda Online"/>
    <x v="2"/>
    <n v="5"/>
    <n v="5"/>
  </r>
  <r>
    <s v="V001731"/>
    <s v="978-3-54118-204-1"/>
    <s v="Juego de Tronos"/>
    <s v="George R.R. Martin"/>
    <x v="2"/>
    <n v="17.91"/>
    <n v="1791"/>
    <n v="1"/>
    <n v="17.91"/>
    <x v="47"/>
    <x v="0"/>
    <x v="395"/>
    <x v="1"/>
    <x v="0"/>
    <s v="Librería Central Madrid"/>
    <x v="0"/>
    <n v="5"/>
    <n v="5"/>
  </r>
  <r>
    <s v="V001732"/>
    <s v="978-5-74042-119-1"/>
    <s v="Sapiens"/>
    <s v="Yuval Noah Harari"/>
    <x v="15"/>
    <n v="19.71"/>
    <n v="1971"/>
    <n v="1"/>
    <n v="19.71"/>
    <x v="46"/>
    <x v="0"/>
    <x v="470"/>
    <x v="0"/>
    <x v="0"/>
    <s v="Librería Barcelona Gòtic"/>
    <x v="3"/>
    <n v="5"/>
    <n v="5"/>
  </r>
  <r>
    <s v="V001733"/>
    <s v="978-2-58520-463-3"/>
    <s v="Sinsajo"/>
    <s v="Suzanne Collins"/>
    <x v="8"/>
    <n v="13.41"/>
    <n v="1341"/>
    <n v="1"/>
    <n v="13.41"/>
    <x v="8"/>
    <x v="2"/>
    <x v="453"/>
    <x v="2"/>
    <x v="1"/>
    <s v="Tienda Online"/>
    <x v="4"/>
    <n v="4"/>
    <n v="4"/>
  </r>
  <r>
    <s v="V001734"/>
    <s v="978-8-31643-371-8"/>
    <s v="Hábitos atómicos"/>
    <s v="James Clear"/>
    <x v="0"/>
    <n v="1.89"/>
    <n v="189"/>
    <n v="1"/>
    <n v="1.89"/>
    <x v="54"/>
    <x v="0"/>
    <x v="43"/>
    <x v="0"/>
    <x v="0"/>
    <s v="Librería Barcelona Gòtic"/>
    <x v="1"/>
    <n v="4"/>
    <n v="4"/>
  </r>
  <r>
    <s v="V001735"/>
    <s v="978-3-31417-573-6"/>
    <s v="Ana Karenina"/>
    <s v="León Tolstói"/>
    <x v="9"/>
    <n v="1.69"/>
    <n v="169"/>
    <n v="2"/>
    <n v="3.38"/>
    <x v="19"/>
    <x v="2"/>
    <x v="195"/>
    <x v="1"/>
    <x v="0"/>
    <s v="Librería Valencia Centro"/>
    <x v="2"/>
    <m/>
    <s v="Sin valoración"/>
  </r>
  <r>
    <s v="V001736"/>
    <s v="978-0-22224-871-3"/>
    <s v="Un mundo sin fin"/>
    <s v="Ken Follett"/>
    <x v="16"/>
    <n v="18.32"/>
    <n v="1832"/>
    <n v="1"/>
    <n v="18.32"/>
    <x v="12"/>
    <x v="0"/>
    <x v="174"/>
    <x v="1"/>
    <x v="1"/>
    <s v="Tienda Online"/>
    <x v="0"/>
    <n v="3"/>
    <n v="3"/>
  </r>
  <r>
    <s v="V001737"/>
    <s v="978-2-18981-709-1"/>
    <s v="Una breve historia del tiempo"/>
    <s v="Stephen Hawking"/>
    <x v="11"/>
    <n v="13.52"/>
    <n v="1352"/>
    <n v="2"/>
    <n v="27.04"/>
    <x v="59"/>
    <x v="2"/>
    <x v="152"/>
    <x v="2"/>
    <x v="1"/>
    <s v="Tienda Online"/>
    <x v="0"/>
    <n v="2"/>
    <n v="2"/>
  </r>
  <r>
    <s v="V001738"/>
    <s v="978-3-62565-160-2"/>
    <s v="El día que se perdió la cordura"/>
    <s v="Javier Castillo"/>
    <x v="1"/>
    <n v="1.89"/>
    <n v="189"/>
    <n v="1"/>
    <n v="1.89"/>
    <x v="59"/>
    <x v="2"/>
    <x v="876"/>
    <x v="1"/>
    <x v="0"/>
    <s v="Librería Central Madrid"/>
    <x v="4"/>
    <n v="3"/>
    <n v="3"/>
  </r>
  <r>
    <s v="V001739"/>
    <s v="978-9-93227-275-8"/>
    <s v="Los hermanos Karamázov"/>
    <s v="Fiódor Dostoyevski"/>
    <x v="9"/>
    <n v="1.89"/>
    <n v="189"/>
    <n v="3"/>
    <n v="5.67"/>
    <x v="19"/>
    <x v="0"/>
    <x v="301"/>
    <x v="0"/>
    <x v="1"/>
    <s v="Tienda Online"/>
    <x v="2"/>
    <n v="5"/>
    <n v="5"/>
  </r>
  <r>
    <s v="V001740"/>
    <s v="978-3-97782-833-5"/>
    <s v="V de Vendetta"/>
    <s v="Alan Moore"/>
    <x v="10"/>
    <n v="1.89"/>
    <n v="189"/>
    <n v="2"/>
    <n v="3.78"/>
    <x v="36"/>
    <x v="1"/>
    <x v="729"/>
    <x v="2"/>
    <x v="1"/>
    <s v="Tienda Online"/>
    <x v="2"/>
    <n v="4"/>
    <n v="4"/>
  </r>
  <r>
    <s v="V001741"/>
    <s v="978-2-58520-463-3"/>
    <s v="Sinsajo"/>
    <s v="Suzanne Collins"/>
    <x v="8"/>
    <n v="1.49"/>
    <n v="149"/>
    <n v="1"/>
    <n v="1.49"/>
    <x v="8"/>
    <x v="2"/>
    <x v="30"/>
    <x v="1"/>
    <x v="0"/>
    <s v="Librería Central Madrid"/>
    <x v="3"/>
    <n v="5"/>
    <n v="5"/>
  </r>
  <r>
    <s v="V001742"/>
    <s v="978-9-44671-926-0"/>
    <s v="El Hobbit"/>
    <s v="J.R.R. Tolkien"/>
    <x v="2"/>
    <n v="1.69"/>
    <n v="169"/>
    <n v="1"/>
    <n v="1.69"/>
    <x v="22"/>
    <x v="0"/>
    <x v="558"/>
    <x v="0"/>
    <x v="0"/>
    <s v="Librería Sevilla Triana"/>
    <x v="3"/>
    <m/>
    <s v="Sin valoración"/>
  </r>
  <r>
    <s v="V001743"/>
    <s v="978-1-82357-400-9"/>
    <s v="Harry Potter y la piedra filosofal"/>
    <s v="J.K. Rowling"/>
    <x v="8"/>
    <n v="1.59"/>
    <n v="159"/>
    <n v="3"/>
    <n v="4.7700000000000005"/>
    <x v="64"/>
    <x v="3"/>
    <x v="877"/>
    <x v="1"/>
    <x v="0"/>
    <s v="Librería Sevilla Triana"/>
    <x v="1"/>
    <n v="5"/>
    <n v="5"/>
  </r>
  <r>
    <s v="V001744"/>
    <s v="978-1-16175-981-1"/>
    <s v="Pedro Páramo"/>
    <s v="Juan Rulfo"/>
    <x v="9"/>
    <n v="11.61"/>
    <n v="1161"/>
    <n v="2"/>
    <n v="23.22"/>
    <x v="55"/>
    <x v="3"/>
    <x v="878"/>
    <x v="1"/>
    <x v="0"/>
    <s v="Librería Central Madrid"/>
    <x v="2"/>
    <n v="4"/>
    <n v="4"/>
  </r>
  <r>
    <s v="V001745"/>
    <s v="978-9-72493-614-8"/>
    <s v="El chef en casa"/>
    <s v="Jamie Oliver"/>
    <x v="14"/>
    <n v="20.89"/>
    <n v="2089"/>
    <n v="1"/>
    <n v="20.89"/>
    <x v="40"/>
    <x v="2"/>
    <x v="257"/>
    <x v="0"/>
    <x v="1"/>
    <s v="Tienda Online"/>
    <x v="3"/>
    <n v="5"/>
    <n v="5"/>
  </r>
  <r>
    <s v="V001746"/>
    <s v="978-1-16630-767-8"/>
    <s v="Los pilares de la Tierra"/>
    <s v="Ken Follett"/>
    <x v="16"/>
    <n v="18.61"/>
    <n v="1861"/>
    <n v="1"/>
    <n v="18.61"/>
    <x v="26"/>
    <x v="3"/>
    <x v="840"/>
    <x v="2"/>
    <x v="1"/>
    <s v="Tienda Online"/>
    <x v="3"/>
    <n v="4"/>
    <n v="4"/>
  </r>
  <r>
    <s v="V001747"/>
    <s v="978-4-97684-597-3"/>
    <s v="American Gods"/>
    <s v="Neil Gaiman"/>
    <x v="2"/>
    <n v="21.89"/>
    <n v="2189"/>
    <n v="1"/>
    <n v="21.89"/>
    <x v="33"/>
    <x v="3"/>
    <x v="698"/>
    <x v="1"/>
    <x v="1"/>
    <s v="Tienda Online"/>
    <x v="3"/>
    <n v="4"/>
    <n v="4"/>
  </r>
  <r>
    <s v="V001748"/>
    <s v="978-3-76237-716-0"/>
    <s v="Fahrenheit 451"/>
    <s v="Ray Bradbury"/>
    <x v="12"/>
    <n v="11.12"/>
    <n v="1112"/>
    <n v="2"/>
    <n v="22.24"/>
    <x v="4"/>
    <x v="3"/>
    <x v="698"/>
    <x v="0"/>
    <x v="1"/>
    <s v="Tienda Online"/>
    <x v="4"/>
    <n v="5"/>
    <n v="5"/>
  </r>
  <r>
    <s v="V001749"/>
    <s v="978-4-93886-804-8"/>
    <s v="Guerra y paz"/>
    <s v="León Tolstói"/>
    <x v="9"/>
    <n v="26.14"/>
    <n v="2614"/>
    <n v="2"/>
    <n v="52.28"/>
    <x v="67"/>
    <x v="0"/>
    <x v="879"/>
    <x v="2"/>
    <x v="1"/>
    <s v="Tienda Online"/>
    <x v="4"/>
    <n v="5"/>
    <n v="5"/>
  </r>
  <r>
    <s v="V001750"/>
    <s v="978-8-33416-619-1"/>
    <s v="La chica del tren"/>
    <s v="Paula Hawkins"/>
    <x v="1"/>
    <n v="1.67"/>
    <n v="167"/>
    <n v="1"/>
    <n v="1.67"/>
    <x v="60"/>
    <x v="1"/>
    <x v="318"/>
    <x v="1"/>
    <x v="1"/>
    <s v="Tienda Online"/>
    <x v="0"/>
    <n v="5"/>
    <n v="5"/>
  </r>
  <r>
    <s v="V001751"/>
    <s v="978-1-68082-927-8"/>
    <s v="Náuseas"/>
    <s v="Jean-Paul Sartre"/>
    <x v="9"/>
    <n v="15.29"/>
    <n v="1529"/>
    <n v="1"/>
    <n v="15.29"/>
    <x v="30"/>
    <x v="0"/>
    <x v="795"/>
    <x v="2"/>
    <x v="1"/>
    <s v="Tienda Online"/>
    <x v="4"/>
    <n v="5"/>
    <n v="5"/>
  </r>
  <r>
    <s v="V001752"/>
    <s v="978-5-85674-296-1"/>
    <s v="Harry Potter y la cámara secreta"/>
    <s v="J.K. Rowling"/>
    <x v="8"/>
    <n v="1.59"/>
    <n v="159"/>
    <n v="1"/>
    <n v="1.59"/>
    <x v="60"/>
    <x v="3"/>
    <x v="880"/>
    <x v="0"/>
    <x v="0"/>
    <s v="Librería Barcelona Gòtic"/>
    <x v="3"/>
    <n v="5"/>
    <n v="5"/>
  </r>
  <r>
    <s v="V001753"/>
    <s v="978-0-62772-845-5"/>
    <s v="Drácula"/>
    <s v="Bram Stoker"/>
    <x v="4"/>
    <n v="10.32"/>
    <n v="1032"/>
    <n v="2"/>
    <n v="20.64"/>
    <x v="32"/>
    <x v="1"/>
    <x v="881"/>
    <x v="2"/>
    <x v="1"/>
    <s v="Tienda Online"/>
    <x v="3"/>
    <n v="4"/>
    <n v="4"/>
  </r>
  <r>
    <s v="V001754"/>
    <s v="978-3-62565-160-2"/>
    <s v="El día que se perdió la cordura"/>
    <s v="Javier Castillo"/>
    <x v="1"/>
    <n v="1.89"/>
    <n v="189"/>
    <n v="1"/>
    <n v="1.89"/>
    <x v="1"/>
    <x v="0"/>
    <x v="583"/>
    <x v="2"/>
    <x v="1"/>
    <s v="Tienda Online"/>
    <x v="2"/>
    <n v="4"/>
    <n v="4"/>
  </r>
  <r>
    <s v="V001755"/>
    <s v="978-2-63269-597-7"/>
    <s v="La chica de nieve"/>
    <s v="Javier Castillo"/>
    <x v="1"/>
    <n v="19.84"/>
    <n v="1984"/>
    <n v="4"/>
    <n v="79.36"/>
    <x v="45"/>
    <x v="0"/>
    <x v="73"/>
    <x v="2"/>
    <x v="1"/>
    <s v="Tienda Online"/>
    <x v="1"/>
    <n v="3"/>
    <n v="3"/>
  </r>
  <r>
    <s v="V001756"/>
    <s v="978-6-22676-467-5"/>
    <s v="Choque de Reyes"/>
    <s v="George R.R. Martin"/>
    <x v="2"/>
    <n v="17.91"/>
    <n v="1791"/>
    <n v="1"/>
    <n v="17.91"/>
    <x v="8"/>
    <x v="1"/>
    <x v="713"/>
    <x v="1"/>
    <x v="1"/>
    <s v="Tienda Online"/>
    <x v="1"/>
    <n v="4"/>
    <n v="4"/>
  </r>
  <r>
    <s v="V001757"/>
    <s v="978-8-79514-100-9"/>
    <s v="La chica en la telaraña"/>
    <s v="David Lagercrantz"/>
    <x v="1"/>
    <n v="19.690000000000001"/>
    <n v="1969"/>
    <n v="1"/>
    <n v="19.690000000000001"/>
    <x v="2"/>
    <x v="3"/>
    <x v="216"/>
    <x v="0"/>
    <x v="1"/>
    <s v="Tienda Online"/>
    <x v="3"/>
    <n v="5"/>
    <n v="5"/>
  </r>
  <r>
    <s v="V001758"/>
    <s v="978-6-22676-467-5"/>
    <s v="Choque de Reyes"/>
    <s v="George R.R. Martin"/>
    <x v="2"/>
    <n v="1.99"/>
    <n v="199"/>
    <n v="1"/>
    <n v="1.99"/>
    <x v="7"/>
    <x v="0"/>
    <x v="694"/>
    <x v="0"/>
    <x v="0"/>
    <s v="Librería Gran Vía"/>
    <x v="3"/>
    <n v="4"/>
    <n v="4"/>
  </r>
  <r>
    <s v="V001759"/>
    <s v="978-5-74042-119-1"/>
    <s v="Sapiens"/>
    <s v="Yuval Noah Harari"/>
    <x v="15"/>
    <n v="2.19"/>
    <n v="219"/>
    <n v="1"/>
    <n v="2.19"/>
    <x v="18"/>
    <x v="0"/>
    <x v="419"/>
    <x v="2"/>
    <x v="1"/>
    <s v="Tienda Online"/>
    <x v="0"/>
    <n v="5"/>
    <n v="5"/>
  </r>
  <r>
    <s v="V001760"/>
    <s v="978-3-97782-833-5"/>
    <s v="V de Vendetta"/>
    <s v="Alan Moore"/>
    <x v="10"/>
    <n v="20.79"/>
    <n v="2079"/>
    <n v="1"/>
    <n v="20.79"/>
    <x v="4"/>
    <x v="3"/>
    <x v="364"/>
    <x v="2"/>
    <x v="1"/>
    <s v="Tienda Online"/>
    <x v="1"/>
    <n v="4"/>
    <n v="4"/>
  </r>
  <r>
    <s v="V001761"/>
    <s v="978-0-22224-871-3"/>
    <s v="Un mundo sin fin"/>
    <s v="Ken Follett"/>
    <x v="16"/>
    <n v="19.46"/>
    <n v="1946"/>
    <n v="1"/>
    <n v="19.46"/>
    <x v="55"/>
    <x v="3"/>
    <x v="830"/>
    <x v="1"/>
    <x v="0"/>
    <s v="Librería Sevilla Triana"/>
    <x v="2"/>
    <n v="2"/>
    <n v="2"/>
  </r>
  <r>
    <s v="V001762"/>
    <s v="978-4-28301-352-8"/>
    <s v="El prisionero del cielo"/>
    <s v="Carlos Ruiz Zafón"/>
    <x v="3"/>
    <n v="18.79"/>
    <n v="1879"/>
    <n v="1"/>
    <n v="18.79"/>
    <x v="31"/>
    <x v="1"/>
    <x v="378"/>
    <x v="2"/>
    <x v="1"/>
    <s v="Tienda Online"/>
    <x v="2"/>
    <n v="4"/>
    <n v="4"/>
  </r>
  <r>
    <s v="V001763"/>
    <s v="978-1-48469-545-2"/>
    <s v="Origen"/>
    <s v="Dan Brown"/>
    <x v="1"/>
    <n v="15.92"/>
    <n v="1592"/>
    <n v="4"/>
    <n v="63.68"/>
    <x v="18"/>
    <x v="0"/>
    <x v="583"/>
    <x v="0"/>
    <x v="0"/>
    <s v="Librería Barcelona Gòtic"/>
    <x v="3"/>
    <n v="5"/>
    <n v="5"/>
  </r>
  <r>
    <s v="V001764"/>
    <s v="978-6-38893-559-9"/>
    <s v="Dune"/>
    <s v="Frank Herbert"/>
    <x v="12"/>
    <n v="18.32"/>
    <n v="1832"/>
    <n v="1"/>
    <n v="18.32"/>
    <x v="41"/>
    <x v="2"/>
    <x v="44"/>
    <x v="2"/>
    <x v="1"/>
    <s v="Tienda Online"/>
    <x v="0"/>
    <n v="4"/>
    <n v="4"/>
  </r>
  <r>
    <s v="V001765"/>
    <s v="978-9-93227-275-8"/>
    <s v="Los hermanos Karamázov"/>
    <s v="Fiódor Dostoyevski"/>
    <x v="9"/>
    <n v="17.010000000000002"/>
    <n v="1701"/>
    <n v="2"/>
    <n v="34.020000000000003"/>
    <x v="23"/>
    <x v="2"/>
    <x v="214"/>
    <x v="2"/>
    <x v="1"/>
    <s v="Tienda Online"/>
    <x v="2"/>
    <m/>
    <s v="Sin valoración"/>
  </r>
  <r>
    <s v="V001766"/>
    <s v="978-1-13278-859-4"/>
    <s v="Cien años de soledad"/>
    <s v="Gabriel García Márquez"/>
    <x v="3"/>
    <n v="19.84"/>
    <n v="1984"/>
    <n v="1"/>
    <n v="19.84"/>
    <x v="66"/>
    <x v="2"/>
    <x v="649"/>
    <x v="0"/>
    <x v="1"/>
    <s v="Tienda Online"/>
    <x v="3"/>
    <n v="3"/>
    <n v="3"/>
  </r>
  <r>
    <s v="V001767"/>
    <s v="978-1-68082-927-8"/>
    <s v="Náuseas"/>
    <s v="Jean-Paul Sartre"/>
    <x v="9"/>
    <n v="15.29"/>
    <n v="1529"/>
    <n v="2"/>
    <n v="30.58"/>
    <x v="0"/>
    <x v="0"/>
    <x v="623"/>
    <x v="0"/>
    <x v="0"/>
    <s v="Librería Sevilla Triana"/>
    <x v="4"/>
    <n v="5"/>
    <n v="5"/>
  </r>
  <r>
    <s v="V001768"/>
    <s v="978-0-13905-195-3"/>
    <s v="Rebelión en la granja"/>
    <s v="George Orwell"/>
    <x v="3"/>
    <n v="1.25"/>
    <n v="125"/>
    <n v="1"/>
    <n v="1.25"/>
    <x v="55"/>
    <x v="1"/>
    <x v="383"/>
    <x v="2"/>
    <x v="1"/>
    <s v="Tienda Online"/>
    <x v="0"/>
    <n v="5"/>
    <n v="5"/>
  </r>
  <r>
    <s v="V001769"/>
    <s v="978-3-62565-160-2"/>
    <s v="El día que se perdió la cordura"/>
    <s v="Javier Castillo"/>
    <x v="1"/>
    <n v="1.89"/>
    <n v="189"/>
    <n v="1"/>
    <n v="1.89"/>
    <x v="17"/>
    <x v="2"/>
    <x v="560"/>
    <x v="2"/>
    <x v="1"/>
    <s v="Tienda Online"/>
    <x v="3"/>
    <n v="5"/>
    <n v="5"/>
  </r>
  <r>
    <s v="V001770"/>
    <s v="978-8-31643-371-8"/>
    <s v="Hábitos atómicos"/>
    <s v="James Clear"/>
    <x v="0"/>
    <n v="19.84"/>
    <n v="1984"/>
    <n v="1"/>
    <n v="19.84"/>
    <x v="6"/>
    <x v="1"/>
    <x v="676"/>
    <x v="1"/>
    <x v="0"/>
    <s v="Librería Gran Vía"/>
    <x v="0"/>
    <n v="5"/>
    <n v="5"/>
  </r>
  <r>
    <s v="V001771"/>
    <s v="978-2-26828-775-7"/>
    <s v="Los cuatro acuerdos"/>
    <s v="Miguel Ruiz"/>
    <x v="0"/>
    <n v="1.29"/>
    <n v="129"/>
    <n v="1"/>
    <n v="1.29"/>
    <x v="1"/>
    <x v="3"/>
    <x v="401"/>
    <x v="0"/>
    <x v="1"/>
    <s v="Tienda Online"/>
    <x v="0"/>
    <n v="5"/>
    <n v="5"/>
  </r>
  <r>
    <s v="V001772"/>
    <s v="978-4-10851-877-2"/>
    <s v="El nombre del viento"/>
    <s v="Patrick Rothfuss"/>
    <x v="2"/>
    <n v="2.19"/>
    <n v="219"/>
    <n v="1"/>
    <n v="2.19"/>
    <x v="25"/>
    <x v="1"/>
    <x v="873"/>
    <x v="0"/>
    <x v="0"/>
    <s v="Librería Sevilla Triana"/>
    <x v="1"/>
    <n v="4"/>
    <n v="4"/>
  </r>
  <r>
    <s v="V001773"/>
    <s v="978-3-31417-573-6"/>
    <s v="Ana Karenina"/>
    <s v="León Tolstói"/>
    <x v="9"/>
    <n v="13.52"/>
    <n v="1352"/>
    <n v="1"/>
    <n v="13.52"/>
    <x v="16"/>
    <x v="1"/>
    <x v="631"/>
    <x v="2"/>
    <x v="1"/>
    <s v="Tienda Online"/>
    <x v="2"/>
    <n v="2"/>
    <n v="2"/>
  </r>
  <r>
    <s v="V001774"/>
    <s v="978-0-51104-158-0"/>
    <s v="Manual de cocina fácil"/>
    <s v="Karlos Arguiñano"/>
    <x v="14"/>
    <n v="14.32"/>
    <n v="1432"/>
    <n v="3"/>
    <n v="42.96"/>
    <x v="68"/>
    <x v="3"/>
    <x v="882"/>
    <x v="1"/>
    <x v="0"/>
    <s v="Librería Barcelona Gòtic"/>
    <x v="1"/>
    <n v="5"/>
    <n v="5"/>
  </r>
  <r>
    <s v="V001775"/>
    <s v="978-4-93748-619-9"/>
    <s v="Perdida"/>
    <s v="Gillian Flynn"/>
    <x v="1"/>
    <n v="1.32"/>
    <n v="132"/>
    <n v="2"/>
    <n v="2.64"/>
    <x v="27"/>
    <x v="3"/>
    <x v="779"/>
    <x v="1"/>
    <x v="1"/>
    <s v="Tienda Online"/>
    <x v="1"/>
    <n v="1"/>
    <n v="1"/>
  </r>
  <r>
    <s v="V001776"/>
    <s v="978-6-86484-508-5"/>
    <s v="Ficciones"/>
    <s v="Jorge Luis Borges"/>
    <x v="9"/>
    <n v="16.39"/>
    <n v="1639"/>
    <n v="1"/>
    <n v="16.39"/>
    <x v="10"/>
    <x v="1"/>
    <x v="883"/>
    <x v="2"/>
    <x v="1"/>
    <s v="Tienda Online"/>
    <x v="3"/>
    <n v="4"/>
    <n v="4"/>
  </r>
  <r>
    <s v="V001777"/>
    <s v="978-3-17665-693-8"/>
    <s v="La familia de Pascual Duarte"/>
    <s v="Camilo José Cela"/>
    <x v="9"/>
    <n v="13.55"/>
    <n v="1355"/>
    <n v="1"/>
    <n v="13.55"/>
    <x v="27"/>
    <x v="0"/>
    <x v="884"/>
    <x v="1"/>
    <x v="0"/>
    <s v="Librería Central Madrid"/>
    <x v="0"/>
    <n v="5"/>
    <n v="5"/>
  </r>
  <r>
    <s v="V001778"/>
    <s v="978-9-38864-107-1"/>
    <s v="James y el melocotón gigante"/>
    <s v="Roald Dahl"/>
    <x v="6"/>
    <n v="1.0900000000000001"/>
    <n v="109"/>
    <n v="1"/>
    <n v="1.0900000000000001"/>
    <x v="24"/>
    <x v="2"/>
    <x v="462"/>
    <x v="2"/>
    <x v="1"/>
    <s v="Tienda Online"/>
    <x v="0"/>
    <n v="5"/>
    <n v="5"/>
  </r>
  <r>
    <s v="V001779"/>
    <s v="978-2-63269-597-7"/>
    <s v="La chica de nieve"/>
    <s v="Javier Castillo"/>
    <x v="1"/>
    <n v="1.89"/>
    <n v="189"/>
    <n v="1"/>
    <n v="1.89"/>
    <x v="49"/>
    <x v="0"/>
    <x v="885"/>
    <x v="1"/>
    <x v="0"/>
    <s v="Librería Valencia Centro"/>
    <x v="1"/>
    <n v="4"/>
    <n v="4"/>
  </r>
  <r>
    <s v="V001780"/>
    <s v="978-9-72493-614-8"/>
    <s v="El chef en casa"/>
    <s v="Jamie Oliver"/>
    <x v="14"/>
    <n v="1.99"/>
    <n v="199"/>
    <n v="1"/>
    <n v="1.99"/>
    <x v="29"/>
    <x v="2"/>
    <x v="231"/>
    <x v="0"/>
    <x v="1"/>
    <s v="Tienda Online"/>
    <x v="3"/>
    <n v="4"/>
    <n v="4"/>
  </r>
  <r>
    <s v="V001781"/>
    <s v="978-3-99733-432-0"/>
    <s v="Don Quijote de la Mancha"/>
    <s v="Miguel de Cervantes"/>
    <x v="9"/>
    <n v="17.91"/>
    <n v="1791"/>
    <n v="2"/>
    <n v="35.82"/>
    <x v="70"/>
    <x v="2"/>
    <x v="786"/>
    <x v="2"/>
    <x v="1"/>
    <s v="Tienda Online"/>
    <x v="4"/>
    <n v="5"/>
    <n v="5"/>
  </r>
  <r>
    <s v="V001782"/>
    <s v="978-1-48469-545-2"/>
    <s v="Origen"/>
    <s v="Dan Brown"/>
    <x v="1"/>
    <n v="1.99"/>
    <n v="199"/>
    <n v="1"/>
    <n v="1.99"/>
    <x v="37"/>
    <x v="3"/>
    <x v="823"/>
    <x v="1"/>
    <x v="0"/>
    <s v="Librería Valencia Centro"/>
    <x v="3"/>
    <n v="3"/>
    <n v="3"/>
  </r>
  <r>
    <s v="V001783"/>
    <s v="978-3-17665-693-8"/>
    <s v="La familia de Pascual Duarte"/>
    <s v="Camilo José Cela"/>
    <x v="9"/>
    <n v="1.29"/>
    <n v="129"/>
    <n v="1"/>
    <n v="1.29"/>
    <x v="41"/>
    <x v="3"/>
    <x v="886"/>
    <x v="0"/>
    <x v="0"/>
    <s v="Librería Barcelona Gòtic"/>
    <x v="0"/>
    <n v="4"/>
    <n v="4"/>
  </r>
  <r>
    <s v="V001784"/>
    <s v="978-4-97684-597-3"/>
    <s v="American Gods"/>
    <s v="Neil Gaiman"/>
    <x v="2"/>
    <n v="15.92"/>
    <n v="1592"/>
    <n v="1"/>
    <n v="15.92"/>
    <x v="34"/>
    <x v="3"/>
    <x v="375"/>
    <x v="0"/>
    <x v="0"/>
    <s v="Librería Sevilla Triana"/>
    <x v="0"/>
    <n v="4"/>
    <n v="4"/>
  </r>
  <r>
    <s v="V001785"/>
    <s v="978-2-46509-573-3"/>
    <s v="La peste"/>
    <s v="Albert Camus"/>
    <x v="9"/>
    <n v="1.49"/>
    <n v="149"/>
    <n v="1"/>
    <n v="1.49"/>
    <x v="45"/>
    <x v="3"/>
    <x v="707"/>
    <x v="0"/>
    <x v="0"/>
    <s v="Librería Barcelona Gòtic"/>
    <x v="4"/>
    <n v="4"/>
    <n v="4"/>
  </r>
  <r>
    <s v="V001786"/>
    <s v="978-0-96673-333-4"/>
    <s v="Harry Potter y el prisionero de Azkaban"/>
    <s v="J.K. Rowling"/>
    <x v="8"/>
    <n v="1.69"/>
    <n v="169"/>
    <n v="2"/>
    <n v="3.38"/>
    <x v="9"/>
    <x v="1"/>
    <x v="404"/>
    <x v="0"/>
    <x v="0"/>
    <s v="Librería Gran Vía"/>
    <x v="0"/>
    <m/>
    <s v="Sin valoración"/>
  </r>
  <r>
    <s v="V001787"/>
    <s v="978-8-27342-840-9"/>
    <s v="Stardust"/>
    <s v="Neil Gaiman"/>
    <x v="2"/>
    <n v="1.59"/>
    <n v="159"/>
    <n v="1"/>
    <n v="1.59"/>
    <x v="19"/>
    <x v="1"/>
    <x v="198"/>
    <x v="0"/>
    <x v="1"/>
    <s v="Tienda Online"/>
    <x v="0"/>
    <n v="4"/>
    <n v="4"/>
  </r>
  <r>
    <s v="V001788"/>
    <s v="978-9-71953-348-7"/>
    <s v="It"/>
    <s v="Stephen King"/>
    <x v="4"/>
    <n v="19.46"/>
    <n v="1946"/>
    <n v="2"/>
    <n v="38.92"/>
    <x v="26"/>
    <x v="1"/>
    <x v="364"/>
    <x v="2"/>
    <x v="1"/>
    <s v="Tienda Online"/>
    <x v="1"/>
    <n v="5"/>
    <n v="5"/>
  </r>
  <r>
    <s v="V001789"/>
    <s v="978-8-27342-840-9"/>
    <s v="Stardust"/>
    <s v="Neil Gaiman"/>
    <x v="2"/>
    <n v="12.72"/>
    <n v="1272"/>
    <n v="3"/>
    <n v="38.160000000000004"/>
    <x v="43"/>
    <x v="0"/>
    <x v="159"/>
    <x v="2"/>
    <x v="1"/>
    <s v="Tienda Online"/>
    <x v="3"/>
    <n v="3"/>
    <n v="3"/>
  </r>
  <r>
    <s v="V001790"/>
    <s v="978-4-10851-877-2"/>
    <s v="El nombre del viento"/>
    <s v="Patrick Rothfuss"/>
    <x v="2"/>
    <n v="2.19"/>
    <n v="219"/>
    <n v="2"/>
    <n v="4.38"/>
    <x v="31"/>
    <x v="1"/>
    <x v="383"/>
    <x v="0"/>
    <x v="0"/>
    <s v="Librería Gran Vía"/>
    <x v="3"/>
    <n v="5"/>
    <n v="5"/>
  </r>
  <r>
    <s v="V001791"/>
    <s v="978-4-10851-877-2"/>
    <s v="El nombre del viento"/>
    <s v="Patrick Rothfuss"/>
    <x v="2"/>
    <n v="2.19"/>
    <n v="219"/>
    <n v="1"/>
    <n v="2.19"/>
    <x v="47"/>
    <x v="2"/>
    <x v="616"/>
    <x v="2"/>
    <x v="1"/>
    <s v="Tienda Online"/>
    <x v="2"/>
    <n v="5"/>
    <n v="5"/>
  </r>
  <r>
    <s v="V001792"/>
    <s v="978-9-38864-107-1"/>
    <s v="James y el melocotón gigante"/>
    <s v="Roald Dahl"/>
    <x v="6"/>
    <n v="1.0900000000000001"/>
    <n v="109"/>
    <n v="1"/>
    <n v="1.0900000000000001"/>
    <x v="62"/>
    <x v="0"/>
    <x v="887"/>
    <x v="0"/>
    <x v="1"/>
    <s v="Tienda Online"/>
    <x v="0"/>
    <n v="5"/>
    <n v="5"/>
  </r>
  <r>
    <s v="V001793"/>
    <s v="978-7-17100-789-1"/>
    <s v="Carrie"/>
    <s v="Stephen King"/>
    <x v="4"/>
    <n v="1.49"/>
    <n v="149"/>
    <n v="1"/>
    <n v="1.49"/>
    <x v="44"/>
    <x v="1"/>
    <x v="780"/>
    <x v="1"/>
    <x v="1"/>
    <s v="Tienda Online"/>
    <x v="2"/>
    <n v="4"/>
    <n v="4"/>
  </r>
  <r>
    <s v="V001794"/>
    <s v="978-2-17455-620-1"/>
    <s v="Cosmos"/>
    <s v="Carl Sagan"/>
    <x v="11"/>
    <n v="17.010000000000002"/>
    <n v="1701"/>
    <n v="1"/>
    <n v="17.010000000000002"/>
    <x v="16"/>
    <x v="2"/>
    <x v="197"/>
    <x v="2"/>
    <x v="1"/>
    <s v="Tienda Online"/>
    <x v="3"/>
    <n v="5"/>
    <n v="5"/>
  </r>
  <r>
    <s v="V001795"/>
    <s v="978-7-30289-294-4"/>
    <s v="Nada"/>
    <s v="Carmen Laforet"/>
    <x v="9"/>
    <n v="11.12"/>
    <n v="1112"/>
    <n v="2"/>
    <n v="22.24"/>
    <x v="63"/>
    <x v="1"/>
    <x v="452"/>
    <x v="0"/>
    <x v="1"/>
    <s v="Tienda Online"/>
    <x v="1"/>
    <n v="5"/>
    <n v="5"/>
  </r>
  <r>
    <s v="V001796"/>
    <s v="978-6-10282-499-4"/>
    <s v="Patria"/>
    <s v="Fernando Aramburu"/>
    <x v="3"/>
    <n v="1.99"/>
    <n v="199"/>
    <n v="1"/>
    <n v="1.99"/>
    <x v="54"/>
    <x v="3"/>
    <x v="95"/>
    <x v="1"/>
    <x v="1"/>
    <s v="Tienda Online"/>
    <x v="4"/>
    <n v="3"/>
    <n v="3"/>
  </r>
  <r>
    <s v="V001797"/>
    <s v="978-8-27342-840-9"/>
    <s v="Stardust"/>
    <s v="Neil Gaiman"/>
    <x v="2"/>
    <n v="14.31"/>
    <n v="1431"/>
    <n v="4"/>
    <n v="57.24"/>
    <x v="41"/>
    <x v="0"/>
    <x v="611"/>
    <x v="2"/>
    <x v="1"/>
    <s v="Tienda Online"/>
    <x v="1"/>
    <n v="3"/>
    <n v="3"/>
  </r>
  <r>
    <s v="V001798"/>
    <s v="978-3-31417-573-6"/>
    <s v="Ana Karenina"/>
    <s v="León Tolstói"/>
    <x v="9"/>
    <n v="13.52"/>
    <n v="1352"/>
    <n v="1"/>
    <n v="13.52"/>
    <x v="46"/>
    <x v="1"/>
    <x v="42"/>
    <x v="2"/>
    <x v="1"/>
    <s v="Tienda Online"/>
    <x v="3"/>
    <n v="4"/>
    <n v="4"/>
  </r>
  <r>
    <s v="V001799"/>
    <s v="978-1-13278-859-4"/>
    <s v="Cien años de soledad"/>
    <s v="Gabriel García Márquez"/>
    <x v="3"/>
    <n v="16.059999999999999"/>
    <n v="1606"/>
    <n v="2"/>
    <n v="32.119999999999997"/>
    <x v="19"/>
    <x v="3"/>
    <x v="663"/>
    <x v="0"/>
    <x v="1"/>
    <s v="Tienda Online"/>
    <x v="2"/>
    <n v="3"/>
    <n v="3"/>
  </r>
  <r>
    <s v="V001800"/>
    <s v="978-2-92240-263-6"/>
    <s v="La casa de Bernarda Alba"/>
    <s v="Federico García Lorca"/>
    <x v="17"/>
    <n v="8.42"/>
    <n v="842"/>
    <n v="1"/>
    <n v="8.42"/>
    <x v="43"/>
    <x v="0"/>
    <x v="888"/>
    <x v="2"/>
    <x v="1"/>
    <s v="Tienda Online"/>
    <x v="1"/>
    <n v="4"/>
    <n v="4"/>
  </r>
  <r>
    <s v="V001801"/>
    <s v="978-5-85674-296-1"/>
    <s v="Harry Potter y la cámara secreta"/>
    <s v="J.K. Rowling"/>
    <x v="8"/>
    <n v="14.31"/>
    <n v="1431"/>
    <n v="1"/>
    <n v="14.31"/>
    <x v="60"/>
    <x v="3"/>
    <x v="889"/>
    <x v="0"/>
    <x v="0"/>
    <s v="Librería Central Madrid"/>
    <x v="1"/>
    <n v="5"/>
    <n v="5"/>
  </r>
  <r>
    <s v="V001802"/>
    <s v="978-6-10282-499-4"/>
    <s v="Patria"/>
    <s v="Fernando Aramburu"/>
    <x v="3"/>
    <n v="1.99"/>
    <n v="199"/>
    <n v="1"/>
    <n v="1.99"/>
    <x v="30"/>
    <x v="0"/>
    <x v="483"/>
    <x v="2"/>
    <x v="1"/>
    <s v="Tienda Online"/>
    <x v="4"/>
    <n v="4"/>
    <n v="4"/>
  </r>
  <r>
    <s v="V001803"/>
    <s v="978-8-79514-100-9"/>
    <s v="La chica en la telaraña"/>
    <s v="David Lagercrantz"/>
    <x v="1"/>
    <n v="15.21"/>
    <n v="1521"/>
    <n v="1"/>
    <n v="15.21"/>
    <x v="68"/>
    <x v="3"/>
    <x v="707"/>
    <x v="0"/>
    <x v="1"/>
    <s v="Tienda Online"/>
    <x v="3"/>
    <n v="5"/>
    <n v="5"/>
  </r>
  <r>
    <s v="V001804"/>
    <s v="978-4-93748-619-9"/>
    <s v="Perdida"/>
    <s v="Gillian Flynn"/>
    <x v="1"/>
    <n v="1.32"/>
    <n v="132"/>
    <n v="1"/>
    <n v="1.32"/>
    <x v="40"/>
    <x v="0"/>
    <x v="162"/>
    <x v="0"/>
    <x v="1"/>
    <s v="Tienda Online"/>
    <x v="1"/>
    <m/>
    <s v="Sin valoración"/>
  </r>
  <r>
    <s v="V001805"/>
    <s v="978-9-44671-926-0"/>
    <s v="El Hobbit"/>
    <s v="J.R.R. Tolkien"/>
    <x v="2"/>
    <n v="18.59"/>
    <n v="1859"/>
    <n v="1"/>
    <n v="18.59"/>
    <x v="64"/>
    <x v="3"/>
    <x v="154"/>
    <x v="0"/>
    <x v="1"/>
    <s v="Tienda Online"/>
    <x v="0"/>
    <n v="4"/>
    <n v="4"/>
  </r>
  <r>
    <s v="V001806"/>
    <s v="978-3-54118-204-1"/>
    <s v="Juego de Tronos"/>
    <s v="George R.R. Martin"/>
    <x v="2"/>
    <n v="17.91"/>
    <n v="1791"/>
    <n v="1"/>
    <n v="17.91"/>
    <x v="16"/>
    <x v="2"/>
    <x v="365"/>
    <x v="2"/>
    <x v="1"/>
    <s v="Tienda Online"/>
    <x v="0"/>
    <n v="4"/>
    <n v="4"/>
  </r>
  <r>
    <s v="V001807"/>
    <s v="978-6-34957-196-1"/>
    <s v="El resplandor"/>
    <s v="Stephen King"/>
    <x v="4"/>
    <n v="1.89"/>
    <n v="189"/>
    <n v="1"/>
    <n v="1.89"/>
    <x v="57"/>
    <x v="3"/>
    <x v="890"/>
    <x v="2"/>
    <x v="1"/>
    <s v="Tienda Online"/>
    <x v="1"/>
    <n v="3"/>
    <n v="3"/>
  </r>
  <r>
    <s v="V001808"/>
    <s v="978-3-62923-222-9"/>
    <s v="El gen egoísta"/>
    <s v="Richard Dawkins"/>
    <x v="11"/>
    <n v="16.11"/>
    <n v="1611"/>
    <n v="1"/>
    <n v="16.11"/>
    <x v="66"/>
    <x v="2"/>
    <x v="740"/>
    <x v="2"/>
    <x v="1"/>
    <s v="Tienda Online"/>
    <x v="3"/>
    <n v="2"/>
    <n v="2"/>
  </r>
  <r>
    <s v="V001809"/>
    <s v="978-7-80284-227-6"/>
    <s v="El Señor de los Anillos"/>
    <s v="J.R.R. Tolkien"/>
    <x v="2"/>
    <n v="2.99"/>
    <n v="299"/>
    <n v="1"/>
    <n v="2.99"/>
    <x v="55"/>
    <x v="0"/>
    <x v="536"/>
    <x v="0"/>
    <x v="0"/>
    <s v="Librería Barcelona Gòtic"/>
    <x v="3"/>
    <n v="4"/>
    <n v="4"/>
  </r>
  <r>
    <s v="V001810"/>
    <s v="978-4-28301-352-8"/>
    <s v="El prisionero del cielo"/>
    <s v="Carlos Ruiz Zafón"/>
    <x v="3"/>
    <n v="15.21"/>
    <n v="1521"/>
    <n v="2"/>
    <n v="30.42"/>
    <x v="35"/>
    <x v="2"/>
    <x v="68"/>
    <x v="2"/>
    <x v="1"/>
    <s v="Tienda Online"/>
    <x v="0"/>
    <n v="3"/>
    <n v="3"/>
  </r>
  <r>
    <s v="V001811"/>
    <s v="978-6-10282-499-4"/>
    <s v="Patria"/>
    <s v="Fernando Aramburu"/>
    <x v="3"/>
    <n v="1.99"/>
    <n v="199"/>
    <n v="2"/>
    <n v="3.98"/>
    <x v="64"/>
    <x v="2"/>
    <x v="594"/>
    <x v="1"/>
    <x v="1"/>
    <s v="Tienda Online"/>
    <x v="1"/>
    <n v="4"/>
    <n v="4"/>
  </r>
  <r>
    <s v="V001812"/>
    <s v="978-3-50857-508-5"/>
    <s v="Piense y hágase rico"/>
    <s v="Napoleon Hill"/>
    <x v="5"/>
    <n v="1.39"/>
    <n v="139"/>
    <n v="2"/>
    <n v="2.78"/>
    <x v="33"/>
    <x v="0"/>
    <x v="124"/>
    <x v="2"/>
    <x v="1"/>
    <s v="Tienda Online"/>
    <x v="4"/>
    <n v="5"/>
    <n v="5"/>
  </r>
  <r>
    <s v="V001813"/>
    <s v="978-4-93886-804-8"/>
    <s v="Guerra y paz"/>
    <s v="León Tolstói"/>
    <x v="9"/>
    <n v="27.39"/>
    <n v="2739"/>
    <n v="1"/>
    <n v="27.39"/>
    <x v="38"/>
    <x v="2"/>
    <x v="389"/>
    <x v="1"/>
    <x v="1"/>
    <s v="Tienda Online"/>
    <x v="2"/>
    <m/>
    <s v="Sin valoración"/>
  </r>
  <r>
    <s v="V001814"/>
    <s v="978-7-77839-562-1"/>
    <s v="El principito"/>
    <s v="Antoine de Saint-Exupéry"/>
    <x v="6"/>
    <n v="8.42"/>
    <n v="842"/>
    <n v="1"/>
    <n v="8.42"/>
    <x v="58"/>
    <x v="3"/>
    <x v="891"/>
    <x v="0"/>
    <x v="1"/>
    <s v="Tienda Online"/>
    <x v="3"/>
    <n v="5"/>
    <n v="5"/>
  </r>
  <r>
    <s v="V001815"/>
    <s v="978-3-97782-833-5"/>
    <s v="V de Vendetta"/>
    <s v="Alan Moore"/>
    <x v="10"/>
    <n v="19.84"/>
    <n v="1984"/>
    <n v="1"/>
    <n v="19.84"/>
    <x v="44"/>
    <x v="2"/>
    <x v="892"/>
    <x v="2"/>
    <x v="1"/>
    <s v="Tienda Online"/>
    <x v="0"/>
    <n v="5"/>
    <n v="5"/>
  </r>
  <r>
    <s v="V001816"/>
    <s v="978-0-40007-169-0"/>
    <s v="El Principito ilustrado"/>
    <s v="Antoine de Saint-Exupéry"/>
    <x v="6"/>
    <n v="17.489999999999998"/>
    <n v="1749"/>
    <n v="1"/>
    <n v="17.489999999999998"/>
    <x v="9"/>
    <x v="1"/>
    <x v="642"/>
    <x v="2"/>
    <x v="1"/>
    <s v="Tienda Online"/>
    <x v="4"/>
    <n v="5"/>
    <n v="5"/>
  </r>
  <r>
    <s v="V001817"/>
    <s v="978-1-16630-767-8"/>
    <s v="Los pilares de la Tierra"/>
    <s v="Ken Follett"/>
    <x v="16"/>
    <n v="2.2999999999999998"/>
    <n v="230"/>
    <n v="1"/>
    <n v="2.2999999999999998"/>
    <x v="69"/>
    <x v="3"/>
    <x v="668"/>
    <x v="1"/>
    <x v="0"/>
    <s v="Librería Valencia Centro"/>
    <x v="1"/>
    <n v="4"/>
    <n v="4"/>
  </r>
  <r>
    <s v="V001818"/>
    <s v="978-5-19287-626-3"/>
    <s v="Coraline"/>
    <s v="Neil Gaiman"/>
    <x v="8"/>
    <n v="1.39"/>
    <n v="139"/>
    <n v="1"/>
    <n v="1.39"/>
    <x v="60"/>
    <x v="0"/>
    <x v="580"/>
    <x v="2"/>
    <x v="1"/>
    <s v="Tienda Online"/>
    <x v="1"/>
    <n v="4"/>
    <n v="4"/>
  </r>
  <r>
    <s v="V001819"/>
    <s v="978-5-50306-345-0"/>
    <s v="Homo Deus"/>
    <s v="Yuval Noah Harari"/>
    <x v="15"/>
    <n v="19.71"/>
    <n v="1971"/>
    <n v="1"/>
    <n v="19.71"/>
    <x v="34"/>
    <x v="1"/>
    <x v="671"/>
    <x v="0"/>
    <x v="1"/>
    <s v="Tienda Online"/>
    <x v="1"/>
    <n v="4"/>
    <n v="4"/>
  </r>
  <r>
    <s v="V001820"/>
    <s v="978-0-87110-667-3"/>
    <s v="Charlie y la fábrica de chocolate"/>
    <s v="Roald Dahl"/>
    <x v="6"/>
    <n v="1.19"/>
    <n v="119"/>
    <n v="1"/>
    <n v="1.19"/>
    <x v="11"/>
    <x v="3"/>
    <x v="205"/>
    <x v="2"/>
    <x v="1"/>
    <s v="Tienda Online"/>
    <x v="0"/>
    <m/>
    <s v="Sin valoración"/>
  </r>
  <r>
    <s v="V001821"/>
    <s v="978-2-18981-709-1"/>
    <s v="Una breve historia del tiempo"/>
    <s v="Stephen Hawking"/>
    <x v="11"/>
    <n v="17.75"/>
    <n v="1775"/>
    <n v="1"/>
    <n v="17.75"/>
    <x v="41"/>
    <x v="1"/>
    <x v="193"/>
    <x v="0"/>
    <x v="1"/>
    <s v="Tienda Online"/>
    <x v="4"/>
    <n v="3"/>
    <n v="3"/>
  </r>
  <r>
    <s v="V001822"/>
    <s v="978-5-74042-119-1"/>
    <s v="Sapiens"/>
    <s v="Yuval Noah Harari"/>
    <x v="15"/>
    <n v="18.61"/>
    <n v="1861"/>
    <n v="1"/>
    <n v="18.61"/>
    <x v="5"/>
    <x v="2"/>
    <x v="409"/>
    <x v="2"/>
    <x v="1"/>
    <s v="Tienda Online"/>
    <x v="3"/>
    <n v="4"/>
    <n v="4"/>
  </r>
  <r>
    <s v="V001823"/>
    <s v="978-3-97782-833-5"/>
    <s v="V de Vendetta"/>
    <s v="Alan Moore"/>
    <x v="10"/>
    <n v="16.059999999999999"/>
    <n v="1606"/>
    <n v="1"/>
    <n v="16.059999999999999"/>
    <x v="39"/>
    <x v="1"/>
    <x v="607"/>
    <x v="2"/>
    <x v="1"/>
    <s v="Tienda Online"/>
    <x v="2"/>
    <m/>
    <s v="Sin valoración"/>
  </r>
  <r>
    <s v="V001824"/>
    <s v="978-4-93748-619-9"/>
    <s v="Perdida"/>
    <s v="Gillian Flynn"/>
    <x v="1"/>
    <n v="18.149999999999999"/>
    <n v="1815"/>
    <n v="2"/>
    <n v="36.299999999999997"/>
    <x v="26"/>
    <x v="3"/>
    <x v="893"/>
    <x v="2"/>
    <x v="1"/>
    <s v="Tienda Online"/>
    <x v="0"/>
    <n v="1"/>
    <n v="1"/>
  </r>
  <r>
    <s v="V001825"/>
    <s v="978-9-44671-926-0"/>
    <s v="El Hobbit"/>
    <s v="J.R.R. Tolkien"/>
    <x v="2"/>
    <n v="17.75"/>
    <n v="1775"/>
    <n v="1"/>
    <n v="17.75"/>
    <x v="31"/>
    <x v="3"/>
    <x v="289"/>
    <x v="0"/>
    <x v="1"/>
    <s v="Tienda Online"/>
    <x v="3"/>
    <n v="5"/>
    <n v="5"/>
  </r>
  <r>
    <s v="V001826"/>
    <s v="978-8-36062-833-8"/>
    <s v="Crónicas marcianas"/>
    <s v="Ray Bradbury"/>
    <x v="12"/>
    <n v="12.16"/>
    <n v="1216"/>
    <n v="1"/>
    <n v="12.16"/>
    <x v="25"/>
    <x v="3"/>
    <x v="578"/>
    <x v="2"/>
    <x v="1"/>
    <s v="Tienda Online"/>
    <x v="0"/>
    <n v="2"/>
    <n v="2"/>
  </r>
  <r>
    <s v="V001827"/>
    <s v="978-9-78522-423-4"/>
    <s v="Maus"/>
    <s v="Art Spiegelman"/>
    <x v="10"/>
    <n v="14.36"/>
    <n v="1436"/>
    <n v="1"/>
    <n v="14.36"/>
    <x v="46"/>
    <x v="3"/>
    <x v="486"/>
    <x v="2"/>
    <x v="1"/>
    <s v="Tienda Online"/>
    <x v="1"/>
    <n v="4"/>
    <n v="4"/>
  </r>
  <r>
    <s v="V001828"/>
    <s v="978-9-18326-494-6"/>
    <s v="Romancero gitano"/>
    <s v="Federico García Lorca"/>
    <x v="7"/>
    <n v="11.45"/>
    <n v="1145"/>
    <n v="1"/>
    <n v="11.45"/>
    <x v="44"/>
    <x v="3"/>
    <x v="19"/>
    <x v="1"/>
    <x v="0"/>
    <s v="Librería Central Madrid"/>
    <x v="2"/>
    <n v="4"/>
    <n v="4"/>
  </r>
  <r>
    <s v="V001829"/>
    <s v="978-0-51104-158-0"/>
    <s v="Manual de cocina fácil"/>
    <s v="Karlos Arguiñano"/>
    <x v="14"/>
    <n v="18.79"/>
    <n v="1879"/>
    <n v="2"/>
    <n v="37.58"/>
    <x v="22"/>
    <x v="2"/>
    <x v="719"/>
    <x v="1"/>
    <x v="0"/>
    <s v="Librería Valencia Centro"/>
    <x v="4"/>
    <n v="5"/>
    <n v="5"/>
  </r>
  <r>
    <s v="V001830"/>
    <s v="978-1-16630-767-8"/>
    <s v="Los pilares de la Tierra"/>
    <s v="Ken Follett"/>
    <x v="16"/>
    <n v="2.19"/>
    <n v="219"/>
    <n v="1"/>
    <n v="2.19"/>
    <x v="7"/>
    <x v="0"/>
    <x v="894"/>
    <x v="1"/>
    <x v="1"/>
    <s v="Tienda Online"/>
    <x v="1"/>
    <n v="3"/>
    <n v="3"/>
  </r>
  <r>
    <s v="V001831"/>
    <s v="978-6-86484-508-5"/>
    <s v="Ficciones"/>
    <s v="Jorge Luis Borges"/>
    <x v="9"/>
    <n v="1.49"/>
    <n v="149"/>
    <n v="1"/>
    <n v="1.49"/>
    <x v="38"/>
    <x v="0"/>
    <x v="507"/>
    <x v="2"/>
    <x v="1"/>
    <s v="Tienda Online"/>
    <x v="0"/>
    <n v="4"/>
    <n v="4"/>
  </r>
  <r>
    <s v="V001832"/>
    <s v="978-3-84364-180-1"/>
    <s v="21 lecciones para el siglo XXI"/>
    <s v="Yuval Noah Harari"/>
    <x v="15"/>
    <n v="21.89"/>
    <n v="2189"/>
    <n v="1"/>
    <n v="21.89"/>
    <x v="17"/>
    <x v="0"/>
    <x v="73"/>
    <x v="2"/>
    <x v="1"/>
    <s v="Tienda Online"/>
    <x v="4"/>
    <n v="5"/>
    <n v="5"/>
  </r>
  <r>
    <s v="V001833"/>
    <s v="978-3-28131-621-7"/>
    <s v="El Aleph"/>
    <s v="Jorge Luis Borges"/>
    <x v="9"/>
    <n v="12.51"/>
    <n v="1251"/>
    <n v="2"/>
    <n v="25.02"/>
    <x v="26"/>
    <x v="2"/>
    <x v="352"/>
    <x v="1"/>
    <x v="1"/>
    <s v="Tienda Online"/>
    <x v="2"/>
    <n v="5"/>
    <n v="5"/>
  </r>
  <r>
    <s v="V001834"/>
    <s v="978-3-39256-242-1"/>
    <s v="El amor en los tiempos del cólera"/>
    <s v="Gabriel García Márquez"/>
    <x v="3"/>
    <n v="14.88"/>
    <n v="1488"/>
    <n v="1"/>
    <n v="14.88"/>
    <x v="40"/>
    <x v="3"/>
    <x v="654"/>
    <x v="2"/>
    <x v="1"/>
    <s v="Tienda Online"/>
    <x v="0"/>
    <n v="5"/>
    <n v="5"/>
  </r>
  <r>
    <s v="V001835"/>
    <s v="978-8-33416-619-1"/>
    <s v="La chica del tren"/>
    <s v="Paula Hawkins"/>
    <x v="1"/>
    <n v="1.59"/>
    <n v="159"/>
    <n v="2"/>
    <n v="3.18"/>
    <x v="16"/>
    <x v="0"/>
    <x v="288"/>
    <x v="1"/>
    <x v="0"/>
    <s v="Librería Central Madrid"/>
    <x v="0"/>
    <n v="4"/>
    <n v="4"/>
  </r>
  <r>
    <s v="V001836"/>
    <s v="978-3-50857-508-5"/>
    <s v="Piense y hágase rico"/>
    <s v="Napoleon Hill"/>
    <x v="5"/>
    <n v="11.81"/>
    <n v="1181"/>
    <n v="1"/>
    <n v="11.81"/>
    <x v="57"/>
    <x v="2"/>
    <x v="895"/>
    <x v="0"/>
    <x v="1"/>
    <s v="Tienda Online"/>
    <x v="4"/>
    <n v="3"/>
    <n v="3"/>
  </r>
  <r>
    <s v="V001837"/>
    <s v="978-3-30032-482-2"/>
    <s v="Los hombres que no amaban a las mujeres"/>
    <s v="Stieg Larsson"/>
    <x v="1"/>
    <n v="1.79"/>
    <n v="179"/>
    <n v="1"/>
    <n v="1.79"/>
    <x v="31"/>
    <x v="1"/>
    <x v="274"/>
    <x v="1"/>
    <x v="0"/>
    <s v="Librería Barcelona Gòtic"/>
    <x v="0"/>
    <n v="5"/>
    <n v="5"/>
  </r>
  <r>
    <s v="V001838"/>
    <s v="978-4-10851-877-2"/>
    <s v="El nombre del viento"/>
    <s v="Patrick Rothfuss"/>
    <x v="2"/>
    <n v="2.19"/>
    <n v="219"/>
    <n v="1"/>
    <n v="2.19"/>
    <x v="5"/>
    <x v="1"/>
    <x v="896"/>
    <x v="1"/>
    <x v="0"/>
    <s v="Librería Central Madrid"/>
    <x v="0"/>
    <n v="4"/>
    <n v="4"/>
  </r>
  <r>
    <s v="V001839"/>
    <s v="978-3-76237-716-0"/>
    <s v="Fahrenheit 451"/>
    <s v="Ray Bradbury"/>
    <x v="12"/>
    <n v="1.46"/>
    <n v="146"/>
    <n v="2"/>
    <n v="2.92"/>
    <x v="57"/>
    <x v="2"/>
    <x v="253"/>
    <x v="2"/>
    <x v="1"/>
    <s v="Tienda Online"/>
    <x v="3"/>
    <n v="2"/>
    <n v="2"/>
  </r>
  <r>
    <s v="V001840"/>
    <s v="978-3-17665-693-8"/>
    <s v="La familia de Pascual Duarte"/>
    <s v="Camilo José Cela"/>
    <x v="9"/>
    <n v="1.29"/>
    <n v="129"/>
    <n v="1"/>
    <n v="1.29"/>
    <x v="50"/>
    <x v="2"/>
    <x v="743"/>
    <x v="1"/>
    <x v="0"/>
    <s v="Librería Central Madrid"/>
    <x v="4"/>
    <n v="1"/>
    <n v="1"/>
  </r>
  <r>
    <s v="V001841"/>
    <s v="978-0-13905-195-3"/>
    <s v="Rebelión en la granja"/>
    <s v="George Orwell"/>
    <x v="3"/>
    <n v="13.75"/>
    <n v="1375"/>
    <n v="1"/>
    <n v="13.75"/>
    <x v="1"/>
    <x v="2"/>
    <x v="137"/>
    <x v="0"/>
    <x v="1"/>
    <s v="Tienda Online"/>
    <x v="4"/>
    <n v="4"/>
    <n v="4"/>
  </r>
  <r>
    <s v="V001842"/>
    <s v="978-1-48469-545-2"/>
    <s v="Origen"/>
    <s v="Dan Brown"/>
    <x v="1"/>
    <n v="20.89"/>
    <n v="2089"/>
    <n v="1"/>
    <n v="20.89"/>
    <x v="38"/>
    <x v="2"/>
    <x v="897"/>
    <x v="1"/>
    <x v="0"/>
    <s v="Librería Valencia Centro"/>
    <x v="3"/>
    <n v="3"/>
    <n v="3"/>
  </r>
  <r>
    <s v="V001843"/>
    <s v="978-9-38864-107-1"/>
    <s v="James y el melocotón gigante"/>
    <s v="Roald Dahl"/>
    <x v="6"/>
    <n v="11.45"/>
    <n v="1145"/>
    <n v="1"/>
    <n v="11.45"/>
    <x v="52"/>
    <x v="3"/>
    <x v="390"/>
    <x v="2"/>
    <x v="1"/>
    <s v="Tienda Online"/>
    <x v="2"/>
    <n v="4"/>
    <n v="4"/>
  </r>
  <r>
    <s v="V001844"/>
    <s v="978-8-79514-100-9"/>
    <s v="La chica en la telaraña"/>
    <s v="David Lagercrantz"/>
    <x v="1"/>
    <n v="16.11"/>
    <n v="1611"/>
    <n v="1"/>
    <n v="16.11"/>
    <x v="23"/>
    <x v="1"/>
    <x v="377"/>
    <x v="2"/>
    <x v="1"/>
    <s v="Tienda Online"/>
    <x v="0"/>
    <n v="1"/>
    <n v="1"/>
  </r>
  <r>
    <s v="V001845"/>
    <s v="978-1-42591-296-3"/>
    <s v="Frankenstein"/>
    <s v="Mary Shelley"/>
    <x v="4"/>
    <n v="1.19"/>
    <n v="119"/>
    <n v="2"/>
    <n v="2.38"/>
    <x v="66"/>
    <x v="0"/>
    <x v="898"/>
    <x v="0"/>
    <x v="1"/>
    <s v="Tienda Online"/>
    <x v="0"/>
    <n v="5"/>
    <n v="5"/>
  </r>
  <r>
    <s v="V001846"/>
    <s v="978-4-10851-877-2"/>
    <s v="El nombre del viento"/>
    <s v="Patrick Rothfuss"/>
    <x v="2"/>
    <n v="2.2999999999999998"/>
    <n v="230"/>
    <n v="2"/>
    <n v="4.5999999999999996"/>
    <x v="30"/>
    <x v="2"/>
    <x v="486"/>
    <x v="0"/>
    <x v="1"/>
    <s v="Tienda Online"/>
    <x v="1"/>
    <n v="4"/>
    <n v="4"/>
  </r>
  <r>
    <s v="V001847"/>
    <s v="978-8-68800-243-6"/>
    <s v="El extranjero"/>
    <s v="Albert Camus"/>
    <x v="9"/>
    <n v="11.61"/>
    <n v="1161"/>
    <n v="1"/>
    <n v="11.61"/>
    <x v="16"/>
    <x v="0"/>
    <x v="899"/>
    <x v="2"/>
    <x v="1"/>
    <s v="Tienda Online"/>
    <x v="0"/>
    <n v="4"/>
    <n v="4"/>
  </r>
  <r>
    <s v="V001848"/>
    <s v="978-7-30289-294-4"/>
    <s v="Nada"/>
    <s v="Carmen Laforet"/>
    <x v="9"/>
    <n v="11.12"/>
    <n v="1112"/>
    <n v="1"/>
    <n v="11.12"/>
    <x v="14"/>
    <x v="3"/>
    <x v="581"/>
    <x v="1"/>
    <x v="1"/>
    <s v="Tienda Online"/>
    <x v="4"/>
    <n v="5"/>
    <n v="5"/>
  </r>
  <r>
    <s v="V001849"/>
    <s v="978-8-27342-840-9"/>
    <s v="Stardust"/>
    <s v="Neil Gaiman"/>
    <x v="2"/>
    <n v="1.59"/>
    <n v="159"/>
    <n v="2"/>
    <n v="3.18"/>
    <x v="5"/>
    <x v="1"/>
    <x v="429"/>
    <x v="0"/>
    <x v="0"/>
    <s v="Librería Barcelona Gòtic"/>
    <x v="3"/>
    <n v="5"/>
    <n v="5"/>
  </r>
  <r>
    <s v="V001850"/>
    <s v="978-3-76237-716-0"/>
    <s v="Fahrenheit 451"/>
    <s v="Ray Bradbury"/>
    <x v="12"/>
    <n v="1.39"/>
    <n v="139"/>
    <n v="1"/>
    <n v="1.39"/>
    <x v="47"/>
    <x v="2"/>
    <x v="731"/>
    <x v="1"/>
    <x v="1"/>
    <s v="Tienda Online"/>
    <x v="3"/>
    <n v="5"/>
    <n v="5"/>
  </r>
  <r>
    <s v="V001851"/>
    <s v="978-9-44671-926-0"/>
    <s v="El Hobbit"/>
    <s v="J.R.R. Tolkien"/>
    <x v="2"/>
    <n v="1.69"/>
    <n v="169"/>
    <n v="1"/>
    <n v="1.69"/>
    <x v="17"/>
    <x v="2"/>
    <x v="354"/>
    <x v="2"/>
    <x v="1"/>
    <s v="Tienda Online"/>
    <x v="0"/>
    <n v="5"/>
    <n v="5"/>
  </r>
  <r>
    <s v="V001852"/>
    <s v="978-1-16175-981-1"/>
    <s v="Pedro Páramo"/>
    <s v="Juan Rulfo"/>
    <x v="9"/>
    <n v="1.29"/>
    <n v="129"/>
    <n v="1"/>
    <n v="1.29"/>
    <x v="46"/>
    <x v="0"/>
    <x v="900"/>
    <x v="1"/>
    <x v="1"/>
    <s v="Tienda Online"/>
    <x v="2"/>
    <n v="4"/>
    <n v="4"/>
  </r>
  <r>
    <s v="V001853"/>
    <s v="978-4-99593-763-1"/>
    <s v="Crimen y castigo"/>
    <s v="Fiódor Dostoyevski"/>
    <x v="9"/>
    <n v="11.61"/>
    <n v="1161"/>
    <n v="2"/>
    <n v="23.22"/>
    <x v="41"/>
    <x v="3"/>
    <x v="901"/>
    <x v="1"/>
    <x v="1"/>
    <s v="Tienda Online"/>
    <x v="0"/>
    <m/>
    <s v="Sin valoración"/>
  </r>
  <r>
    <s v="V001854"/>
    <s v="978-8-68800-243-6"/>
    <s v="El extranjero"/>
    <s v="Albert Camus"/>
    <x v="9"/>
    <n v="10.96"/>
    <n v="1096"/>
    <n v="1"/>
    <n v="10.96"/>
    <x v="3"/>
    <x v="3"/>
    <x v="362"/>
    <x v="1"/>
    <x v="0"/>
    <s v="Librería Sevilla Triana"/>
    <x v="1"/>
    <n v="5"/>
    <n v="5"/>
  </r>
  <r>
    <s v="V001855"/>
    <s v="978-3-28131-621-7"/>
    <s v="El Aleph"/>
    <s v="Jorge Luis Borges"/>
    <x v="9"/>
    <n v="12.51"/>
    <n v="1251"/>
    <n v="1"/>
    <n v="12.51"/>
    <x v="44"/>
    <x v="0"/>
    <x v="707"/>
    <x v="1"/>
    <x v="1"/>
    <s v="Tienda Online"/>
    <x v="3"/>
    <n v="2"/>
    <n v="2"/>
  </r>
  <r>
    <s v="V001856"/>
    <s v="978-1-16175-981-1"/>
    <s v="Pedro Páramo"/>
    <s v="Juan Rulfo"/>
    <x v="9"/>
    <n v="10.96"/>
    <n v="1096"/>
    <n v="3"/>
    <n v="32.880000000000003"/>
    <x v="40"/>
    <x v="1"/>
    <x v="842"/>
    <x v="1"/>
    <x v="1"/>
    <s v="Tienda Online"/>
    <x v="1"/>
    <n v="5"/>
    <n v="5"/>
  </r>
  <r>
    <s v="V001857"/>
    <s v="978-3-28131-621-7"/>
    <s v="El Aleph"/>
    <s v="Jorge Luis Borges"/>
    <x v="9"/>
    <n v="1.39"/>
    <n v="139"/>
    <n v="1"/>
    <n v="1.39"/>
    <x v="55"/>
    <x v="3"/>
    <x v="691"/>
    <x v="1"/>
    <x v="1"/>
    <s v="Tienda Online"/>
    <x v="3"/>
    <n v="5"/>
    <n v="5"/>
  </r>
  <r>
    <s v="V001858"/>
    <s v="978-6-94259-569-2"/>
    <s v="El juego del ángel"/>
    <s v="Carlos Ruiz Zafón"/>
    <x v="3"/>
    <n v="1.85"/>
    <n v="185"/>
    <n v="2"/>
    <n v="3.7"/>
    <x v="54"/>
    <x v="1"/>
    <x v="571"/>
    <x v="2"/>
    <x v="1"/>
    <s v="Tienda Online"/>
    <x v="3"/>
    <n v="4"/>
    <n v="4"/>
  </r>
  <r>
    <s v="V001859"/>
    <s v="978-8-33416-619-1"/>
    <s v="La chica del tren"/>
    <s v="Paula Hawkins"/>
    <x v="1"/>
    <n v="1.67"/>
    <n v="167"/>
    <n v="1"/>
    <n v="1.67"/>
    <x v="19"/>
    <x v="0"/>
    <x v="212"/>
    <x v="0"/>
    <x v="0"/>
    <s v="Librería Gran Vía"/>
    <x v="4"/>
    <n v="5"/>
    <n v="5"/>
  </r>
  <r>
    <s v="V001860"/>
    <s v="978-7-30289-294-4"/>
    <s v="Nada"/>
    <s v="Carmen Laforet"/>
    <x v="9"/>
    <n v="11.12"/>
    <n v="1112"/>
    <n v="2"/>
    <n v="22.24"/>
    <x v="60"/>
    <x v="0"/>
    <x v="902"/>
    <x v="0"/>
    <x v="0"/>
    <s v="Librería Sevilla Triana"/>
    <x v="0"/>
    <n v="4"/>
    <n v="4"/>
  </r>
  <r>
    <s v="V001861"/>
    <s v="978-0-62772-845-5"/>
    <s v="Drácula"/>
    <s v="Bram Stoker"/>
    <x v="4"/>
    <n v="11.61"/>
    <n v="1161"/>
    <n v="1"/>
    <n v="11.61"/>
    <x v="10"/>
    <x v="2"/>
    <x v="261"/>
    <x v="2"/>
    <x v="1"/>
    <s v="Tienda Online"/>
    <x v="4"/>
    <n v="3"/>
    <n v="3"/>
  </r>
  <r>
    <s v="V001862"/>
    <s v="978-0-62772-845-5"/>
    <s v="Drácula"/>
    <s v="Bram Stoker"/>
    <x v="4"/>
    <n v="1.29"/>
    <n v="129"/>
    <n v="1"/>
    <n v="1.29"/>
    <x v="23"/>
    <x v="1"/>
    <x v="496"/>
    <x v="2"/>
    <x v="1"/>
    <s v="Tienda Online"/>
    <x v="0"/>
    <n v="3"/>
    <n v="3"/>
  </r>
  <r>
    <s v="V001863"/>
    <s v="978-3-99733-432-0"/>
    <s v="Don Quijote de la Mancha"/>
    <s v="Miguel de Cervantes"/>
    <x v="9"/>
    <n v="17.91"/>
    <n v="1791"/>
    <n v="1"/>
    <n v="17.91"/>
    <x v="13"/>
    <x v="0"/>
    <x v="261"/>
    <x v="1"/>
    <x v="0"/>
    <s v="Librería Gran Vía"/>
    <x v="0"/>
    <m/>
    <s v="Sin valoración"/>
  </r>
  <r>
    <s v="V001864"/>
    <s v="978-3-39451-165-5"/>
    <s v="Matilda"/>
    <s v="Roald Dahl"/>
    <x v="6"/>
    <n v="1.19"/>
    <n v="119"/>
    <n v="1"/>
    <n v="1.19"/>
    <x v="61"/>
    <x v="3"/>
    <x v="29"/>
    <x v="0"/>
    <x v="0"/>
    <s v="Librería Barcelona Gòtic"/>
    <x v="0"/>
    <n v="2"/>
    <n v="2"/>
  </r>
  <r>
    <s v="V001865"/>
    <s v="978-6-54597-384-2"/>
    <s v="El temor de un hombre sabio"/>
    <s v="Patrick Rothfuss"/>
    <x v="2"/>
    <n v="2.4900000000000002"/>
    <n v="249"/>
    <n v="1"/>
    <n v="2.4900000000000002"/>
    <x v="4"/>
    <x v="1"/>
    <x v="903"/>
    <x v="1"/>
    <x v="0"/>
    <s v="Librería Central Madrid"/>
    <x v="2"/>
    <n v="5"/>
    <n v="5"/>
  </r>
  <r>
    <s v="V001866"/>
    <s v="978-8-44438-864-9"/>
    <s v="Rayuela"/>
    <s v="Julio Cortázar"/>
    <x v="9"/>
    <n v="17.75"/>
    <n v="1775"/>
    <n v="1"/>
    <n v="17.75"/>
    <x v="4"/>
    <x v="1"/>
    <x v="904"/>
    <x v="2"/>
    <x v="1"/>
    <s v="Tienda Online"/>
    <x v="0"/>
    <n v="5"/>
    <n v="5"/>
  </r>
  <r>
    <s v="V001867"/>
    <s v="978-8-79514-100-9"/>
    <s v="La chica en la telaraña"/>
    <s v="David Lagercrantz"/>
    <x v="1"/>
    <n v="1.79"/>
    <n v="179"/>
    <n v="2"/>
    <n v="3.58"/>
    <x v="39"/>
    <x v="1"/>
    <x v="308"/>
    <x v="2"/>
    <x v="1"/>
    <s v="Tienda Online"/>
    <x v="0"/>
    <n v="5"/>
    <n v="5"/>
  </r>
  <r>
    <s v="V001868"/>
    <s v="978-7-30289-294-4"/>
    <s v="Nada"/>
    <s v="Carmen Laforet"/>
    <x v="9"/>
    <n v="12.51"/>
    <n v="1251"/>
    <n v="1"/>
    <n v="12.51"/>
    <x v="38"/>
    <x v="0"/>
    <x v="745"/>
    <x v="0"/>
    <x v="1"/>
    <s v="Tienda Online"/>
    <x v="4"/>
    <n v="4"/>
    <n v="4"/>
  </r>
  <r>
    <s v="V001869"/>
    <s v="978-6-34957-196-1"/>
    <s v="El resplandor"/>
    <s v="Stephen King"/>
    <x v="4"/>
    <n v="1.89"/>
    <n v="189"/>
    <n v="1"/>
    <n v="1.89"/>
    <x v="10"/>
    <x v="3"/>
    <x v="487"/>
    <x v="0"/>
    <x v="1"/>
    <s v="Tienda Online"/>
    <x v="2"/>
    <n v="3"/>
    <n v="3"/>
  </r>
  <r>
    <s v="V001870"/>
    <s v="978-3-54118-204-1"/>
    <s v="Juego de Tronos"/>
    <s v="George R.R. Martin"/>
    <x v="2"/>
    <n v="1.99"/>
    <n v="199"/>
    <n v="1"/>
    <n v="1.99"/>
    <x v="22"/>
    <x v="1"/>
    <x v="548"/>
    <x v="2"/>
    <x v="1"/>
    <s v="Tienda Online"/>
    <x v="3"/>
    <n v="5"/>
    <n v="5"/>
  </r>
  <r>
    <s v="V001871"/>
    <s v="978-1-48469-545-2"/>
    <s v="Origen"/>
    <s v="Dan Brown"/>
    <x v="1"/>
    <n v="20.89"/>
    <n v="2089"/>
    <n v="1"/>
    <n v="20.89"/>
    <x v="48"/>
    <x v="2"/>
    <x v="704"/>
    <x v="1"/>
    <x v="1"/>
    <s v="Tienda Online"/>
    <x v="1"/>
    <n v="3"/>
    <n v="3"/>
  </r>
  <r>
    <s v="V001872"/>
    <s v="978-1-13278-859-4"/>
    <s v="Cien años de soledad"/>
    <s v="Gabriel García Márquez"/>
    <x v="3"/>
    <n v="19.84"/>
    <n v="1984"/>
    <n v="1"/>
    <n v="19.84"/>
    <x v="60"/>
    <x v="0"/>
    <x v="837"/>
    <x v="1"/>
    <x v="0"/>
    <s v="Librería Central Madrid"/>
    <x v="1"/>
    <n v="5"/>
    <n v="5"/>
  </r>
  <r>
    <s v="V001873"/>
    <s v="978-7-80284-227-6"/>
    <s v="El Señor de los Anillos"/>
    <s v="J.R.R. Tolkien"/>
    <x v="2"/>
    <n v="2.99"/>
    <n v="299"/>
    <n v="1"/>
    <n v="2.99"/>
    <x v="0"/>
    <x v="0"/>
    <x v="447"/>
    <x v="0"/>
    <x v="0"/>
    <s v="Librería Central Madrid"/>
    <x v="3"/>
    <n v="3"/>
    <n v="3"/>
  </r>
  <r>
    <s v="V001874"/>
    <s v="978-3-85880-708-0"/>
    <s v="Persépolis"/>
    <s v="Marjane Satrapi"/>
    <x v="10"/>
    <n v="1.59"/>
    <n v="159"/>
    <n v="2"/>
    <n v="3.18"/>
    <x v="16"/>
    <x v="0"/>
    <x v="544"/>
    <x v="0"/>
    <x v="0"/>
    <s v="Librería Sevilla Triana"/>
    <x v="0"/>
    <n v="1"/>
    <n v="1"/>
  </r>
  <r>
    <s v="V001875"/>
    <s v="978-3-84364-180-1"/>
    <s v="21 lecciones para el siglo XXI"/>
    <s v="Yuval Noah Harari"/>
    <x v="15"/>
    <n v="1.99"/>
    <n v="199"/>
    <n v="1"/>
    <n v="1.99"/>
    <x v="55"/>
    <x v="3"/>
    <x v="430"/>
    <x v="2"/>
    <x v="1"/>
    <s v="Tienda Online"/>
    <x v="4"/>
    <n v="4"/>
    <n v="4"/>
  </r>
  <r>
    <s v="V001876"/>
    <s v="978-9-20745-529-9"/>
    <s v="Watchmen"/>
    <s v="Alan Moore"/>
    <x v="10"/>
    <n v="24.09"/>
    <n v="2409"/>
    <n v="1"/>
    <n v="24.09"/>
    <x v="65"/>
    <x v="3"/>
    <x v="866"/>
    <x v="0"/>
    <x v="1"/>
    <s v="Tienda Online"/>
    <x v="3"/>
    <m/>
    <s v="Sin valoración"/>
  </r>
  <r>
    <s v="V001877"/>
    <s v="978-6-86484-508-5"/>
    <s v="Ficciones"/>
    <s v="Jorge Luis Borges"/>
    <x v="9"/>
    <n v="1.49"/>
    <n v="149"/>
    <n v="2"/>
    <n v="2.98"/>
    <x v="13"/>
    <x v="1"/>
    <x v="776"/>
    <x v="2"/>
    <x v="1"/>
    <s v="Tienda Online"/>
    <x v="3"/>
    <n v="4"/>
    <n v="4"/>
  </r>
  <r>
    <s v="V001878"/>
    <s v="978-9-71953-348-7"/>
    <s v="It"/>
    <s v="Stephen King"/>
    <x v="4"/>
    <n v="25.19"/>
    <n v="2519"/>
    <n v="1"/>
    <n v="25.19"/>
    <x v="46"/>
    <x v="3"/>
    <x v="378"/>
    <x v="2"/>
    <x v="1"/>
    <s v="Tienda Online"/>
    <x v="0"/>
    <n v="4"/>
    <n v="4"/>
  </r>
  <r>
    <s v="V001879"/>
    <s v="978-4-97684-597-3"/>
    <s v="American Gods"/>
    <s v="Neil Gaiman"/>
    <x v="2"/>
    <n v="15.92"/>
    <n v="1592"/>
    <n v="2"/>
    <n v="31.84"/>
    <x v="40"/>
    <x v="2"/>
    <x v="34"/>
    <x v="2"/>
    <x v="1"/>
    <s v="Tienda Online"/>
    <x v="2"/>
    <n v="5"/>
    <n v="5"/>
  </r>
  <r>
    <s v="V001880"/>
    <s v="978-3-85880-708-0"/>
    <s v="Persépolis"/>
    <s v="Marjane Satrapi"/>
    <x v="10"/>
    <n v="17.489999999999998"/>
    <n v="1749"/>
    <n v="1"/>
    <n v="17.489999999999998"/>
    <x v="70"/>
    <x v="1"/>
    <x v="593"/>
    <x v="2"/>
    <x v="1"/>
    <s v="Tienda Online"/>
    <x v="0"/>
    <n v="5"/>
    <n v="5"/>
  </r>
  <r>
    <s v="V001881"/>
    <s v="978-3-31417-573-6"/>
    <s v="Ana Karenina"/>
    <s v="León Tolstói"/>
    <x v="9"/>
    <n v="1.69"/>
    <n v="169"/>
    <n v="1"/>
    <n v="1.69"/>
    <x v="66"/>
    <x v="0"/>
    <x v="382"/>
    <x v="0"/>
    <x v="1"/>
    <s v="Tienda Online"/>
    <x v="1"/>
    <n v="5"/>
    <n v="5"/>
  </r>
  <r>
    <s v="V001882"/>
    <s v="978-3-62565-160-2"/>
    <s v="El día que se perdió la cordura"/>
    <s v="Javier Castillo"/>
    <x v="1"/>
    <n v="20.79"/>
    <n v="2079"/>
    <n v="1"/>
    <n v="20.79"/>
    <x v="59"/>
    <x v="0"/>
    <x v="662"/>
    <x v="2"/>
    <x v="1"/>
    <s v="Tienda Online"/>
    <x v="3"/>
    <n v="4"/>
    <n v="4"/>
  </r>
  <r>
    <s v="V001883"/>
    <s v="978-1-40512-987-1"/>
    <s v="Los juegos del hambre"/>
    <s v="Suzanne Collins"/>
    <x v="8"/>
    <n v="13.41"/>
    <n v="1341"/>
    <n v="1"/>
    <n v="13.41"/>
    <x v="61"/>
    <x v="1"/>
    <x v="898"/>
    <x v="2"/>
    <x v="1"/>
    <s v="Tienda Online"/>
    <x v="0"/>
    <n v="4"/>
    <n v="4"/>
  </r>
  <r>
    <s v="V001884"/>
    <s v="978-3-62565-160-2"/>
    <s v="El día que se perdió la cordura"/>
    <s v="Javier Castillo"/>
    <x v="1"/>
    <n v="1.89"/>
    <n v="189"/>
    <n v="1"/>
    <n v="1.89"/>
    <x v="47"/>
    <x v="3"/>
    <x v="440"/>
    <x v="2"/>
    <x v="1"/>
    <s v="Tienda Online"/>
    <x v="1"/>
    <n v="4"/>
    <n v="4"/>
  </r>
  <r>
    <s v="V001885"/>
    <s v="978-3-84364-180-1"/>
    <s v="21 lecciones para el siglo XXI"/>
    <s v="Yuval Noah Harari"/>
    <x v="15"/>
    <n v="1.99"/>
    <n v="199"/>
    <n v="1"/>
    <n v="1.99"/>
    <x v="38"/>
    <x v="2"/>
    <x v="329"/>
    <x v="0"/>
    <x v="1"/>
    <s v="Tienda Online"/>
    <x v="4"/>
    <n v="4"/>
    <n v="4"/>
  </r>
  <r>
    <s v="V001886"/>
    <s v="978-4-93886-804-8"/>
    <s v="Guerra y paz"/>
    <s v="León Tolstói"/>
    <x v="9"/>
    <n v="2.4900000000000002"/>
    <n v="249"/>
    <n v="1"/>
    <n v="2.4900000000000002"/>
    <x v="28"/>
    <x v="2"/>
    <x v="609"/>
    <x v="2"/>
    <x v="1"/>
    <s v="Tienda Online"/>
    <x v="0"/>
    <n v="4"/>
    <n v="4"/>
  </r>
  <r>
    <s v="V001887"/>
    <s v="978-6-46434-564-5"/>
    <s v="En llamas"/>
    <s v="Suzanne Collins"/>
    <x v="8"/>
    <n v="1.49"/>
    <n v="149"/>
    <n v="1"/>
    <n v="1.49"/>
    <x v="9"/>
    <x v="3"/>
    <x v="905"/>
    <x v="2"/>
    <x v="1"/>
    <s v="Tienda Online"/>
    <x v="2"/>
    <n v="4"/>
    <n v="4"/>
  </r>
  <r>
    <s v="V001888"/>
    <s v="978-4-93748-619-9"/>
    <s v="Perdida"/>
    <s v="Gillian Flynn"/>
    <x v="1"/>
    <n v="17.32"/>
    <n v="1732"/>
    <n v="1"/>
    <n v="17.32"/>
    <x v="47"/>
    <x v="0"/>
    <x v="828"/>
    <x v="0"/>
    <x v="1"/>
    <s v="Tienda Online"/>
    <x v="0"/>
    <n v="2"/>
    <n v="2"/>
  </r>
  <r>
    <s v="V001889"/>
    <s v="978-7-80284-227-6"/>
    <s v="El Señor de los Anillos"/>
    <s v="J.R.R. Tolkien"/>
    <x v="2"/>
    <n v="32.89"/>
    <n v="3289"/>
    <n v="1"/>
    <n v="32.89"/>
    <x v="41"/>
    <x v="2"/>
    <x v="906"/>
    <x v="1"/>
    <x v="0"/>
    <s v="Librería Central Madrid"/>
    <x v="1"/>
    <n v="5"/>
    <n v="5"/>
  </r>
  <r>
    <s v="V001890"/>
    <s v="978-8-36062-833-8"/>
    <s v="Crónicas marcianas"/>
    <s v="Ray Bradbury"/>
    <x v="12"/>
    <n v="12.16"/>
    <n v="1216"/>
    <n v="2"/>
    <n v="24.32"/>
    <x v="44"/>
    <x v="2"/>
    <x v="605"/>
    <x v="0"/>
    <x v="0"/>
    <s v="Librería Central Madrid"/>
    <x v="4"/>
    <n v="4"/>
    <n v="4"/>
  </r>
  <r>
    <s v="V001891"/>
    <s v="978-9-72493-614-8"/>
    <s v="El chef en casa"/>
    <s v="Jamie Oliver"/>
    <x v="14"/>
    <n v="1.99"/>
    <n v="199"/>
    <n v="1"/>
    <n v="1.99"/>
    <x v="23"/>
    <x v="3"/>
    <x v="738"/>
    <x v="2"/>
    <x v="1"/>
    <s v="Tienda Online"/>
    <x v="2"/>
    <n v="5"/>
    <n v="5"/>
  </r>
  <r>
    <s v="V001892"/>
    <s v="978-3-99733-432-0"/>
    <s v="Don Quijote de la Mancha"/>
    <s v="Miguel de Cervantes"/>
    <x v="9"/>
    <n v="1.99"/>
    <n v="199"/>
    <n v="2"/>
    <n v="3.98"/>
    <x v="29"/>
    <x v="1"/>
    <x v="20"/>
    <x v="0"/>
    <x v="1"/>
    <s v="Tienda Online"/>
    <x v="4"/>
    <n v="4"/>
    <n v="4"/>
  </r>
  <r>
    <s v="V001893"/>
    <s v="978-5-85674-296-1"/>
    <s v="Harry Potter y la cámara secreta"/>
    <s v="J.K. Rowling"/>
    <x v="8"/>
    <n v="13.52"/>
    <n v="1352"/>
    <n v="1"/>
    <n v="13.52"/>
    <x v="61"/>
    <x v="1"/>
    <x v="690"/>
    <x v="1"/>
    <x v="1"/>
    <s v="Tienda Online"/>
    <x v="0"/>
    <n v="4"/>
    <n v="4"/>
  </r>
  <r>
    <s v="V001894"/>
    <s v="978-8-27342-840-9"/>
    <s v="Stardust"/>
    <s v="Neil Gaiman"/>
    <x v="2"/>
    <n v="17.489999999999998"/>
    <n v="1749"/>
    <n v="1"/>
    <n v="17.489999999999998"/>
    <x v="6"/>
    <x v="3"/>
    <x v="907"/>
    <x v="0"/>
    <x v="0"/>
    <s v="Librería Valencia Centro"/>
    <x v="3"/>
    <n v="3"/>
    <n v="3"/>
  </r>
  <r>
    <s v="V001895"/>
    <s v="978-8-79514-100-9"/>
    <s v="La chica en la telaraña"/>
    <s v="David Lagercrantz"/>
    <x v="1"/>
    <n v="1.79"/>
    <n v="179"/>
    <n v="1"/>
    <n v="1.79"/>
    <x v="29"/>
    <x v="1"/>
    <x v="457"/>
    <x v="2"/>
    <x v="1"/>
    <s v="Tienda Online"/>
    <x v="3"/>
    <n v="4"/>
    <n v="4"/>
  </r>
  <r>
    <s v="V001896"/>
    <s v="978-6-10282-499-4"/>
    <s v="Patria"/>
    <s v="Fernando Aramburu"/>
    <x v="3"/>
    <n v="17.91"/>
    <n v="1791"/>
    <n v="1"/>
    <n v="17.91"/>
    <x v="33"/>
    <x v="0"/>
    <x v="285"/>
    <x v="2"/>
    <x v="1"/>
    <s v="Tienda Online"/>
    <x v="2"/>
    <n v="5"/>
    <n v="5"/>
  </r>
  <r>
    <s v="V001897"/>
    <s v="978-8-21395-704-6"/>
    <s v="1984"/>
    <s v="George Orwell"/>
    <x v="12"/>
    <n v="15.65"/>
    <n v="1565"/>
    <n v="1"/>
    <n v="15.65"/>
    <x v="68"/>
    <x v="1"/>
    <x v="513"/>
    <x v="2"/>
    <x v="1"/>
    <s v="Tienda Online"/>
    <x v="0"/>
    <n v="4"/>
    <n v="4"/>
  </r>
  <r>
    <s v="V001898"/>
    <s v="978-3-85880-708-0"/>
    <s v="Persépolis"/>
    <s v="Marjane Satrapi"/>
    <x v="10"/>
    <n v="1.67"/>
    <n v="167"/>
    <n v="1"/>
    <n v="1.67"/>
    <x v="49"/>
    <x v="3"/>
    <x v="50"/>
    <x v="2"/>
    <x v="1"/>
    <s v="Tienda Online"/>
    <x v="2"/>
    <m/>
    <s v="Sin valoración"/>
  </r>
  <r>
    <s v="V001899"/>
    <s v="978-3-54118-204-1"/>
    <s v="Juego de Tronos"/>
    <s v="George R.R. Martin"/>
    <x v="2"/>
    <n v="21.89"/>
    <n v="2189"/>
    <n v="1"/>
    <n v="21.89"/>
    <x v="38"/>
    <x v="3"/>
    <x v="694"/>
    <x v="2"/>
    <x v="1"/>
    <s v="Tienda Online"/>
    <x v="2"/>
    <n v="4"/>
    <n v="4"/>
  </r>
  <r>
    <s v="V001900"/>
    <s v="978-3-39256-242-1"/>
    <s v="El amor en los tiempos del cólera"/>
    <s v="Gabriel García Márquez"/>
    <x v="3"/>
    <n v="15.75"/>
    <n v="1575"/>
    <n v="1"/>
    <n v="15.75"/>
    <x v="34"/>
    <x v="0"/>
    <x v="859"/>
    <x v="1"/>
    <x v="0"/>
    <s v="Librería Valencia Centro"/>
    <x v="2"/>
    <n v="1"/>
    <n v="1"/>
  </r>
  <r>
    <s v="V001901"/>
    <s v="978-3-85880-708-0"/>
    <s v="Persépolis"/>
    <s v="Marjane Satrapi"/>
    <x v="10"/>
    <n v="1.59"/>
    <n v="159"/>
    <n v="1"/>
    <n v="1.59"/>
    <x v="23"/>
    <x v="1"/>
    <x v="908"/>
    <x v="2"/>
    <x v="1"/>
    <s v="Tienda Online"/>
    <x v="1"/>
    <n v="4"/>
    <n v="4"/>
  </r>
  <r>
    <s v="V001902"/>
    <s v="978-3-39256-242-1"/>
    <s v="El amor en los tiempos del cólera"/>
    <s v="Gabriel García Márquez"/>
    <x v="3"/>
    <n v="1.4"/>
    <n v="140"/>
    <n v="1"/>
    <n v="1.4"/>
    <x v="33"/>
    <x v="0"/>
    <x v="443"/>
    <x v="0"/>
    <x v="1"/>
    <s v="Tienda Online"/>
    <x v="0"/>
    <n v="5"/>
    <n v="5"/>
  </r>
  <r>
    <s v="V001903"/>
    <s v="978-0-40007-169-0"/>
    <s v="El Principito ilustrado"/>
    <s v="Antoine de Saint-Exupéry"/>
    <x v="6"/>
    <n v="1.59"/>
    <n v="159"/>
    <n v="2"/>
    <n v="3.18"/>
    <x v="24"/>
    <x v="0"/>
    <x v="909"/>
    <x v="0"/>
    <x v="1"/>
    <s v="Tienda Online"/>
    <x v="1"/>
    <n v="4"/>
    <n v="4"/>
  </r>
  <r>
    <s v="V001904"/>
    <s v="978-9-20745-529-9"/>
    <s v="Watchmen"/>
    <s v="Alan Moore"/>
    <x v="10"/>
    <n v="17.52"/>
    <n v="1752"/>
    <n v="1"/>
    <n v="17.52"/>
    <x v="46"/>
    <x v="3"/>
    <x v="910"/>
    <x v="2"/>
    <x v="1"/>
    <s v="Tienda Online"/>
    <x v="2"/>
    <n v="4"/>
    <n v="4"/>
  </r>
  <r>
    <s v="V001905"/>
    <s v="978-4-99593-763-1"/>
    <s v="Crimen y castigo"/>
    <s v="Fiódor Dostoyevski"/>
    <x v="9"/>
    <n v="10.32"/>
    <n v="1032"/>
    <n v="1"/>
    <n v="10.32"/>
    <x v="19"/>
    <x v="3"/>
    <x v="850"/>
    <x v="2"/>
    <x v="1"/>
    <s v="Tienda Online"/>
    <x v="1"/>
    <n v="5"/>
    <n v="5"/>
  </r>
  <r>
    <s v="V001906"/>
    <s v="978-3-54118-204-1"/>
    <s v="Juego de Tronos"/>
    <s v="George R.R. Martin"/>
    <x v="2"/>
    <n v="1.99"/>
    <n v="199"/>
    <n v="2"/>
    <n v="3.98"/>
    <x v="49"/>
    <x v="2"/>
    <x v="457"/>
    <x v="1"/>
    <x v="1"/>
    <s v="Tienda Online"/>
    <x v="0"/>
    <n v="1"/>
    <n v="1"/>
  </r>
  <r>
    <s v="V001907"/>
    <s v="978-9-20745-529-9"/>
    <s v="Watchmen"/>
    <s v="Alan Moore"/>
    <x v="10"/>
    <n v="2.2999999999999998"/>
    <n v="230"/>
    <n v="1"/>
    <n v="2.2999999999999998"/>
    <x v="28"/>
    <x v="0"/>
    <x v="716"/>
    <x v="0"/>
    <x v="1"/>
    <s v="Tienda Online"/>
    <x v="0"/>
    <n v="5"/>
    <n v="5"/>
  </r>
  <r>
    <s v="V001908"/>
    <s v="978-5-19287-626-3"/>
    <s v="Coraline"/>
    <s v="Neil Gaiman"/>
    <x v="8"/>
    <n v="11.12"/>
    <n v="1112"/>
    <n v="1"/>
    <n v="11.12"/>
    <x v="58"/>
    <x v="1"/>
    <x v="314"/>
    <x v="1"/>
    <x v="1"/>
    <s v="Tienda Online"/>
    <x v="4"/>
    <m/>
    <s v="Sin valoración"/>
  </r>
  <r>
    <s v="V001909"/>
    <s v="978-3-62923-222-9"/>
    <s v="El gen egoísta"/>
    <s v="Richard Dawkins"/>
    <x v="11"/>
    <n v="19.690000000000001"/>
    <n v="1969"/>
    <n v="2"/>
    <n v="39.380000000000003"/>
    <x v="30"/>
    <x v="1"/>
    <x v="628"/>
    <x v="2"/>
    <x v="1"/>
    <s v="Tienda Online"/>
    <x v="4"/>
    <n v="4"/>
    <n v="4"/>
  </r>
  <r>
    <s v="V001910"/>
    <s v="978-8-27342-840-9"/>
    <s v="Stardust"/>
    <s v="Neil Gaiman"/>
    <x v="2"/>
    <n v="13.52"/>
    <n v="1352"/>
    <n v="2"/>
    <n v="27.04"/>
    <x v="13"/>
    <x v="1"/>
    <x v="244"/>
    <x v="2"/>
    <x v="1"/>
    <s v="Tienda Online"/>
    <x v="4"/>
    <n v="4"/>
    <n v="4"/>
  </r>
  <r>
    <s v="V001911"/>
    <s v="978-4-93886-804-8"/>
    <s v="Guerra y paz"/>
    <s v="León Tolstói"/>
    <x v="9"/>
    <n v="2.4900000000000002"/>
    <n v="249"/>
    <n v="1"/>
    <n v="2.4900000000000002"/>
    <x v="70"/>
    <x v="3"/>
    <x v="911"/>
    <x v="1"/>
    <x v="1"/>
    <s v="Tienda Online"/>
    <x v="4"/>
    <n v="4"/>
    <n v="4"/>
  </r>
  <r>
    <s v="V001912"/>
    <s v="978-3-84364-180-1"/>
    <s v="21 lecciones para el siglo XXI"/>
    <s v="Yuval Noah Harari"/>
    <x v="15"/>
    <n v="1.99"/>
    <n v="199"/>
    <n v="1"/>
    <n v="1.99"/>
    <x v="27"/>
    <x v="1"/>
    <x v="853"/>
    <x v="1"/>
    <x v="0"/>
    <s v="Librería Valencia Centro"/>
    <x v="1"/>
    <n v="5"/>
    <n v="5"/>
  </r>
  <r>
    <s v="V001913"/>
    <s v="978-5-85674-296-1"/>
    <s v="Harry Potter y la cámara secreta"/>
    <s v="J.K. Rowling"/>
    <x v="8"/>
    <n v="17.489999999999998"/>
    <n v="1749"/>
    <n v="1"/>
    <n v="17.489999999999998"/>
    <x v="9"/>
    <x v="0"/>
    <x v="783"/>
    <x v="2"/>
    <x v="1"/>
    <s v="Tienda Online"/>
    <x v="4"/>
    <n v="4"/>
    <n v="4"/>
  </r>
  <r>
    <s v="V001914"/>
    <s v="978-1-40512-987-1"/>
    <s v="Los juegos del hambre"/>
    <s v="Suzanne Collins"/>
    <x v="8"/>
    <n v="12.66"/>
    <n v="1266"/>
    <n v="1"/>
    <n v="12.66"/>
    <x v="9"/>
    <x v="1"/>
    <x v="279"/>
    <x v="1"/>
    <x v="0"/>
    <s v="Librería Central Madrid"/>
    <x v="3"/>
    <n v="4"/>
    <n v="4"/>
  </r>
  <r>
    <s v="V001915"/>
    <s v="978-1-48469-545-2"/>
    <s v="Origen"/>
    <s v="Dan Brown"/>
    <x v="1"/>
    <n v="17.91"/>
    <n v="1791"/>
    <n v="1"/>
    <n v="17.91"/>
    <x v="7"/>
    <x v="0"/>
    <x v="756"/>
    <x v="2"/>
    <x v="1"/>
    <s v="Tienda Online"/>
    <x v="1"/>
    <n v="4"/>
    <n v="4"/>
  </r>
  <r>
    <s v="V001916"/>
    <s v="978-0-87110-667-3"/>
    <s v="Charlie y la fábrica de chocolate"/>
    <s v="Roald Dahl"/>
    <x v="6"/>
    <n v="1.25"/>
    <n v="125"/>
    <n v="2"/>
    <n v="2.5"/>
    <x v="61"/>
    <x v="0"/>
    <x v="90"/>
    <x v="1"/>
    <x v="0"/>
    <s v="Librería Barcelona Gòtic"/>
    <x v="3"/>
    <m/>
    <s v="Sin valoración"/>
  </r>
  <r>
    <s v="V001917"/>
    <s v="978-1-68082-927-8"/>
    <s v="Náuseas"/>
    <s v="Jean-Paul Sartre"/>
    <x v="9"/>
    <n v="15.29"/>
    <n v="1529"/>
    <n v="1"/>
    <n v="15.29"/>
    <x v="43"/>
    <x v="2"/>
    <x v="290"/>
    <x v="0"/>
    <x v="0"/>
    <s v="Librería Barcelona Gòtic"/>
    <x v="1"/>
    <n v="5"/>
    <n v="5"/>
  </r>
  <r>
    <s v="V001918"/>
    <s v="978-8-11504-796-1"/>
    <s v="El código Da Vinci"/>
    <s v="Dan Brown"/>
    <x v="1"/>
    <n v="14.36"/>
    <n v="1436"/>
    <n v="2"/>
    <n v="28.72"/>
    <x v="48"/>
    <x v="2"/>
    <x v="810"/>
    <x v="0"/>
    <x v="1"/>
    <s v="Tienda Online"/>
    <x v="1"/>
    <n v="3"/>
    <n v="3"/>
  </r>
  <r>
    <s v="V001919"/>
    <s v="978-6-56438-533-6"/>
    <s v="Misery"/>
    <s v="Stephen King"/>
    <x v="4"/>
    <n v="13.52"/>
    <n v="1352"/>
    <n v="2"/>
    <n v="27.04"/>
    <x v="42"/>
    <x v="1"/>
    <x v="110"/>
    <x v="0"/>
    <x v="0"/>
    <s v="Librería Sevilla Triana"/>
    <x v="2"/>
    <n v="4"/>
    <n v="4"/>
  </r>
  <r>
    <s v="V001920"/>
    <s v="978-8-33416-619-1"/>
    <s v="La chica del tren"/>
    <s v="Paula Hawkins"/>
    <x v="1"/>
    <n v="1.67"/>
    <n v="167"/>
    <n v="2"/>
    <n v="3.34"/>
    <x v="51"/>
    <x v="2"/>
    <x v="425"/>
    <x v="2"/>
    <x v="1"/>
    <s v="Tienda Online"/>
    <x v="0"/>
    <n v="1"/>
    <n v="1"/>
  </r>
  <r>
    <s v="V001921"/>
    <s v="978-7-10425-839-4"/>
    <s v="El paciente silencioso"/>
    <s v="Alex Michaelides"/>
    <x v="1"/>
    <n v="16.11"/>
    <n v="1611"/>
    <n v="1"/>
    <n v="16.11"/>
    <x v="18"/>
    <x v="0"/>
    <x v="697"/>
    <x v="1"/>
    <x v="1"/>
    <s v="Tienda Online"/>
    <x v="4"/>
    <n v="4"/>
    <n v="4"/>
  </r>
  <r>
    <s v="V001922"/>
    <s v="978-8-21395-704-6"/>
    <s v="1984"/>
    <s v="George Orwell"/>
    <x v="12"/>
    <n v="1.49"/>
    <n v="149"/>
    <n v="3"/>
    <n v="4.47"/>
    <x v="66"/>
    <x v="3"/>
    <x v="392"/>
    <x v="0"/>
    <x v="0"/>
    <s v="Librería Central Madrid"/>
    <x v="4"/>
    <n v="2"/>
    <n v="2"/>
  </r>
  <r>
    <s v="V001923"/>
    <s v="978-4-93748-619-9"/>
    <s v="Perdida"/>
    <s v="Gillian Flynn"/>
    <x v="1"/>
    <n v="14.03"/>
    <n v="1403"/>
    <n v="2"/>
    <n v="28.06"/>
    <x v="25"/>
    <x v="0"/>
    <x v="871"/>
    <x v="1"/>
    <x v="0"/>
    <s v="Librería Sevilla Triana"/>
    <x v="3"/>
    <n v="4"/>
    <n v="4"/>
  </r>
  <r>
    <s v="V001924"/>
    <s v="978-8-11504-796-1"/>
    <s v="El código Da Vinci"/>
    <s v="Dan Brown"/>
    <x v="1"/>
    <n v="17.75"/>
    <n v="1775"/>
    <n v="2"/>
    <n v="35.5"/>
    <x v="16"/>
    <x v="2"/>
    <x v="752"/>
    <x v="2"/>
    <x v="1"/>
    <s v="Tienda Online"/>
    <x v="1"/>
    <n v="5"/>
    <n v="5"/>
  </r>
  <r>
    <s v="V001925"/>
    <s v="978-7-77839-562-1"/>
    <s v="El principito"/>
    <s v="Antoine de Saint-Exupéry"/>
    <x v="6"/>
    <n v="0.99"/>
    <n v="99"/>
    <n v="2"/>
    <n v="1.98"/>
    <x v="52"/>
    <x v="2"/>
    <x v="613"/>
    <x v="2"/>
    <x v="1"/>
    <s v="Tienda Online"/>
    <x v="1"/>
    <n v="4"/>
    <n v="4"/>
  </r>
  <r>
    <s v="V001926"/>
    <s v="978-2-17455-620-1"/>
    <s v="Cosmos"/>
    <s v="Carl Sagan"/>
    <x v="11"/>
    <n v="19.84"/>
    <n v="1984"/>
    <n v="2"/>
    <n v="39.68"/>
    <x v="70"/>
    <x v="3"/>
    <x v="234"/>
    <x v="2"/>
    <x v="1"/>
    <s v="Tienda Online"/>
    <x v="1"/>
    <m/>
    <s v="Sin valoración"/>
  </r>
  <r>
    <s v="V001927"/>
    <s v="978-9-78522-423-4"/>
    <s v="Maus"/>
    <s v="Art Spiegelman"/>
    <x v="10"/>
    <n v="18.59"/>
    <n v="1859"/>
    <n v="1"/>
    <n v="18.59"/>
    <x v="29"/>
    <x v="0"/>
    <x v="749"/>
    <x v="0"/>
    <x v="1"/>
    <s v="Tienda Online"/>
    <x v="2"/>
    <n v="5"/>
    <n v="5"/>
  </r>
  <r>
    <s v="V001928"/>
    <s v="978-6-34957-196-1"/>
    <s v="El resplandor"/>
    <s v="Stephen King"/>
    <x v="4"/>
    <n v="20.79"/>
    <n v="2079"/>
    <n v="1"/>
    <n v="20.79"/>
    <x v="67"/>
    <x v="2"/>
    <x v="98"/>
    <x v="1"/>
    <x v="0"/>
    <s v="Librería Sevilla Triana"/>
    <x v="1"/>
    <n v="5"/>
    <n v="5"/>
  </r>
  <r>
    <s v="V001929"/>
    <s v="978-1-16175-981-1"/>
    <s v="Pedro Páramo"/>
    <s v="Juan Rulfo"/>
    <x v="9"/>
    <n v="13.55"/>
    <n v="1355"/>
    <n v="1"/>
    <n v="13.55"/>
    <x v="37"/>
    <x v="1"/>
    <x v="204"/>
    <x v="2"/>
    <x v="1"/>
    <s v="Tienda Online"/>
    <x v="0"/>
    <n v="5"/>
    <n v="5"/>
  </r>
  <r>
    <s v="V001930"/>
    <s v="978-9-71953-348-7"/>
    <s v="It"/>
    <s v="Stephen King"/>
    <x v="4"/>
    <n v="20.61"/>
    <n v="2061"/>
    <n v="1"/>
    <n v="20.61"/>
    <x v="40"/>
    <x v="0"/>
    <x v="912"/>
    <x v="1"/>
    <x v="1"/>
    <s v="Tienda Online"/>
    <x v="1"/>
    <n v="5"/>
    <n v="5"/>
  </r>
  <r>
    <s v="V001931"/>
    <s v="978-0-87110-667-3"/>
    <s v="Charlie y la fábrica de chocolate"/>
    <s v="Roald Dahl"/>
    <x v="6"/>
    <n v="10.71"/>
    <n v="1071"/>
    <n v="2"/>
    <n v="21.42"/>
    <x v="62"/>
    <x v="1"/>
    <x v="741"/>
    <x v="1"/>
    <x v="0"/>
    <s v="Librería Sevilla Triana"/>
    <x v="4"/>
    <n v="5"/>
    <n v="5"/>
  </r>
  <r>
    <s v="V001932"/>
    <s v="978-9-71348-641-4"/>
    <s v="Veinte poemas de amor"/>
    <s v="Pablo Neruda"/>
    <x v="7"/>
    <n v="8.42"/>
    <n v="842"/>
    <n v="1"/>
    <n v="8.42"/>
    <x v="38"/>
    <x v="2"/>
    <x v="304"/>
    <x v="1"/>
    <x v="0"/>
    <s v="Librería Gran Vía"/>
    <x v="2"/>
    <n v="4"/>
    <n v="4"/>
  </r>
  <r>
    <s v="V001933"/>
    <s v="978-9-71348-641-4"/>
    <s v="Veinte poemas de amor"/>
    <s v="Pablo Neruda"/>
    <x v="7"/>
    <n v="0.99"/>
    <n v="99"/>
    <n v="1"/>
    <n v="0.99"/>
    <x v="33"/>
    <x v="3"/>
    <x v="884"/>
    <x v="2"/>
    <x v="1"/>
    <s v="Tienda Online"/>
    <x v="4"/>
    <n v="5"/>
    <n v="5"/>
  </r>
  <r>
    <s v="V001934"/>
    <s v="978-3-31417-573-6"/>
    <s v="Ana Karenina"/>
    <s v="León Tolstói"/>
    <x v="9"/>
    <n v="1.69"/>
    <n v="169"/>
    <n v="2"/>
    <n v="3.38"/>
    <x v="39"/>
    <x v="0"/>
    <x v="135"/>
    <x v="2"/>
    <x v="1"/>
    <s v="Tienda Online"/>
    <x v="4"/>
    <n v="5"/>
    <n v="5"/>
  </r>
  <r>
    <s v="V001935"/>
    <s v="978-7-77839-562-1"/>
    <s v="El principito"/>
    <s v="Antoine de Saint-Exupéry"/>
    <x v="6"/>
    <n v="0.99"/>
    <n v="99"/>
    <n v="1"/>
    <n v="0.99"/>
    <x v="11"/>
    <x v="1"/>
    <x v="768"/>
    <x v="2"/>
    <x v="1"/>
    <s v="Tienda Online"/>
    <x v="0"/>
    <n v="5"/>
    <n v="5"/>
  </r>
  <r>
    <s v="V001936"/>
    <s v="978-3-50857-508-5"/>
    <s v="Piense y hágase rico"/>
    <s v="Napoleon Hill"/>
    <x v="5"/>
    <n v="15.29"/>
    <n v="1529"/>
    <n v="1"/>
    <n v="15.29"/>
    <x v="46"/>
    <x v="0"/>
    <x v="62"/>
    <x v="1"/>
    <x v="1"/>
    <s v="Tienda Online"/>
    <x v="4"/>
    <n v="5"/>
    <n v="5"/>
  </r>
  <r>
    <s v="V001937"/>
    <s v="978-3-99733-432-0"/>
    <s v="Don Quijote de la Mancha"/>
    <s v="Miguel de Cervantes"/>
    <x v="9"/>
    <n v="1.99"/>
    <n v="199"/>
    <n v="1"/>
    <n v="1.99"/>
    <x v="37"/>
    <x v="2"/>
    <x v="913"/>
    <x v="1"/>
    <x v="1"/>
    <s v="Tienda Online"/>
    <x v="4"/>
    <n v="4"/>
    <n v="4"/>
  </r>
  <r>
    <s v="V001938"/>
    <s v="978-3-62565-160-2"/>
    <s v="El día que se perdió la cordura"/>
    <s v="Javier Castillo"/>
    <x v="1"/>
    <n v="16.059999999999999"/>
    <n v="1606"/>
    <n v="1"/>
    <n v="16.059999999999999"/>
    <x v="29"/>
    <x v="3"/>
    <x v="433"/>
    <x v="1"/>
    <x v="0"/>
    <s v="Librería Barcelona Gòtic"/>
    <x v="4"/>
    <n v="4"/>
    <n v="4"/>
  </r>
  <r>
    <s v="V001939"/>
    <s v="978-2-17455-620-1"/>
    <s v="Cosmos"/>
    <s v="Carl Sagan"/>
    <x v="11"/>
    <n v="1.89"/>
    <n v="189"/>
    <n v="2"/>
    <n v="3.78"/>
    <x v="68"/>
    <x v="0"/>
    <x v="914"/>
    <x v="0"/>
    <x v="1"/>
    <s v="Tienda Online"/>
    <x v="1"/>
    <n v="3"/>
    <n v="3"/>
  </r>
  <r>
    <s v="V001940"/>
    <s v="978-1-42591-296-3"/>
    <s v="Frankenstein"/>
    <s v="Mary Shelley"/>
    <x v="4"/>
    <n v="1.25"/>
    <n v="125"/>
    <n v="2"/>
    <n v="2.5"/>
    <x v="33"/>
    <x v="0"/>
    <x v="543"/>
    <x v="0"/>
    <x v="0"/>
    <s v="Librería Central Madrid"/>
    <x v="0"/>
    <n v="5"/>
    <n v="5"/>
  </r>
  <r>
    <s v="V001941"/>
    <s v="978-7-17100-789-1"/>
    <s v="Carrie"/>
    <s v="Stephen King"/>
    <x v="4"/>
    <n v="1.49"/>
    <n v="149"/>
    <n v="1"/>
    <n v="1.49"/>
    <x v="57"/>
    <x v="3"/>
    <x v="538"/>
    <x v="2"/>
    <x v="1"/>
    <s v="Tienda Online"/>
    <x v="4"/>
    <n v="4"/>
    <n v="4"/>
  </r>
  <r>
    <s v="V001942"/>
    <s v="978-7-77839-562-1"/>
    <s v="El principito"/>
    <s v="Antoine de Saint-Exupéry"/>
    <x v="6"/>
    <n v="0.99"/>
    <n v="99"/>
    <n v="2"/>
    <n v="1.98"/>
    <x v="61"/>
    <x v="1"/>
    <x v="915"/>
    <x v="2"/>
    <x v="1"/>
    <s v="Tienda Online"/>
    <x v="4"/>
    <n v="5"/>
    <n v="5"/>
  </r>
  <r>
    <s v="V001943"/>
    <s v="978-6-54597-384-2"/>
    <s v="El temor de un hombre sabio"/>
    <s v="Patrick Rothfuss"/>
    <x v="2"/>
    <n v="27.39"/>
    <n v="2739"/>
    <n v="2"/>
    <n v="54.78"/>
    <x v="28"/>
    <x v="2"/>
    <x v="916"/>
    <x v="1"/>
    <x v="0"/>
    <s v="Librería Gran Vía"/>
    <x v="4"/>
    <n v="5"/>
    <n v="5"/>
  </r>
  <r>
    <s v="V001944"/>
    <s v="978-8-44438-864-9"/>
    <s v="Rayuela"/>
    <s v="Julio Cortázar"/>
    <x v="9"/>
    <n v="17.75"/>
    <n v="1775"/>
    <n v="1"/>
    <n v="17.75"/>
    <x v="67"/>
    <x v="1"/>
    <x v="862"/>
    <x v="1"/>
    <x v="1"/>
    <s v="Tienda Online"/>
    <x v="3"/>
    <n v="5"/>
    <n v="5"/>
  </r>
  <r>
    <s v="V001945"/>
    <s v="978-4-93886-804-8"/>
    <s v="Guerra y paz"/>
    <s v="León Tolstói"/>
    <x v="9"/>
    <n v="2.4900000000000002"/>
    <n v="249"/>
    <n v="1"/>
    <n v="2.4900000000000002"/>
    <x v="5"/>
    <x v="1"/>
    <x v="212"/>
    <x v="2"/>
    <x v="1"/>
    <s v="Tienda Online"/>
    <x v="2"/>
    <n v="3"/>
    <n v="3"/>
  </r>
  <r>
    <s v="V001946"/>
    <s v="978-3-99733-432-0"/>
    <s v="Don Quijote de la Mancha"/>
    <s v="Miguel de Cervantes"/>
    <x v="9"/>
    <n v="1.99"/>
    <n v="199"/>
    <n v="3"/>
    <n v="5.97"/>
    <x v="7"/>
    <x v="3"/>
    <x v="899"/>
    <x v="1"/>
    <x v="1"/>
    <s v="Tienda Online"/>
    <x v="4"/>
    <n v="5"/>
    <n v="5"/>
  </r>
  <r>
    <s v="V001947"/>
    <s v="978-3-62923-222-9"/>
    <s v="El gen egoísta"/>
    <s v="Richard Dawkins"/>
    <x v="11"/>
    <n v="1.79"/>
    <n v="179"/>
    <n v="3"/>
    <n v="5.37"/>
    <x v="19"/>
    <x v="3"/>
    <x v="40"/>
    <x v="2"/>
    <x v="1"/>
    <s v="Tienda Online"/>
    <x v="3"/>
    <n v="1"/>
    <n v="1"/>
  </r>
  <r>
    <s v="V001948"/>
    <s v="978-9-71953-348-7"/>
    <s v="It"/>
    <s v="Stephen King"/>
    <x v="4"/>
    <n v="2.29"/>
    <n v="229"/>
    <n v="1"/>
    <n v="2.29"/>
    <x v="46"/>
    <x v="2"/>
    <x v="846"/>
    <x v="1"/>
    <x v="0"/>
    <s v="Librería Valencia Centro"/>
    <x v="4"/>
    <n v="3"/>
    <n v="3"/>
  </r>
  <r>
    <s v="V001949"/>
    <s v="978-4-93886-804-8"/>
    <s v="Guerra y paz"/>
    <s v="León Tolstói"/>
    <x v="9"/>
    <n v="2.4900000000000002"/>
    <n v="249"/>
    <n v="1"/>
    <n v="2.4900000000000002"/>
    <x v="13"/>
    <x v="3"/>
    <x v="37"/>
    <x v="0"/>
    <x v="0"/>
    <s v="Librería Central Madrid"/>
    <x v="4"/>
    <n v="4"/>
    <n v="4"/>
  </r>
  <r>
    <s v="V001950"/>
    <s v="978-7-80284-227-6"/>
    <s v="El Señor de los Anillos"/>
    <s v="J.R.R. Tolkien"/>
    <x v="2"/>
    <n v="32.89"/>
    <n v="3289"/>
    <n v="2"/>
    <n v="65.78"/>
    <x v="47"/>
    <x v="0"/>
    <x v="73"/>
    <x v="2"/>
    <x v="1"/>
    <s v="Tienda Online"/>
    <x v="4"/>
    <n v="5"/>
    <n v="5"/>
  </r>
  <r>
    <s v="V001951"/>
    <s v="978-2-46509-573-3"/>
    <s v="La peste"/>
    <s v="Albert Camus"/>
    <x v="9"/>
    <n v="1.49"/>
    <n v="149"/>
    <n v="2"/>
    <n v="2.98"/>
    <x v="3"/>
    <x v="1"/>
    <x v="806"/>
    <x v="1"/>
    <x v="1"/>
    <s v="Tienda Online"/>
    <x v="3"/>
    <n v="5"/>
    <n v="5"/>
  </r>
  <r>
    <s v="V001952"/>
    <s v="978-3-28131-621-7"/>
    <s v="El Aleph"/>
    <s v="Jorge Luis Borges"/>
    <x v="9"/>
    <n v="1.39"/>
    <n v="139"/>
    <n v="2"/>
    <n v="2.78"/>
    <x v="35"/>
    <x v="3"/>
    <x v="229"/>
    <x v="2"/>
    <x v="1"/>
    <s v="Tienda Online"/>
    <x v="3"/>
    <n v="5"/>
    <n v="5"/>
  </r>
  <r>
    <s v="V001953"/>
    <s v="978-3-97782-833-5"/>
    <s v="V de Vendetta"/>
    <s v="Alan Moore"/>
    <x v="10"/>
    <n v="15.12"/>
    <n v="1512"/>
    <n v="1"/>
    <n v="15.12"/>
    <x v="33"/>
    <x v="2"/>
    <x v="412"/>
    <x v="1"/>
    <x v="0"/>
    <s v="Librería Gran Vía"/>
    <x v="2"/>
    <n v="5"/>
    <n v="5"/>
  </r>
  <r>
    <s v="V001954"/>
    <s v="978-3-84364-180-1"/>
    <s v="21 lecciones para el siglo XXI"/>
    <s v="Yuval Noah Harari"/>
    <x v="15"/>
    <n v="1.99"/>
    <n v="199"/>
    <n v="1"/>
    <n v="1.99"/>
    <x v="22"/>
    <x v="1"/>
    <x v="377"/>
    <x v="0"/>
    <x v="0"/>
    <s v="Librería Sevilla Triana"/>
    <x v="4"/>
    <n v="5"/>
    <n v="5"/>
  </r>
  <r>
    <s v="V001955"/>
    <s v="978-5-85674-296-1"/>
    <s v="Harry Potter y la cámara secreta"/>
    <s v="J.K. Rowling"/>
    <x v="8"/>
    <n v="1.59"/>
    <n v="159"/>
    <n v="1"/>
    <n v="1.59"/>
    <x v="55"/>
    <x v="2"/>
    <x v="173"/>
    <x v="2"/>
    <x v="1"/>
    <s v="Tienda Online"/>
    <x v="0"/>
    <n v="5"/>
    <n v="5"/>
  </r>
  <r>
    <s v="V001956"/>
    <s v="978-3-39451-165-5"/>
    <s v="Matilda"/>
    <s v="Roald Dahl"/>
    <x v="6"/>
    <n v="13.09"/>
    <n v="1309"/>
    <n v="1"/>
    <n v="13.09"/>
    <x v="11"/>
    <x v="3"/>
    <x v="889"/>
    <x v="1"/>
    <x v="0"/>
    <s v="Librería Gran Vía"/>
    <x v="2"/>
    <n v="5"/>
    <n v="5"/>
  </r>
  <r>
    <s v="V001957"/>
    <s v="978-9-93227-275-8"/>
    <s v="Los hermanos Karamázov"/>
    <s v="Fiódor Dostoyevski"/>
    <x v="9"/>
    <n v="15.12"/>
    <n v="1512"/>
    <n v="1"/>
    <n v="15.12"/>
    <x v="36"/>
    <x v="0"/>
    <x v="859"/>
    <x v="0"/>
    <x v="1"/>
    <s v="Tienda Online"/>
    <x v="0"/>
    <n v="5"/>
    <n v="5"/>
  </r>
  <r>
    <s v="V001958"/>
    <s v="978-9-65461-316-8"/>
    <s v="Padre rico, padre pobre"/>
    <s v="Robert Kiyosaki"/>
    <x v="5"/>
    <n v="1.69"/>
    <n v="169"/>
    <n v="1"/>
    <n v="1.69"/>
    <x v="36"/>
    <x v="2"/>
    <x v="683"/>
    <x v="2"/>
    <x v="1"/>
    <s v="Tienda Online"/>
    <x v="1"/>
    <n v="4"/>
    <n v="4"/>
  </r>
  <r>
    <s v="V001959"/>
    <s v="978-6-45093-167-3"/>
    <s v="Paula"/>
    <s v="Isabel Allende"/>
    <x v="13"/>
    <n v="1.59"/>
    <n v="159"/>
    <n v="2"/>
    <n v="3.18"/>
    <x v="69"/>
    <x v="3"/>
    <x v="917"/>
    <x v="0"/>
    <x v="1"/>
    <s v="Tienda Online"/>
    <x v="4"/>
    <n v="4"/>
    <n v="4"/>
  </r>
  <r>
    <s v="V001960"/>
    <s v="978-5-50306-345-0"/>
    <s v="Homo Deus"/>
    <s v="Yuval Noah Harari"/>
    <x v="15"/>
    <n v="17.52"/>
    <n v="1752"/>
    <n v="1"/>
    <n v="17.52"/>
    <x v="13"/>
    <x v="0"/>
    <x v="237"/>
    <x v="1"/>
    <x v="0"/>
    <s v="Librería Gran Vía"/>
    <x v="3"/>
    <n v="5"/>
    <n v="5"/>
  </r>
  <r>
    <s v="V001961"/>
    <s v="978-9-71348-641-4"/>
    <s v="Veinte poemas de amor"/>
    <s v="Pablo Neruda"/>
    <x v="7"/>
    <n v="0.99"/>
    <n v="99"/>
    <n v="1"/>
    <n v="0.99"/>
    <x v="27"/>
    <x v="2"/>
    <x v="557"/>
    <x v="2"/>
    <x v="1"/>
    <s v="Tienda Online"/>
    <x v="2"/>
    <n v="5"/>
    <n v="5"/>
  </r>
  <r>
    <s v="V001962"/>
    <s v="978-7-19071-878-8"/>
    <s v="El poder del ahora"/>
    <s v="Eckhart Tolle"/>
    <x v="0"/>
    <n v="1.49"/>
    <n v="149"/>
    <n v="3"/>
    <n v="4.47"/>
    <x v="51"/>
    <x v="2"/>
    <x v="249"/>
    <x v="2"/>
    <x v="1"/>
    <s v="Tienda Online"/>
    <x v="0"/>
    <n v="5"/>
    <n v="5"/>
  </r>
  <r>
    <s v="V001963"/>
    <s v="978-7-10425-839-4"/>
    <s v="El paciente silencioso"/>
    <s v="Alex Michaelides"/>
    <x v="1"/>
    <n v="1.79"/>
    <n v="179"/>
    <n v="2"/>
    <n v="3.58"/>
    <x v="2"/>
    <x v="0"/>
    <x v="369"/>
    <x v="1"/>
    <x v="1"/>
    <s v="Tienda Online"/>
    <x v="3"/>
    <n v="3"/>
    <n v="3"/>
  </r>
  <r>
    <s v="V001964"/>
    <s v="978-9-38864-107-1"/>
    <s v="James y el melocotón gigante"/>
    <s v="Roald Dahl"/>
    <x v="6"/>
    <n v="11.99"/>
    <n v="1199"/>
    <n v="1"/>
    <n v="11.99"/>
    <x v="58"/>
    <x v="0"/>
    <x v="12"/>
    <x v="1"/>
    <x v="0"/>
    <s v="Librería Gran Vía"/>
    <x v="3"/>
    <n v="5"/>
    <n v="5"/>
  </r>
  <r>
    <s v="V001965"/>
    <s v="978-0-13905-195-3"/>
    <s v="Rebelión en la granja"/>
    <s v="George Orwell"/>
    <x v="3"/>
    <n v="1.25"/>
    <n v="125"/>
    <n v="1"/>
    <n v="1.25"/>
    <x v="17"/>
    <x v="3"/>
    <x v="639"/>
    <x v="0"/>
    <x v="0"/>
    <s v="Librería Gran Vía"/>
    <x v="0"/>
    <n v="3"/>
    <n v="3"/>
  </r>
  <r>
    <s v="V001966"/>
    <s v="978-9-38864-107-1"/>
    <s v="James y el melocotón gigante"/>
    <s v="Roald Dahl"/>
    <x v="6"/>
    <n v="9.27"/>
    <n v="927"/>
    <n v="1"/>
    <n v="9.27"/>
    <x v="11"/>
    <x v="2"/>
    <x v="416"/>
    <x v="0"/>
    <x v="1"/>
    <s v="Tienda Online"/>
    <x v="2"/>
    <n v="5"/>
    <n v="5"/>
  </r>
  <r>
    <s v="V001967"/>
    <s v="978-6-34957-196-1"/>
    <s v="El resplandor"/>
    <s v="Stephen King"/>
    <x v="4"/>
    <n v="1.89"/>
    <n v="189"/>
    <n v="1"/>
    <n v="1.89"/>
    <x v="66"/>
    <x v="1"/>
    <x v="414"/>
    <x v="0"/>
    <x v="0"/>
    <s v="Librería Valencia Centro"/>
    <x v="4"/>
    <n v="5"/>
    <n v="5"/>
  </r>
  <r>
    <s v="V001968"/>
    <s v="978-3-54118-204-1"/>
    <s v="Juego de Tronos"/>
    <s v="George R.R. Martin"/>
    <x v="2"/>
    <n v="21.89"/>
    <n v="2189"/>
    <n v="1"/>
    <n v="21.89"/>
    <x v="6"/>
    <x v="0"/>
    <x v="762"/>
    <x v="2"/>
    <x v="1"/>
    <s v="Tienda Online"/>
    <x v="3"/>
    <n v="4"/>
    <n v="4"/>
  </r>
  <r>
    <s v="V001969"/>
    <s v="978-7-19071-878-8"/>
    <s v="El poder del ahora"/>
    <s v="Eckhart Tolle"/>
    <x v="0"/>
    <n v="15.65"/>
    <n v="1565"/>
    <n v="1"/>
    <n v="15.65"/>
    <x v="23"/>
    <x v="0"/>
    <x v="341"/>
    <x v="2"/>
    <x v="1"/>
    <s v="Tienda Online"/>
    <x v="1"/>
    <m/>
    <s v="Sin valoración"/>
  </r>
  <r>
    <s v="V001970"/>
    <s v="978-5-74042-119-1"/>
    <s v="Sapiens"/>
    <s v="Yuval Noah Harari"/>
    <x v="15"/>
    <n v="2.19"/>
    <n v="219"/>
    <n v="1"/>
    <n v="2.19"/>
    <x v="31"/>
    <x v="1"/>
    <x v="918"/>
    <x v="2"/>
    <x v="1"/>
    <s v="Tienda Online"/>
    <x v="1"/>
    <n v="2"/>
    <n v="2"/>
  </r>
  <r>
    <s v="V001971"/>
    <s v="978-3-30032-482-2"/>
    <s v="Los hombres que no amaban a las mujeres"/>
    <s v="Stieg Larsson"/>
    <x v="1"/>
    <n v="15.21"/>
    <n v="1521"/>
    <n v="3"/>
    <n v="45.63"/>
    <x v="65"/>
    <x v="1"/>
    <x v="178"/>
    <x v="2"/>
    <x v="1"/>
    <s v="Tienda Online"/>
    <x v="4"/>
    <n v="1"/>
    <n v="1"/>
  </r>
  <r>
    <s v="V001972"/>
    <s v="978-2-18981-709-1"/>
    <s v="Una breve historia del tiempo"/>
    <s v="Stephen Hawking"/>
    <x v="11"/>
    <n v="15.21"/>
    <n v="1521"/>
    <n v="4"/>
    <n v="60.84"/>
    <x v="16"/>
    <x v="0"/>
    <x v="561"/>
    <x v="0"/>
    <x v="1"/>
    <s v="Tienda Online"/>
    <x v="2"/>
    <n v="5"/>
    <n v="5"/>
  </r>
  <r>
    <s v="V001973"/>
    <s v="978-9-72493-614-8"/>
    <s v="El chef en casa"/>
    <s v="Jamie Oliver"/>
    <x v="14"/>
    <n v="1.99"/>
    <n v="199"/>
    <n v="3"/>
    <n v="5.97"/>
    <x v="25"/>
    <x v="1"/>
    <x v="628"/>
    <x v="2"/>
    <x v="1"/>
    <s v="Tienda Online"/>
    <x v="3"/>
    <n v="5"/>
    <n v="5"/>
  </r>
  <r>
    <s v="V001974"/>
    <s v="978-5-19287-626-3"/>
    <s v="Coraline"/>
    <s v="Neil Gaiman"/>
    <x v="8"/>
    <n v="12.51"/>
    <n v="1251"/>
    <n v="1"/>
    <n v="12.51"/>
    <x v="9"/>
    <x v="1"/>
    <x v="517"/>
    <x v="0"/>
    <x v="1"/>
    <s v="Tienda Online"/>
    <x v="3"/>
    <n v="5"/>
    <n v="5"/>
  </r>
  <r>
    <s v="V001975"/>
    <s v="978-3-28131-621-7"/>
    <s v="El Aleph"/>
    <s v="Jorge Luis Borges"/>
    <x v="9"/>
    <n v="12.51"/>
    <n v="1251"/>
    <n v="1"/>
    <n v="12.51"/>
    <x v="53"/>
    <x v="2"/>
    <x v="212"/>
    <x v="1"/>
    <x v="1"/>
    <s v="Tienda Online"/>
    <x v="4"/>
    <m/>
    <s v="Sin valoración"/>
  </r>
  <r>
    <s v="V001976"/>
    <s v="978-6-94259-569-2"/>
    <s v="El juego del ángel"/>
    <s v="Carlos Ruiz Zafón"/>
    <x v="3"/>
    <n v="16.649999999999999"/>
    <n v="1665"/>
    <n v="1"/>
    <n v="16.649999999999999"/>
    <x v="31"/>
    <x v="2"/>
    <x v="294"/>
    <x v="2"/>
    <x v="1"/>
    <s v="Tienda Online"/>
    <x v="1"/>
    <n v="4"/>
    <n v="4"/>
  </r>
  <r>
    <s v="V001977"/>
    <s v="978-7-77839-562-1"/>
    <s v="El principito"/>
    <s v="Antoine de Saint-Exupéry"/>
    <x v="6"/>
    <n v="0.99"/>
    <n v="99"/>
    <n v="2"/>
    <n v="1.98"/>
    <x v="62"/>
    <x v="3"/>
    <x v="262"/>
    <x v="2"/>
    <x v="1"/>
    <s v="Tienda Online"/>
    <x v="3"/>
    <n v="5"/>
    <n v="5"/>
  </r>
  <r>
    <s v="V001978"/>
    <s v="978-3-62923-222-9"/>
    <s v="El gen egoísta"/>
    <s v="Richard Dawkins"/>
    <x v="11"/>
    <n v="19.690000000000001"/>
    <n v="1969"/>
    <n v="1"/>
    <n v="19.690000000000001"/>
    <x v="35"/>
    <x v="1"/>
    <x v="564"/>
    <x v="1"/>
    <x v="1"/>
    <s v="Tienda Online"/>
    <x v="3"/>
    <n v="4"/>
    <n v="4"/>
  </r>
  <r>
    <s v="V001979"/>
    <s v="978-4-28301-352-8"/>
    <s v="El prisionero del cielo"/>
    <s v="Carlos Ruiz Zafón"/>
    <x v="3"/>
    <n v="16.11"/>
    <n v="1611"/>
    <n v="2"/>
    <n v="32.22"/>
    <x v="17"/>
    <x v="3"/>
    <x v="517"/>
    <x v="1"/>
    <x v="0"/>
    <s v="Librería Central Madrid"/>
    <x v="2"/>
    <n v="4"/>
    <n v="4"/>
  </r>
  <r>
    <s v="V001980"/>
    <s v="978-3-85880-708-0"/>
    <s v="Persépolis"/>
    <s v="Marjane Satrapi"/>
    <x v="10"/>
    <n v="1.67"/>
    <n v="167"/>
    <n v="1"/>
    <n v="1.67"/>
    <x v="65"/>
    <x v="0"/>
    <x v="370"/>
    <x v="1"/>
    <x v="0"/>
    <s v="Librería Sevilla Triana"/>
    <x v="3"/>
    <n v="5"/>
    <n v="5"/>
  </r>
  <r>
    <s v="V001981"/>
    <s v="978-6-38893-559-9"/>
    <s v="Dune"/>
    <s v="Frank Herbert"/>
    <x v="12"/>
    <n v="2.29"/>
    <n v="229"/>
    <n v="1"/>
    <n v="2.29"/>
    <x v="45"/>
    <x v="3"/>
    <x v="403"/>
    <x v="0"/>
    <x v="1"/>
    <s v="Tienda Online"/>
    <x v="3"/>
    <n v="4"/>
    <n v="4"/>
  </r>
  <r>
    <s v="V001982"/>
    <s v="978-3-97782-833-5"/>
    <s v="V de Vendetta"/>
    <s v="Alan Moore"/>
    <x v="10"/>
    <n v="20.79"/>
    <n v="2079"/>
    <n v="1"/>
    <n v="20.79"/>
    <x v="54"/>
    <x v="3"/>
    <x v="535"/>
    <x v="1"/>
    <x v="1"/>
    <s v="Tienda Online"/>
    <x v="3"/>
    <n v="5"/>
    <n v="5"/>
  </r>
  <r>
    <s v="V001983"/>
    <s v="978-8-79514-100-9"/>
    <s v="La chica en la telaraña"/>
    <s v="David Lagercrantz"/>
    <x v="1"/>
    <n v="18.79"/>
    <n v="1879"/>
    <n v="2"/>
    <n v="37.58"/>
    <x v="14"/>
    <x v="3"/>
    <x v="607"/>
    <x v="2"/>
    <x v="1"/>
    <s v="Tienda Online"/>
    <x v="4"/>
    <n v="4"/>
    <n v="4"/>
  </r>
  <r>
    <s v="V001984"/>
    <s v="978-5-50306-345-0"/>
    <s v="Homo Deus"/>
    <s v="Yuval Noah Harari"/>
    <x v="15"/>
    <n v="2.19"/>
    <n v="219"/>
    <n v="1"/>
    <n v="2.19"/>
    <x v="29"/>
    <x v="1"/>
    <x v="919"/>
    <x v="1"/>
    <x v="0"/>
    <s v="Librería Valencia Centro"/>
    <x v="1"/>
    <n v="5"/>
    <n v="5"/>
  </r>
  <r>
    <s v="V001985"/>
    <s v="978-6-56438-533-6"/>
    <s v="Misery"/>
    <s v="Stephen King"/>
    <x v="4"/>
    <n v="1.69"/>
    <n v="169"/>
    <n v="1"/>
    <n v="1.69"/>
    <x v="38"/>
    <x v="3"/>
    <x v="684"/>
    <x v="1"/>
    <x v="1"/>
    <s v="Tienda Online"/>
    <x v="2"/>
    <n v="5"/>
    <n v="5"/>
  </r>
  <r>
    <s v="V001986"/>
    <s v="978-2-92240-263-6"/>
    <s v="La casa de Bernarda Alba"/>
    <s v="Federico García Lorca"/>
    <x v="17"/>
    <n v="0.99"/>
    <n v="99"/>
    <n v="1"/>
    <n v="0.99"/>
    <x v="7"/>
    <x v="2"/>
    <x v="920"/>
    <x v="2"/>
    <x v="1"/>
    <s v="Tienda Online"/>
    <x v="2"/>
    <n v="4"/>
    <n v="4"/>
  </r>
  <r>
    <s v="V001987"/>
    <s v="978-1-13278-859-4"/>
    <s v="Cien años de soledad"/>
    <s v="Gabriel García Márquez"/>
    <x v="3"/>
    <n v="1.89"/>
    <n v="189"/>
    <n v="1"/>
    <n v="1.89"/>
    <x v="18"/>
    <x v="1"/>
    <x v="246"/>
    <x v="2"/>
    <x v="1"/>
    <s v="Tienda Online"/>
    <x v="0"/>
    <n v="5"/>
    <n v="5"/>
  </r>
  <r>
    <s v="V001988"/>
    <s v="978-9-71953-348-7"/>
    <s v="It"/>
    <s v="Stephen King"/>
    <x v="4"/>
    <n v="2.29"/>
    <n v="229"/>
    <n v="1"/>
    <n v="2.29"/>
    <x v="31"/>
    <x v="3"/>
    <x v="921"/>
    <x v="1"/>
    <x v="0"/>
    <s v="Librería Gran Vía"/>
    <x v="3"/>
    <n v="2"/>
    <n v="2"/>
  </r>
  <r>
    <s v="V001989"/>
    <s v="978-4-97684-597-3"/>
    <s v="American Gods"/>
    <s v="Neil Gaiman"/>
    <x v="2"/>
    <n v="15.92"/>
    <n v="1592"/>
    <n v="4"/>
    <n v="63.68"/>
    <x v="25"/>
    <x v="0"/>
    <x v="152"/>
    <x v="1"/>
    <x v="1"/>
    <s v="Tienda Online"/>
    <x v="2"/>
    <n v="5"/>
    <n v="5"/>
  </r>
  <r>
    <s v="V001990"/>
    <s v="978-1-40512-987-1"/>
    <s v="Los juegos del hambre"/>
    <s v="Suzanne Collins"/>
    <x v="8"/>
    <n v="13.41"/>
    <n v="1341"/>
    <n v="1"/>
    <n v="13.41"/>
    <x v="58"/>
    <x v="2"/>
    <x v="398"/>
    <x v="0"/>
    <x v="0"/>
    <s v="Librería Central Madrid"/>
    <x v="3"/>
    <n v="3"/>
    <n v="3"/>
  </r>
  <r>
    <s v="V001991"/>
    <s v="978-1-68082-927-8"/>
    <s v="Náuseas"/>
    <s v="Jean-Paul Sartre"/>
    <x v="9"/>
    <n v="1.39"/>
    <n v="139"/>
    <n v="2"/>
    <n v="2.78"/>
    <x v="45"/>
    <x v="2"/>
    <x v="383"/>
    <x v="2"/>
    <x v="1"/>
    <s v="Tienda Online"/>
    <x v="2"/>
    <n v="4"/>
    <n v="4"/>
  </r>
  <r>
    <s v="V001992"/>
    <s v="978-8-79514-100-9"/>
    <s v="La chica en la telaraña"/>
    <s v="David Lagercrantz"/>
    <x v="1"/>
    <n v="19.690000000000001"/>
    <n v="1969"/>
    <n v="1"/>
    <n v="19.690000000000001"/>
    <x v="14"/>
    <x v="3"/>
    <x v="821"/>
    <x v="0"/>
    <x v="0"/>
    <s v="Librería Gran Vía"/>
    <x v="4"/>
    <n v="4"/>
    <n v="4"/>
  </r>
  <r>
    <s v="V001993"/>
    <s v="978-3-62565-160-2"/>
    <s v="El día que se perdió la cordura"/>
    <s v="Javier Castillo"/>
    <x v="1"/>
    <n v="20.79"/>
    <n v="2079"/>
    <n v="1"/>
    <n v="20.79"/>
    <x v="7"/>
    <x v="3"/>
    <x v="237"/>
    <x v="2"/>
    <x v="1"/>
    <s v="Tienda Online"/>
    <x v="2"/>
    <n v="4"/>
    <n v="4"/>
  </r>
  <r>
    <s v="V001994"/>
    <s v="978-9-72493-614-8"/>
    <s v="El chef en casa"/>
    <s v="Jamie Oliver"/>
    <x v="14"/>
    <n v="1.99"/>
    <n v="199"/>
    <n v="1"/>
    <n v="1.99"/>
    <x v="13"/>
    <x v="3"/>
    <x v="34"/>
    <x v="0"/>
    <x v="1"/>
    <s v="Tienda Online"/>
    <x v="2"/>
    <n v="5"/>
    <n v="5"/>
  </r>
  <r>
    <s v="V001995"/>
    <s v="978-8-31643-371-8"/>
    <s v="Hábitos atómicos"/>
    <s v="James Clear"/>
    <x v="0"/>
    <n v="16.059999999999999"/>
    <n v="1606"/>
    <n v="1"/>
    <n v="16.059999999999999"/>
    <x v="7"/>
    <x v="2"/>
    <x v="922"/>
    <x v="1"/>
    <x v="1"/>
    <s v="Tienda Online"/>
    <x v="4"/>
    <n v="4"/>
    <n v="4"/>
  </r>
  <r>
    <s v="V001996"/>
    <s v="978-6-10282-499-4"/>
    <s v="Patria"/>
    <s v="Fernando Aramburu"/>
    <x v="3"/>
    <n v="16.91"/>
    <n v="1691"/>
    <n v="1"/>
    <n v="16.91"/>
    <x v="1"/>
    <x v="0"/>
    <x v="794"/>
    <x v="1"/>
    <x v="1"/>
    <s v="Tienda Online"/>
    <x v="3"/>
    <n v="5"/>
    <n v="5"/>
  </r>
  <r>
    <s v="V001997"/>
    <s v="978-4-93886-804-8"/>
    <s v="Guerra y paz"/>
    <s v="León Tolstói"/>
    <x v="9"/>
    <n v="22.41"/>
    <n v="2241"/>
    <n v="1"/>
    <n v="22.41"/>
    <x v="17"/>
    <x v="0"/>
    <x v="740"/>
    <x v="2"/>
    <x v="1"/>
    <s v="Tienda Online"/>
    <x v="0"/>
    <n v="5"/>
    <n v="5"/>
  </r>
  <r>
    <s v="V001998"/>
    <s v="978-6-46434-564-5"/>
    <s v="En llamas"/>
    <s v="Suzanne Collins"/>
    <x v="8"/>
    <n v="16.39"/>
    <n v="1639"/>
    <n v="2"/>
    <n v="32.78"/>
    <x v="34"/>
    <x v="3"/>
    <x v="878"/>
    <x v="0"/>
    <x v="1"/>
    <s v="Tienda Online"/>
    <x v="4"/>
    <n v="5"/>
    <n v="5"/>
  </r>
  <r>
    <s v="V001999"/>
    <s v="978-8-21395-704-6"/>
    <s v="1984"/>
    <s v="George Orwell"/>
    <x v="12"/>
    <n v="16.39"/>
    <n v="1639"/>
    <n v="1"/>
    <n v="16.39"/>
    <x v="29"/>
    <x v="3"/>
    <x v="68"/>
    <x v="2"/>
    <x v="1"/>
    <s v="Tienda Online"/>
    <x v="2"/>
    <n v="3"/>
    <n v="3"/>
  </r>
  <r>
    <s v="V002000"/>
    <s v="978-2-92240-263-6"/>
    <s v="La casa de Bernarda Alba"/>
    <s v="Federico García Lorca"/>
    <x v="17"/>
    <n v="8.42"/>
    <n v="842"/>
    <n v="1"/>
    <n v="8.42"/>
    <x v="65"/>
    <x v="0"/>
    <x v="923"/>
    <x v="0"/>
    <x v="0"/>
    <s v="Librería Valencia Centro"/>
    <x v="3"/>
    <n v="1"/>
    <n v="1"/>
  </r>
  <r>
    <s v="V002001"/>
    <s v="978-0-22224-871-3"/>
    <s v="Un mundo sin fin"/>
    <s v="Ken Follett"/>
    <x v="16"/>
    <n v="19.46"/>
    <n v="1946"/>
    <n v="1"/>
    <n v="19.46"/>
    <x v="66"/>
    <x v="1"/>
    <x v="680"/>
    <x v="1"/>
    <x v="1"/>
    <s v="Tienda Online"/>
    <x v="0"/>
    <m/>
    <s v="Sin valoración"/>
  </r>
  <r>
    <s v="V002002"/>
    <s v="978-8-44973-887-5"/>
    <s v="Ángeles y demonios"/>
    <s v="Dan Brown"/>
    <x v="1"/>
    <n v="15.21"/>
    <n v="1521"/>
    <n v="1"/>
    <n v="15.21"/>
    <x v="28"/>
    <x v="0"/>
    <x v="373"/>
    <x v="2"/>
    <x v="1"/>
    <s v="Tienda Online"/>
    <x v="4"/>
    <n v="4"/>
    <n v="4"/>
  </r>
  <r>
    <s v="V002003"/>
    <s v="978-4-93886-804-8"/>
    <s v="Guerra y paz"/>
    <s v="León Tolstói"/>
    <x v="9"/>
    <n v="2.4900000000000002"/>
    <n v="249"/>
    <n v="1"/>
    <n v="2.4900000000000002"/>
    <x v="37"/>
    <x v="0"/>
    <x v="924"/>
    <x v="1"/>
    <x v="0"/>
    <s v="Librería Valencia Centro"/>
    <x v="1"/>
    <n v="5"/>
    <n v="5"/>
  </r>
  <r>
    <s v="V002004"/>
    <s v="978-8-44438-864-9"/>
    <s v="Rayuela"/>
    <s v="Julio Cortázar"/>
    <x v="9"/>
    <n v="1.69"/>
    <n v="169"/>
    <n v="1"/>
    <n v="1.69"/>
    <x v="28"/>
    <x v="1"/>
    <x v="875"/>
    <x v="1"/>
    <x v="1"/>
    <s v="Tienda Online"/>
    <x v="2"/>
    <n v="4"/>
    <n v="4"/>
  </r>
  <r>
    <s v="V002005"/>
    <s v="978-4-99593-763-1"/>
    <s v="Crimen y castigo"/>
    <s v="Fiódor Dostoyevski"/>
    <x v="9"/>
    <n v="14.19"/>
    <n v="1419"/>
    <n v="3"/>
    <n v="42.57"/>
    <x v="0"/>
    <x v="3"/>
    <x v="341"/>
    <x v="1"/>
    <x v="0"/>
    <s v="Librería Valencia Centro"/>
    <x v="2"/>
    <n v="5"/>
    <n v="5"/>
  </r>
  <r>
    <s v="V002006"/>
    <s v="978-9-93227-275-8"/>
    <s v="Los hermanos Karamázov"/>
    <s v="Fiódor Dostoyevski"/>
    <x v="9"/>
    <n v="15.12"/>
    <n v="1512"/>
    <n v="2"/>
    <n v="30.24"/>
    <x v="46"/>
    <x v="0"/>
    <x v="925"/>
    <x v="0"/>
    <x v="0"/>
    <s v="Librería Valencia Centro"/>
    <x v="1"/>
    <n v="3"/>
    <n v="3"/>
  </r>
  <r>
    <s v="V002007"/>
    <s v="978-7-77839-562-1"/>
    <s v="El principito"/>
    <s v="Antoine de Saint-Exupéry"/>
    <x v="6"/>
    <n v="7.92"/>
    <n v="792"/>
    <n v="1"/>
    <n v="7.92"/>
    <x v="11"/>
    <x v="2"/>
    <x v="926"/>
    <x v="1"/>
    <x v="0"/>
    <s v="Librería Barcelona Gòtic"/>
    <x v="0"/>
    <n v="4"/>
    <n v="4"/>
  </r>
  <r>
    <s v="V002008"/>
    <s v="978-0-40007-169-0"/>
    <s v="El Principito ilustrado"/>
    <s v="Antoine de Saint-Exupéry"/>
    <x v="6"/>
    <n v="12.72"/>
    <n v="1272"/>
    <n v="1"/>
    <n v="12.72"/>
    <x v="58"/>
    <x v="2"/>
    <x v="175"/>
    <x v="2"/>
    <x v="1"/>
    <s v="Tienda Online"/>
    <x v="2"/>
    <n v="4"/>
    <n v="4"/>
  </r>
  <r>
    <s v="V002009"/>
    <s v="978-7-19071-878-8"/>
    <s v="El poder del ahora"/>
    <s v="Eckhart Tolle"/>
    <x v="0"/>
    <n v="16.39"/>
    <n v="1639"/>
    <n v="3"/>
    <n v="49.17"/>
    <x v="37"/>
    <x v="2"/>
    <x v="590"/>
    <x v="1"/>
    <x v="1"/>
    <s v="Tienda Online"/>
    <x v="3"/>
    <n v="1"/>
    <n v="1"/>
  </r>
  <r>
    <s v="V002010"/>
    <s v="978-7-77839-562-1"/>
    <s v="El principito"/>
    <s v="Antoine de Saint-Exupéry"/>
    <x v="6"/>
    <n v="0.99"/>
    <n v="99"/>
    <n v="1"/>
    <n v="0.99"/>
    <x v="62"/>
    <x v="0"/>
    <x v="927"/>
    <x v="2"/>
    <x v="1"/>
    <s v="Tienda Online"/>
    <x v="1"/>
    <n v="4"/>
    <n v="4"/>
  </r>
  <r>
    <s v="V002011"/>
    <s v="978-0-51104-158-0"/>
    <s v="Manual de cocina fácil"/>
    <s v="Karlos Arguiñano"/>
    <x v="14"/>
    <n v="1.79"/>
    <n v="179"/>
    <n v="1"/>
    <n v="1.79"/>
    <x v="66"/>
    <x v="1"/>
    <x v="642"/>
    <x v="0"/>
    <x v="0"/>
    <s v="Librería Barcelona Gòtic"/>
    <x v="2"/>
    <n v="4"/>
    <n v="4"/>
  </r>
  <r>
    <s v="V002012"/>
    <s v="978-3-39451-165-5"/>
    <s v="Matilda"/>
    <s v="Roald Dahl"/>
    <x v="6"/>
    <n v="1.25"/>
    <n v="125"/>
    <n v="1"/>
    <n v="1.25"/>
    <x v="56"/>
    <x v="2"/>
    <x v="699"/>
    <x v="2"/>
    <x v="1"/>
    <s v="Tienda Online"/>
    <x v="3"/>
    <n v="4"/>
    <n v="4"/>
  </r>
  <r>
    <s v="V002013"/>
    <s v="978-8-33416-619-1"/>
    <s v="La chica del tren"/>
    <s v="Paula Hawkins"/>
    <x v="1"/>
    <n v="1.59"/>
    <n v="159"/>
    <n v="4"/>
    <n v="6.36"/>
    <x v="7"/>
    <x v="1"/>
    <x v="437"/>
    <x v="0"/>
    <x v="0"/>
    <s v="Librería Central Madrid"/>
    <x v="1"/>
    <n v="3"/>
    <n v="3"/>
  </r>
  <r>
    <s v="V002014"/>
    <s v="978-3-17665-693-8"/>
    <s v="La familia de Pascual Duarte"/>
    <s v="Camilo José Cela"/>
    <x v="9"/>
    <n v="1.29"/>
    <n v="129"/>
    <n v="2"/>
    <n v="2.58"/>
    <x v="68"/>
    <x v="3"/>
    <x v="411"/>
    <x v="1"/>
    <x v="0"/>
    <s v="Librería Barcelona Gòtic"/>
    <x v="1"/>
    <n v="5"/>
    <n v="5"/>
  </r>
  <r>
    <s v="V002015"/>
    <s v="978-2-58520-463-3"/>
    <s v="Sinsajo"/>
    <s v="Suzanne Collins"/>
    <x v="8"/>
    <n v="16.39"/>
    <n v="1639"/>
    <n v="1"/>
    <n v="16.39"/>
    <x v="20"/>
    <x v="2"/>
    <x v="213"/>
    <x v="0"/>
    <x v="0"/>
    <s v="Librería Barcelona Gòtic"/>
    <x v="1"/>
    <n v="3"/>
    <n v="3"/>
  </r>
  <r>
    <s v="V002016"/>
    <s v="978-5-50306-345-0"/>
    <s v="Homo Deus"/>
    <s v="Yuval Noah Harari"/>
    <x v="15"/>
    <n v="19.71"/>
    <n v="1971"/>
    <n v="3"/>
    <n v="59.13"/>
    <x v="43"/>
    <x v="0"/>
    <x v="555"/>
    <x v="1"/>
    <x v="1"/>
    <s v="Tienda Online"/>
    <x v="4"/>
    <n v="5"/>
    <n v="5"/>
  </r>
  <r>
    <s v="V002017"/>
    <s v="978-6-22676-467-5"/>
    <s v="Choque de Reyes"/>
    <s v="George R.R. Martin"/>
    <x v="2"/>
    <n v="1.99"/>
    <n v="199"/>
    <n v="2"/>
    <n v="3.98"/>
    <x v="67"/>
    <x v="1"/>
    <x v="219"/>
    <x v="2"/>
    <x v="1"/>
    <s v="Tienda Online"/>
    <x v="2"/>
    <n v="4"/>
    <n v="4"/>
  </r>
  <r>
    <s v="V002018"/>
    <s v="978-9-18326-494-6"/>
    <s v="Romancero gitano"/>
    <s v="Federico García Lorca"/>
    <x v="7"/>
    <n v="8.7200000000000006"/>
    <n v="872"/>
    <n v="2"/>
    <n v="17.440000000000001"/>
    <x v="39"/>
    <x v="1"/>
    <x v="928"/>
    <x v="0"/>
    <x v="1"/>
    <s v="Tienda Online"/>
    <x v="3"/>
    <m/>
    <s v="Sin valoración"/>
  </r>
  <r>
    <s v="V002019"/>
    <s v="978-3-97782-833-5"/>
    <s v="V de Vendetta"/>
    <s v="Alan Moore"/>
    <x v="10"/>
    <n v="1.89"/>
    <n v="189"/>
    <n v="3"/>
    <n v="5.67"/>
    <x v="40"/>
    <x v="3"/>
    <x v="380"/>
    <x v="2"/>
    <x v="1"/>
    <s v="Tienda Online"/>
    <x v="3"/>
    <n v="5"/>
    <n v="5"/>
  </r>
  <r>
    <s v="V002020"/>
    <s v="978-3-54118-204-1"/>
    <s v="Juego de Tronos"/>
    <s v="George R.R. Martin"/>
    <x v="2"/>
    <n v="15.92"/>
    <n v="1592"/>
    <n v="1"/>
    <n v="15.92"/>
    <x v="47"/>
    <x v="3"/>
    <x v="18"/>
    <x v="0"/>
    <x v="0"/>
    <s v="Librería Gran Vía"/>
    <x v="2"/>
    <n v="5"/>
    <n v="5"/>
  </r>
  <r>
    <s v="V002021"/>
    <s v="978-7-19071-878-8"/>
    <s v="El poder del ahora"/>
    <s v="Eckhart Tolle"/>
    <x v="0"/>
    <n v="1.49"/>
    <n v="149"/>
    <n v="2"/>
    <n v="2.98"/>
    <x v="27"/>
    <x v="3"/>
    <x v="592"/>
    <x v="2"/>
    <x v="1"/>
    <s v="Tienda Online"/>
    <x v="1"/>
    <n v="4"/>
    <n v="4"/>
  </r>
  <r>
    <s v="V002022"/>
    <s v="978-8-68800-243-6"/>
    <s v="El extranjero"/>
    <s v="Albert Camus"/>
    <x v="9"/>
    <n v="10.96"/>
    <n v="1096"/>
    <n v="1"/>
    <n v="10.96"/>
    <x v="39"/>
    <x v="0"/>
    <x v="804"/>
    <x v="2"/>
    <x v="1"/>
    <s v="Tienda Online"/>
    <x v="4"/>
    <n v="3"/>
    <n v="3"/>
  </r>
  <r>
    <s v="V002023"/>
    <s v="978-3-14207-924-5"/>
    <s v="La casa de los espíritus"/>
    <s v="Isabel Allende"/>
    <x v="3"/>
    <n v="15.21"/>
    <n v="1521"/>
    <n v="1"/>
    <n v="15.21"/>
    <x v="66"/>
    <x v="0"/>
    <x v="353"/>
    <x v="0"/>
    <x v="0"/>
    <s v="Librería Barcelona Gòtic"/>
    <x v="3"/>
    <n v="5"/>
    <n v="5"/>
  </r>
  <r>
    <s v="V002024"/>
    <s v="978-6-10282-499-4"/>
    <s v="Patria"/>
    <s v="Fernando Aramburu"/>
    <x v="3"/>
    <n v="1.99"/>
    <n v="199"/>
    <n v="2"/>
    <n v="3.98"/>
    <x v="5"/>
    <x v="3"/>
    <x v="428"/>
    <x v="2"/>
    <x v="1"/>
    <s v="Tienda Online"/>
    <x v="3"/>
    <n v="3"/>
    <n v="3"/>
  </r>
  <r>
    <s v="V002025"/>
    <s v="978-3-28131-621-7"/>
    <s v="El Aleph"/>
    <s v="Jorge Luis Borges"/>
    <x v="9"/>
    <n v="1.46"/>
    <n v="146"/>
    <n v="1"/>
    <n v="1.46"/>
    <x v="1"/>
    <x v="0"/>
    <x v="708"/>
    <x v="0"/>
    <x v="1"/>
    <s v="Tienda Online"/>
    <x v="3"/>
    <n v="5"/>
    <n v="5"/>
  </r>
  <r>
    <s v="V002026"/>
    <s v="978-9-78522-423-4"/>
    <s v="Maus"/>
    <s v="Art Spiegelman"/>
    <x v="10"/>
    <n v="1.69"/>
    <n v="169"/>
    <n v="2"/>
    <n v="3.38"/>
    <x v="37"/>
    <x v="2"/>
    <x v="557"/>
    <x v="0"/>
    <x v="1"/>
    <s v="Tienda Online"/>
    <x v="4"/>
    <n v="3"/>
    <n v="3"/>
  </r>
  <r>
    <s v="V002027"/>
    <s v="978-4-28301-352-8"/>
    <s v="El prisionero del cielo"/>
    <s v="Carlos Ruiz Zafón"/>
    <x v="3"/>
    <n v="1.79"/>
    <n v="179"/>
    <n v="1"/>
    <n v="1.79"/>
    <x v="68"/>
    <x v="1"/>
    <x v="299"/>
    <x v="0"/>
    <x v="0"/>
    <s v="Librería Barcelona Gòtic"/>
    <x v="4"/>
    <n v="3"/>
    <n v="3"/>
  </r>
  <r>
    <s v="V002028"/>
    <s v="978-0-51104-158-0"/>
    <s v="Manual de cocina fácil"/>
    <s v="Karlos Arguiñano"/>
    <x v="14"/>
    <n v="1.79"/>
    <n v="179"/>
    <n v="1"/>
    <n v="1.79"/>
    <x v="0"/>
    <x v="1"/>
    <x v="652"/>
    <x v="0"/>
    <x v="1"/>
    <s v="Tienda Online"/>
    <x v="1"/>
    <n v="5"/>
    <n v="5"/>
  </r>
  <r>
    <s v="V002029"/>
    <s v="978-1-68082-927-8"/>
    <s v="Náuseas"/>
    <s v="Jean-Paul Sartre"/>
    <x v="9"/>
    <n v="12.51"/>
    <n v="1251"/>
    <n v="1"/>
    <n v="12.51"/>
    <x v="53"/>
    <x v="1"/>
    <x v="813"/>
    <x v="1"/>
    <x v="0"/>
    <s v="Librería Valencia Centro"/>
    <x v="4"/>
    <n v="5"/>
    <n v="5"/>
  </r>
  <r>
    <s v="V002030"/>
    <s v="978-3-97782-833-5"/>
    <s v="V de Vendetta"/>
    <s v="Alan Moore"/>
    <x v="10"/>
    <n v="19.84"/>
    <n v="1984"/>
    <n v="2"/>
    <n v="39.68"/>
    <x v="45"/>
    <x v="2"/>
    <x v="793"/>
    <x v="2"/>
    <x v="1"/>
    <s v="Tienda Online"/>
    <x v="4"/>
    <n v="1"/>
    <n v="1"/>
  </r>
  <r>
    <s v="V002031"/>
    <s v="978-9-44671-926-0"/>
    <s v="El Hobbit"/>
    <s v="J.R.R. Tolkien"/>
    <x v="2"/>
    <n v="15.21"/>
    <n v="1521"/>
    <n v="2"/>
    <n v="30.42"/>
    <x v="37"/>
    <x v="2"/>
    <x v="599"/>
    <x v="1"/>
    <x v="1"/>
    <s v="Tienda Online"/>
    <x v="4"/>
    <m/>
    <s v="Sin valoración"/>
  </r>
  <r>
    <s v="V002032"/>
    <s v="978-1-16630-767-8"/>
    <s v="Los pilares de la Tierra"/>
    <s v="Ken Follett"/>
    <x v="16"/>
    <n v="18.61"/>
    <n v="1861"/>
    <n v="1"/>
    <n v="18.61"/>
    <x v="8"/>
    <x v="3"/>
    <x v="337"/>
    <x v="0"/>
    <x v="0"/>
    <s v="Librería Gran Vía"/>
    <x v="0"/>
    <n v="1"/>
    <n v="1"/>
  </r>
  <r>
    <s v="V002033"/>
    <s v="978-3-97782-833-5"/>
    <s v="V de Vendetta"/>
    <s v="Alan Moore"/>
    <x v="10"/>
    <n v="16.059999999999999"/>
    <n v="1606"/>
    <n v="1"/>
    <n v="16.059999999999999"/>
    <x v="69"/>
    <x v="3"/>
    <x v="348"/>
    <x v="0"/>
    <x v="0"/>
    <s v="Librería Barcelona Gòtic"/>
    <x v="2"/>
    <n v="4"/>
    <n v="4"/>
  </r>
  <r>
    <s v="V002034"/>
    <s v="978-0-51104-158-0"/>
    <s v="Manual de cocina fácil"/>
    <s v="Karlos Arguiñano"/>
    <x v="14"/>
    <n v="16.11"/>
    <n v="1611"/>
    <n v="1"/>
    <n v="16.11"/>
    <x v="37"/>
    <x v="0"/>
    <x v="642"/>
    <x v="1"/>
    <x v="1"/>
    <s v="Tienda Online"/>
    <x v="0"/>
    <m/>
    <s v="Sin valoración"/>
  </r>
  <r>
    <s v="V002035"/>
    <s v="978-3-39256-242-1"/>
    <s v="El amor en los tiempos del cólera"/>
    <s v="Gabriel García Márquez"/>
    <x v="3"/>
    <n v="1.75"/>
    <n v="175"/>
    <n v="1"/>
    <n v="1.75"/>
    <x v="46"/>
    <x v="0"/>
    <x v="898"/>
    <x v="1"/>
    <x v="0"/>
    <s v="Librería Barcelona Gòtic"/>
    <x v="4"/>
    <n v="5"/>
    <n v="5"/>
  </r>
  <r>
    <s v="V002036"/>
    <s v="978-9-72493-614-8"/>
    <s v="El chef en casa"/>
    <s v="Jamie Oliver"/>
    <x v="14"/>
    <n v="20.89"/>
    <n v="2089"/>
    <n v="2"/>
    <n v="41.78"/>
    <x v="45"/>
    <x v="0"/>
    <x v="709"/>
    <x v="1"/>
    <x v="0"/>
    <s v="Librería Gran Vía"/>
    <x v="1"/>
    <n v="5"/>
    <n v="5"/>
  </r>
  <r>
    <s v="V002037"/>
    <s v="978-0-22224-871-3"/>
    <s v="Un mundo sin fin"/>
    <s v="Ken Follett"/>
    <x v="16"/>
    <n v="20.61"/>
    <n v="2061"/>
    <n v="1"/>
    <n v="20.61"/>
    <x v="23"/>
    <x v="1"/>
    <x v="45"/>
    <x v="1"/>
    <x v="1"/>
    <s v="Tienda Online"/>
    <x v="4"/>
    <m/>
    <s v="Sin valoración"/>
  </r>
  <r>
    <s v="V002038"/>
    <s v="978-8-68800-243-6"/>
    <s v="El extranjero"/>
    <s v="Albert Camus"/>
    <x v="9"/>
    <n v="10.96"/>
    <n v="1096"/>
    <n v="1"/>
    <n v="10.96"/>
    <x v="64"/>
    <x v="2"/>
    <x v="409"/>
    <x v="0"/>
    <x v="0"/>
    <s v="Librería Barcelona Gòtic"/>
    <x v="0"/>
    <m/>
    <s v="Sin valoración"/>
  </r>
  <r>
    <s v="V002039"/>
    <s v="978-9-20745-529-9"/>
    <s v="Watchmen"/>
    <s v="Alan Moore"/>
    <x v="10"/>
    <n v="2.19"/>
    <n v="219"/>
    <n v="1"/>
    <n v="2.19"/>
    <x v="54"/>
    <x v="2"/>
    <x v="676"/>
    <x v="1"/>
    <x v="0"/>
    <s v="Librería Central Madrid"/>
    <x v="2"/>
    <m/>
    <s v="Sin valoración"/>
  </r>
  <r>
    <s v="V002040"/>
    <s v="978-5-50306-345-0"/>
    <s v="Homo Deus"/>
    <s v="Yuval Noah Harari"/>
    <x v="15"/>
    <n v="2.2999999999999998"/>
    <n v="230"/>
    <n v="1"/>
    <n v="2.2999999999999998"/>
    <x v="28"/>
    <x v="0"/>
    <x v="69"/>
    <x v="0"/>
    <x v="0"/>
    <s v="Librería Central Madrid"/>
    <x v="4"/>
    <n v="5"/>
    <n v="5"/>
  </r>
  <r>
    <s v="V002041"/>
    <s v="978-5-85674-296-1"/>
    <s v="Harry Potter y la cámara secreta"/>
    <s v="J.K. Rowling"/>
    <x v="8"/>
    <n v="14.31"/>
    <n v="1431"/>
    <n v="1"/>
    <n v="14.31"/>
    <x v="20"/>
    <x v="1"/>
    <x v="693"/>
    <x v="2"/>
    <x v="1"/>
    <s v="Tienda Online"/>
    <x v="0"/>
    <n v="4"/>
    <n v="4"/>
  </r>
  <r>
    <s v="V002042"/>
    <s v="978-4-93748-619-9"/>
    <s v="Perdida"/>
    <s v="Gillian Flynn"/>
    <x v="1"/>
    <n v="1.65"/>
    <n v="165"/>
    <n v="1"/>
    <n v="1.65"/>
    <x v="55"/>
    <x v="3"/>
    <x v="236"/>
    <x v="2"/>
    <x v="1"/>
    <s v="Tienda Online"/>
    <x v="4"/>
    <n v="4"/>
    <n v="4"/>
  </r>
  <r>
    <s v="V002043"/>
    <s v="978-2-18981-709-1"/>
    <s v="Una breve historia del tiempo"/>
    <s v="Stephen Hawking"/>
    <x v="11"/>
    <n v="1.69"/>
    <n v="169"/>
    <n v="4"/>
    <n v="6.76"/>
    <x v="53"/>
    <x v="1"/>
    <x v="255"/>
    <x v="2"/>
    <x v="1"/>
    <s v="Tienda Online"/>
    <x v="1"/>
    <n v="5"/>
    <n v="5"/>
  </r>
  <r>
    <s v="V002044"/>
    <s v="978-3-84364-180-1"/>
    <s v="21 lecciones para el siglo XXI"/>
    <s v="Yuval Noah Harari"/>
    <x v="15"/>
    <n v="1.99"/>
    <n v="199"/>
    <n v="1"/>
    <n v="1.99"/>
    <x v="7"/>
    <x v="0"/>
    <x v="911"/>
    <x v="2"/>
    <x v="1"/>
    <s v="Tienda Online"/>
    <x v="4"/>
    <n v="5"/>
    <n v="5"/>
  </r>
  <r>
    <s v="V002045"/>
    <s v="978-9-71348-641-4"/>
    <s v="Veinte poemas de amor"/>
    <s v="Pablo Neruda"/>
    <x v="7"/>
    <n v="8.91"/>
    <n v="891"/>
    <n v="1"/>
    <n v="8.91"/>
    <x v="60"/>
    <x v="2"/>
    <x v="44"/>
    <x v="2"/>
    <x v="1"/>
    <s v="Tienda Online"/>
    <x v="4"/>
    <n v="4"/>
    <n v="4"/>
  </r>
  <r>
    <s v="V002046"/>
    <s v="978-1-68082-927-8"/>
    <s v="Náuseas"/>
    <s v="Jean-Paul Sartre"/>
    <x v="9"/>
    <n v="11.81"/>
    <n v="1181"/>
    <n v="4"/>
    <n v="47.24"/>
    <x v="41"/>
    <x v="0"/>
    <x v="847"/>
    <x v="2"/>
    <x v="1"/>
    <s v="Tienda Online"/>
    <x v="4"/>
    <n v="5"/>
    <n v="5"/>
  </r>
  <r>
    <s v="V002047"/>
    <s v="978-9-72493-614-8"/>
    <s v="El chef en casa"/>
    <s v="Jamie Oliver"/>
    <x v="14"/>
    <n v="1.99"/>
    <n v="199"/>
    <n v="2"/>
    <n v="3.98"/>
    <x v="12"/>
    <x v="1"/>
    <x v="101"/>
    <x v="1"/>
    <x v="1"/>
    <s v="Tienda Online"/>
    <x v="2"/>
    <n v="4"/>
    <n v="4"/>
  </r>
  <r>
    <s v="V002048"/>
    <s v="978-7-47388-533-8"/>
    <s v="Los besos"/>
    <s v="Manuel Vilas"/>
    <x v="3"/>
    <n v="16.059999999999999"/>
    <n v="1606"/>
    <n v="1"/>
    <n v="16.059999999999999"/>
    <x v="57"/>
    <x v="3"/>
    <x v="892"/>
    <x v="1"/>
    <x v="0"/>
    <s v="Librería Valencia Centro"/>
    <x v="2"/>
    <n v="3"/>
    <n v="3"/>
  </r>
  <r>
    <s v="V002049"/>
    <s v="978-8-21395-704-6"/>
    <s v="1984"/>
    <s v="George Orwell"/>
    <x v="12"/>
    <n v="12.66"/>
    <n v="1266"/>
    <n v="1"/>
    <n v="12.66"/>
    <x v="28"/>
    <x v="3"/>
    <x v="883"/>
    <x v="2"/>
    <x v="1"/>
    <s v="Tienda Online"/>
    <x v="1"/>
    <n v="4"/>
    <n v="4"/>
  </r>
  <r>
    <s v="V002050"/>
    <s v="978-3-50857-508-5"/>
    <s v="Piense y hágase rico"/>
    <s v="Napoleon Hill"/>
    <x v="5"/>
    <n v="11.81"/>
    <n v="1181"/>
    <n v="1"/>
    <n v="11.81"/>
    <x v="19"/>
    <x v="2"/>
    <x v="498"/>
    <x v="2"/>
    <x v="1"/>
    <s v="Tienda Online"/>
    <x v="3"/>
    <n v="3"/>
    <n v="3"/>
  </r>
  <r>
    <s v="V002051"/>
    <s v="978-3-99733-432-0"/>
    <s v="Don Quijote de la Mancha"/>
    <s v="Miguel de Cervantes"/>
    <x v="9"/>
    <n v="20.89"/>
    <n v="2089"/>
    <n v="1"/>
    <n v="20.89"/>
    <x v="10"/>
    <x v="1"/>
    <x v="785"/>
    <x v="1"/>
    <x v="0"/>
    <s v="Librería Barcelona Gòtic"/>
    <x v="1"/>
    <m/>
    <s v="Sin valoración"/>
  </r>
  <r>
    <s v="V002052"/>
    <s v="978-8-44438-864-9"/>
    <s v="Rayuela"/>
    <s v="Julio Cortázar"/>
    <x v="9"/>
    <n v="13.52"/>
    <n v="1352"/>
    <n v="1"/>
    <n v="13.52"/>
    <x v="27"/>
    <x v="1"/>
    <x v="727"/>
    <x v="1"/>
    <x v="1"/>
    <s v="Tienda Online"/>
    <x v="4"/>
    <n v="4"/>
    <n v="4"/>
  </r>
  <r>
    <s v="V002053"/>
    <s v="978-0-51104-158-0"/>
    <s v="Manual de cocina fácil"/>
    <s v="Karlos Arguiñano"/>
    <x v="14"/>
    <n v="1.79"/>
    <n v="179"/>
    <n v="1"/>
    <n v="1.79"/>
    <x v="70"/>
    <x v="0"/>
    <x v="796"/>
    <x v="0"/>
    <x v="0"/>
    <s v="Librería Central Madrid"/>
    <x v="1"/>
    <m/>
    <s v="Sin valoración"/>
  </r>
  <r>
    <s v="V002054"/>
    <s v="978-7-17100-789-1"/>
    <s v="Carrie"/>
    <s v="Stephen King"/>
    <x v="4"/>
    <n v="12.66"/>
    <n v="1266"/>
    <n v="4"/>
    <n v="50.64"/>
    <x v="47"/>
    <x v="0"/>
    <x v="94"/>
    <x v="0"/>
    <x v="1"/>
    <s v="Tienda Online"/>
    <x v="4"/>
    <n v="4"/>
    <n v="4"/>
  </r>
  <r>
    <s v="V002055"/>
    <s v="978-7-47388-533-8"/>
    <s v="Los besos"/>
    <s v="Manuel Vilas"/>
    <x v="3"/>
    <n v="1.89"/>
    <n v="189"/>
    <n v="1"/>
    <n v="1.89"/>
    <x v="13"/>
    <x v="0"/>
    <x v="903"/>
    <x v="1"/>
    <x v="0"/>
    <s v="Librería Central Madrid"/>
    <x v="1"/>
    <n v="4"/>
    <n v="4"/>
  </r>
  <r>
    <s v="V002056"/>
    <s v="978-5-19287-626-3"/>
    <s v="Coraline"/>
    <s v="Neil Gaiman"/>
    <x v="8"/>
    <n v="1.39"/>
    <n v="139"/>
    <n v="2"/>
    <n v="2.78"/>
    <x v="64"/>
    <x v="1"/>
    <x v="745"/>
    <x v="2"/>
    <x v="1"/>
    <s v="Tienda Online"/>
    <x v="3"/>
    <n v="3"/>
    <n v="3"/>
  </r>
  <r>
    <s v="V002057"/>
    <s v="978-9-65461-316-8"/>
    <s v="Padre rico, padre pobre"/>
    <s v="Robert Kiyosaki"/>
    <x v="5"/>
    <n v="14.36"/>
    <n v="1436"/>
    <n v="3"/>
    <n v="43.08"/>
    <x v="45"/>
    <x v="0"/>
    <x v="839"/>
    <x v="2"/>
    <x v="1"/>
    <s v="Tienda Online"/>
    <x v="1"/>
    <n v="1"/>
    <n v="1"/>
  </r>
  <r>
    <s v="V002058"/>
    <s v="978-6-86484-508-5"/>
    <s v="Ficciones"/>
    <s v="Jorge Luis Borges"/>
    <x v="9"/>
    <n v="13.41"/>
    <n v="1341"/>
    <n v="1"/>
    <n v="13.41"/>
    <x v="5"/>
    <x v="2"/>
    <x v="889"/>
    <x v="2"/>
    <x v="1"/>
    <s v="Tienda Online"/>
    <x v="4"/>
    <n v="5"/>
    <n v="5"/>
  </r>
  <r>
    <s v="V002059"/>
    <s v="978-0-13905-195-3"/>
    <s v="Rebelión en la granja"/>
    <s v="George Orwell"/>
    <x v="3"/>
    <n v="13.75"/>
    <n v="1375"/>
    <n v="2"/>
    <n v="27.5"/>
    <x v="28"/>
    <x v="2"/>
    <x v="305"/>
    <x v="0"/>
    <x v="1"/>
    <s v="Tienda Online"/>
    <x v="3"/>
    <n v="5"/>
    <n v="5"/>
  </r>
  <r>
    <s v="V002060"/>
    <s v="978-7-80284-227-6"/>
    <s v="El Señor de los Anillos"/>
    <s v="J.R.R. Tolkien"/>
    <x v="2"/>
    <n v="32.89"/>
    <n v="3289"/>
    <n v="1"/>
    <n v="32.89"/>
    <x v="50"/>
    <x v="1"/>
    <x v="244"/>
    <x v="2"/>
    <x v="1"/>
    <s v="Tienda Online"/>
    <x v="4"/>
    <n v="3"/>
    <n v="3"/>
  </r>
  <r>
    <s v="V002061"/>
    <s v="978-5-50306-345-0"/>
    <s v="Homo Deus"/>
    <s v="Yuval Noah Harari"/>
    <x v="15"/>
    <n v="2.19"/>
    <n v="219"/>
    <n v="1"/>
    <n v="2.19"/>
    <x v="4"/>
    <x v="1"/>
    <x v="843"/>
    <x v="0"/>
    <x v="1"/>
    <s v="Tienda Online"/>
    <x v="1"/>
    <m/>
    <s v="Sin valoración"/>
  </r>
  <r>
    <s v="V002062"/>
    <s v="978-4-99593-763-1"/>
    <s v="Crimen y castigo"/>
    <s v="Fiódor Dostoyevski"/>
    <x v="9"/>
    <n v="13.55"/>
    <n v="1355"/>
    <n v="3"/>
    <n v="40.650000000000006"/>
    <x v="18"/>
    <x v="0"/>
    <x v="519"/>
    <x v="1"/>
    <x v="1"/>
    <s v="Tienda Online"/>
    <x v="0"/>
    <n v="4"/>
    <n v="4"/>
  </r>
  <r>
    <s v="V002063"/>
    <s v="978-8-79514-100-9"/>
    <s v="La chica en la telaraña"/>
    <s v="David Lagercrantz"/>
    <x v="1"/>
    <n v="18.79"/>
    <n v="1879"/>
    <n v="1"/>
    <n v="18.79"/>
    <x v="49"/>
    <x v="0"/>
    <x v="929"/>
    <x v="1"/>
    <x v="0"/>
    <s v="Librería Valencia Centro"/>
    <x v="4"/>
    <n v="5"/>
    <n v="5"/>
  </r>
  <r>
    <s v="V002064"/>
    <s v="978-8-68800-243-6"/>
    <s v="El extranjero"/>
    <s v="Albert Camus"/>
    <x v="9"/>
    <n v="1.29"/>
    <n v="129"/>
    <n v="1"/>
    <n v="1.29"/>
    <x v="64"/>
    <x v="0"/>
    <x v="389"/>
    <x v="1"/>
    <x v="1"/>
    <s v="Tienda Online"/>
    <x v="3"/>
    <m/>
    <s v="Sin valoración"/>
  </r>
  <r>
    <s v="V002065"/>
    <s v="978-1-68082-927-8"/>
    <s v="Náuseas"/>
    <s v="Jean-Paul Sartre"/>
    <x v="9"/>
    <n v="1.39"/>
    <n v="139"/>
    <n v="1"/>
    <n v="1.39"/>
    <x v="22"/>
    <x v="3"/>
    <x v="523"/>
    <x v="1"/>
    <x v="0"/>
    <s v="Librería Valencia Centro"/>
    <x v="4"/>
    <n v="3"/>
    <n v="3"/>
  </r>
  <r>
    <s v="V002066"/>
    <s v="978-6-10282-499-4"/>
    <s v="Patria"/>
    <s v="Fernando Aramburu"/>
    <x v="3"/>
    <n v="1.99"/>
    <n v="199"/>
    <n v="1"/>
    <n v="1.99"/>
    <x v="0"/>
    <x v="0"/>
    <x v="43"/>
    <x v="2"/>
    <x v="1"/>
    <s v="Tienda Online"/>
    <x v="1"/>
    <n v="5"/>
    <n v="5"/>
  </r>
  <r>
    <s v="V002067"/>
    <s v="978-5-19287-626-3"/>
    <s v="Coraline"/>
    <s v="Neil Gaiman"/>
    <x v="8"/>
    <n v="12.51"/>
    <n v="1251"/>
    <n v="1"/>
    <n v="12.51"/>
    <x v="29"/>
    <x v="0"/>
    <x v="442"/>
    <x v="0"/>
    <x v="0"/>
    <s v="Librería Gran Vía"/>
    <x v="1"/>
    <n v="5"/>
    <n v="5"/>
  </r>
  <r>
    <s v="V002068"/>
    <s v="978-8-36062-833-8"/>
    <s v="Crónicas marcianas"/>
    <s v="Ray Bradbury"/>
    <x v="12"/>
    <n v="12.16"/>
    <n v="1216"/>
    <n v="3"/>
    <n v="36.480000000000004"/>
    <x v="45"/>
    <x v="2"/>
    <x v="576"/>
    <x v="0"/>
    <x v="0"/>
    <s v="Librería Valencia Centro"/>
    <x v="2"/>
    <n v="5"/>
    <n v="5"/>
  </r>
  <r>
    <s v="V002069"/>
    <s v="978-9-71348-641-4"/>
    <s v="Veinte poemas de amor"/>
    <s v="Pablo Neruda"/>
    <x v="7"/>
    <n v="10.89"/>
    <n v="1089"/>
    <n v="1"/>
    <n v="10.89"/>
    <x v="45"/>
    <x v="0"/>
    <x v="399"/>
    <x v="1"/>
    <x v="0"/>
    <s v="Librería Gran Vía"/>
    <x v="1"/>
    <n v="5"/>
    <n v="5"/>
  </r>
  <r>
    <s v="V002070"/>
    <s v="978-5-50306-345-0"/>
    <s v="Homo Deus"/>
    <s v="Yuval Noah Harari"/>
    <x v="15"/>
    <n v="17.52"/>
    <n v="1752"/>
    <n v="1"/>
    <n v="17.52"/>
    <x v="5"/>
    <x v="3"/>
    <x v="20"/>
    <x v="0"/>
    <x v="1"/>
    <s v="Tienda Online"/>
    <x v="0"/>
    <m/>
    <s v="Sin valoración"/>
  </r>
  <r>
    <s v="V002071"/>
    <s v="978-2-18981-709-1"/>
    <s v="Una breve historia del tiempo"/>
    <s v="Stephen Hawking"/>
    <x v="11"/>
    <n v="15.21"/>
    <n v="1521"/>
    <n v="1"/>
    <n v="15.21"/>
    <x v="51"/>
    <x v="0"/>
    <x v="280"/>
    <x v="0"/>
    <x v="0"/>
    <s v="Librería Sevilla Triana"/>
    <x v="1"/>
    <n v="3"/>
    <n v="3"/>
  </r>
  <r>
    <s v="V002072"/>
    <s v="978-8-11504-796-1"/>
    <s v="El código Da Vinci"/>
    <s v="Dan Brown"/>
    <x v="1"/>
    <n v="13.52"/>
    <n v="1352"/>
    <n v="2"/>
    <n v="27.04"/>
    <x v="32"/>
    <x v="1"/>
    <x v="920"/>
    <x v="1"/>
    <x v="0"/>
    <s v="Librería Gran Vía"/>
    <x v="0"/>
    <n v="1"/>
    <n v="1"/>
  </r>
  <r>
    <s v="V002073"/>
    <s v="978-2-63269-597-7"/>
    <s v="La chica de nieve"/>
    <s v="Javier Castillo"/>
    <x v="1"/>
    <n v="15.12"/>
    <n v="1512"/>
    <n v="1"/>
    <n v="15.12"/>
    <x v="67"/>
    <x v="3"/>
    <x v="502"/>
    <x v="0"/>
    <x v="1"/>
    <s v="Tienda Online"/>
    <x v="3"/>
    <n v="2"/>
    <n v="2"/>
  </r>
  <r>
    <s v="V002074"/>
    <s v="978-0-13905-195-3"/>
    <s v="Rebelión en la granja"/>
    <s v="George Orwell"/>
    <x v="3"/>
    <n v="1.25"/>
    <n v="125"/>
    <n v="1"/>
    <n v="1.25"/>
    <x v="38"/>
    <x v="1"/>
    <x v="86"/>
    <x v="0"/>
    <x v="1"/>
    <s v="Tienda Online"/>
    <x v="2"/>
    <n v="4"/>
    <n v="4"/>
  </r>
  <r>
    <s v="V002075"/>
    <s v="978-0-87110-667-3"/>
    <s v="Charlie y la fábrica de chocolate"/>
    <s v="Roald Dahl"/>
    <x v="6"/>
    <n v="1.19"/>
    <n v="119"/>
    <n v="1"/>
    <n v="1.19"/>
    <x v="58"/>
    <x v="0"/>
    <x v="93"/>
    <x v="2"/>
    <x v="1"/>
    <s v="Tienda Online"/>
    <x v="0"/>
    <n v="5"/>
    <n v="5"/>
  </r>
  <r>
    <s v="V002076"/>
    <s v="978-1-68082-927-8"/>
    <s v="Náuseas"/>
    <s v="Jean-Paul Sartre"/>
    <x v="9"/>
    <n v="11.81"/>
    <n v="1181"/>
    <n v="1"/>
    <n v="11.81"/>
    <x v="7"/>
    <x v="1"/>
    <x v="450"/>
    <x v="0"/>
    <x v="0"/>
    <s v="Librería Central Madrid"/>
    <x v="0"/>
    <n v="3"/>
    <n v="3"/>
  </r>
  <r>
    <s v="V002077"/>
    <s v="978-3-17665-693-8"/>
    <s v="La familia de Pascual Duarte"/>
    <s v="Camilo José Cela"/>
    <x v="9"/>
    <n v="14.19"/>
    <n v="1419"/>
    <n v="1"/>
    <n v="14.19"/>
    <x v="36"/>
    <x v="3"/>
    <x v="412"/>
    <x v="1"/>
    <x v="0"/>
    <s v="Librería Valencia Centro"/>
    <x v="4"/>
    <m/>
    <s v="Sin valoración"/>
  </r>
  <r>
    <s v="V002078"/>
    <s v="978-6-10282-499-4"/>
    <s v="Patria"/>
    <s v="Fernando Aramburu"/>
    <x v="3"/>
    <n v="1.99"/>
    <n v="199"/>
    <n v="1"/>
    <n v="1.99"/>
    <x v="48"/>
    <x v="3"/>
    <x v="413"/>
    <x v="2"/>
    <x v="1"/>
    <s v="Tienda Online"/>
    <x v="2"/>
    <n v="1"/>
    <n v="1"/>
  </r>
  <r>
    <s v="V002079"/>
    <s v="978-8-27342-840-9"/>
    <s v="Stardust"/>
    <s v="Neil Gaiman"/>
    <x v="2"/>
    <n v="12.72"/>
    <n v="1272"/>
    <n v="1"/>
    <n v="12.72"/>
    <x v="12"/>
    <x v="3"/>
    <x v="438"/>
    <x v="1"/>
    <x v="0"/>
    <s v="Librería Gran Vía"/>
    <x v="2"/>
    <m/>
    <s v="Sin valoración"/>
  </r>
  <r>
    <s v="V002080"/>
    <s v="978-9-44671-926-0"/>
    <s v="El Hobbit"/>
    <s v="J.R.R. Tolkien"/>
    <x v="2"/>
    <n v="1.69"/>
    <n v="169"/>
    <n v="1"/>
    <n v="1.69"/>
    <x v="1"/>
    <x v="3"/>
    <x v="761"/>
    <x v="2"/>
    <x v="1"/>
    <s v="Tienda Online"/>
    <x v="2"/>
    <n v="3"/>
    <n v="3"/>
  </r>
  <r>
    <s v="V002081"/>
    <s v="978-6-45093-167-3"/>
    <s v="Paula"/>
    <s v="Isabel Allende"/>
    <x v="13"/>
    <n v="1.59"/>
    <n v="159"/>
    <n v="1"/>
    <n v="1.59"/>
    <x v="63"/>
    <x v="3"/>
    <x v="930"/>
    <x v="0"/>
    <x v="1"/>
    <s v="Tienda Online"/>
    <x v="1"/>
    <n v="4"/>
    <n v="4"/>
  </r>
  <r>
    <s v="V002082"/>
    <s v="978-2-58520-463-3"/>
    <s v="Sinsajo"/>
    <s v="Suzanne Collins"/>
    <x v="8"/>
    <n v="11.92"/>
    <n v="1192"/>
    <n v="2"/>
    <n v="23.84"/>
    <x v="60"/>
    <x v="1"/>
    <x v="379"/>
    <x v="0"/>
    <x v="0"/>
    <s v="Librería Sevilla Triana"/>
    <x v="0"/>
    <n v="5"/>
    <n v="5"/>
  </r>
  <r>
    <s v="V002083"/>
    <s v="978-0-96673-333-4"/>
    <s v="Harry Potter y el prisionero de Azkaban"/>
    <s v="J.K. Rowling"/>
    <x v="8"/>
    <n v="13.52"/>
    <n v="1352"/>
    <n v="1"/>
    <n v="13.52"/>
    <x v="20"/>
    <x v="0"/>
    <x v="625"/>
    <x v="1"/>
    <x v="1"/>
    <s v="Tienda Online"/>
    <x v="3"/>
    <n v="1"/>
    <n v="1"/>
  </r>
  <r>
    <s v="V002084"/>
    <s v="978-3-31417-573-6"/>
    <s v="Ana Karenina"/>
    <s v="León Tolstói"/>
    <x v="9"/>
    <n v="15.21"/>
    <n v="1521"/>
    <n v="1"/>
    <n v="15.21"/>
    <x v="39"/>
    <x v="3"/>
    <x v="359"/>
    <x v="2"/>
    <x v="1"/>
    <s v="Tienda Online"/>
    <x v="2"/>
    <n v="4"/>
    <n v="4"/>
  </r>
  <r>
    <s v="V002085"/>
    <s v="978-7-77839-562-1"/>
    <s v="El principito"/>
    <s v="Antoine de Saint-Exupéry"/>
    <x v="6"/>
    <n v="0.99"/>
    <n v="99"/>
    <n v="1"/>
    <n v="0.99"/>
    <x v="24"/>
    <x v="1"/>
    <x v="657"/>
    <x v="2"/>
    <x v="1"/>
    <s v="Tienda Online"/>
    <x v="3"/>
    <n v="5"/>
    <n v="5"/>
  </r>
  <r>
    <s v="V002086"/>
    <s v="978-7-80284-227-6"/>
    <s v="El Señor de los Anillos"/>
    <s v="J.R.R. Tolkien"/>
    <x v="2"/>
    <n v="2.99"/>
    <n v="299"/>
    <n v="3"/>
    <n v="8.9700000000000006"/>
    <x v="63"/>
    <x v="0"/>
    <x v="581"/>
    <x v="2"/>
    <x v="1"/>
    <s v="Tienda Online"/>
    <x v="1"/>
    <n v="4"/>
    <n v="4"/>
  </r>
  <r>
    <s v="V002087"/>
    <s v="978-0-62772-845-5"/>
    <s v="Drácula"/>
    <s v="Bram Stoker"/>
    <x v="4"/>
    <n v="11.61"/>
    <n v="1161"/>
    <n v="1"/>
    <n v="11.61"/>
    <x v="26"/>
    <x v="1"/>
    <x v="169"/>
    <x v="1"/>
    <x v="1"/>
    <s v="Tienda Online"/>
    <x v="1"/>
    <n v="3"/>
    <n v="3"/>
  </r>
  <r>
    <s v="V002088"/>
    <s v="978-8-21395-704-6"/>
    <s v="1984"/>
    <s v="George Orwell"/>
    <x v="12"/>
    <n v="16.39"/>
    <n v="1639"/>
    <n v="1"/>
    <n v="16.39"/>
    <x v="8"/>
    <x v="0"/>
    <x v="165"/>
    <x v="0"/>
    <x v="0"/>
    <s v="Librería Central Madrid"/>
    <x v="0"/>
    <n v="5"/>
    <n v="5"/>
  </r>
  <r>
    <s v="V002089"/>
    <s v="978-1-42591-296-3"/>
    <s v="Frankenstein"/>
    <s v="Mary Shelley"/>
    <x v="4"/>
    <n v="10.71"/>
    <n v="1071"/>
    <n v="1"/>
    <n v="10.71"/>
    <x v="67"/>
    <x v="0"/>
    <x v="335"/>
    <x v="1"/>
    <x v="0"/>
    <s v="Librería Central Madrid"/>
    <x v="1"/>
    <n v="5"/>
    <n v="5"/>
  </r>
  <r>
    <s v="V002090"/>
    <s v="978-8-36062-833-8"/>
    <s v="Crónicas marcianas"/>
    <s v="Ray Bradbury"/>
    <x v="12"/>
    <n v="15.96"/>
    <n v="1596"/>
    <n v="2"/>
    <n v="31.92"/>
    <x v="42"/>
    <x v="1"/>
    <x v="22"/>
    <x v="2"/>
    <x v="1"/>
    <s v="Tienda Online"/>
    <x v="2"/>
    <n v="5"/>
    <n v="5"/>
  </r>
  <r>
    <s v="V002091"/>
    <s v="978-9-78522-423-4"/>
    <s v="Maus"/>
    <s v="Art Spiegelman"/>
    <x v="10"/>
    <n v="14.36"/>
    <n v="1436"/>
    <n v="2"/>
    <n v="28.72"/>
    <x v="69"/>
    <x v="0"/>
    <x v="201"/>
    <x v="1"/>
    <x v="1"/>
    <s v="Tienda Online"/>
    <x v="1"/>
    <n v="4"/>
    <n v="4"/>
  </r>
  <r>
    <s v="V002092"/>
    <s v="978-3-14207-924-5"/>
    <s v="La casa de los espíritus"/>
    <s v="Isabel Allende"/>
    <x v="3"/>
    <n v="14.32"/>
    <n v="1432"/>
    <n v="2"/>
    <n v="28.64"/>
    <x v="51"/>
    <x v="3"/>
    <x v="468"/>
    <x v="0"/>
    <x v="1"/>
    <s v="Tienda Online"/>
    <x v="0"/>
    <n v="5"/>
    <n v="5"/>
  </r>
  <r>
    <s v="V002093"/>
    <s v="978-8-36062-833-8"/>
    <s v="Crónicas marcianas"/>
    <s v="Ray Bradbury"/>
    <x v="12"/>
    <n v="15.96"/>
    <n v="1596"/>
    <n v="1"/>
    <n v="15.96"/>
    <x v="25"/>
    <x v="3"/>
    <x v="458"/>
    <x v="0"/>
    <x v="1"/>
    <s v="Tienda Online"/>
    <x v="2"/>
    <n v="2"/>
    <n v="2"/>
  </r>
  <r>
    <s v="V002094"/>
    <s v="978-0-22224-871-3"/>
    <s v="Un mundo sin fin"/>
    <s v="Ken Follett"/>
    <x v="16"/>
    <n v="2.29"/>
    <n v="229"/>
    <n v="3"/>
    <n v="6.87"/>
    <x v="34"/>
    <x v="2"/>
    <x v="365"/>
    <x v="0"/>
    <x v="1"/>
    <s v="Tienda Online"/>
    <x v="1"/>
    <n v="4"/>
    <n v="4"/>
  </r>
  <r>
    <s v="V002095"/>
    <s v="978-3-39451-165-5"/>
    <s v="Matilda"/>
    <s v="Roald Dahl"/>
    <x v="6"/>
    <n v="1.19"/>
    <n v="119"/>
    <n v="1"/>
    <n v="1.19"/>
    <x v="58"/>
    <x v="1"/>
    <x v="383"/>
    <x v="0"/>
    <x v="1"/>
    <s v="Tienda Online"/>
    <x v="0"/>
    <n v="4"/>
    <n v="4"/>
  </r>
  <r>
    <s v="V002096"/>
    <s v="978-8-21395-704-6"/>
    <s v="1984"/>
    <s v="George Orwell"/>
    <x v="12"/>
    <n v="16.39"/>
    <n v="1639"/>
    <n v="1"/>
    <n v="16.39"/>
    <x v="67"/>
    <x v="3"/>
    <x v="683"/>
    <x v="2"/>
    <x v="1"/>
    <s v="Tienda Online"/>
    <x v="3"/>
    <n v="4"/>
    <n v="4"/>
  </r>
  <r>
    <s v="V002097"/>
    <s v="978-6-54597-384-2"/>
    <s v="El temor de un hombre sabio"/>
    <s v="Patrick Rothfuss"/>
    <x v="2"/>
    <n v="2.4900000000000002"/>
    <n v="249"/>
    <n v="1"/>
    <n v="2.4900000000000002"/>
    <x v="63"/>
    <x v="0"/>
    <x v="419"/>
    <x v="2"/>
    <x v="1"/>
    <s v="Tienda Online"/>
    <x v="2"/>
    <n v="2"/>
    <n v="2"/>
  </r>
  <r>
    <s v="V002098"/>
    <s v="978-9-72493-614-8"/>
    <s v="El chef en casa"/>
    <s v="Jamie Oliver"/>
    <x v="14"/>
    <n v="17.91"/>
    <n v="1791"/>
    <n v="1"/>
    <n v="17.91"/>
    <x v="30"/>
    <x v="2"/>
    <x v="426"/>
    <x v="2"/>
    <x v="1"/>
    <s v="Tienda Online"/>
    <x v="2"/>
    <n v="2"/>
    <n v="2"/>
  </r>
  <r>
    <s v="V002099"/>
    <s v="978-5-50306-345-0"/>
    <s v="Homo Deus"/>
    <s v="Yuval Noah Harari"/>
    <x v="15"/>
    <n v="2.19"/>
    <n v="219"/>
    <n v="2"/>
    <n v="4.38"/>
    <x v="16"/>
    <x v="3"/>
    <x v="338"/>
    <x v="2"/>
    <x v="1"/>
    <s v="Tienda Online"/>
    <x v="2"/>
    <n v="5"/>
    <n v="5"/>
  </r>
  <r>
    <s v="V002100"/>
    <s v="978-6-22676-467-5"/>
    <s v="Choque de Reyes"/>
    <s v="George R.R. Martin"/>
    <x v="2"/>
    <n v="15.92"/>
    <n v="1592"/>
    <n v="4"/>
    <n v="63.68"/>
    <x v="8"/>
    <x v="0"/>
    <x v="840"/>
    <x v="1"/>
    <x v="0"/>
    <s v="Librería Gran Vía"/>
    <x v="0"/>
    <n v="5"/>
    <n v="5"/>
  </r>
  <r>
    <s v="V002101"/>
    <s v="978-3-17665-693-8"/>
    <s v="La familia de Pascual Duarte"/>
    <s v="Camilo José Cela"/>
    <x v="9"/>
    <n v="10.32"/>
    <n v="1032"/>
    <n v="1"/>
    <n v="10.32"/>
    <x v="41"/>
    <x v="0"/>
    <x v="142"/>
    <x v="0"/>
    <x v="0"/>
    <s v="Librería Gran Vía"/>
    <x v="4"/>
    <n v="5"/>
    <n v="5"/>
  </r>
  <r>
    <s v="V002102"/>
    <s v="978-8-44973-887-5"/>
    <s v="Ángeles y demonios"/>
    <s v="Dan Brown"/>
    <x v="1"/>
    <n v="13.52"/>
    <n v="1352"/>
    <n v="1"/>
    <n v="13.52"/>
    <x v="4"/>
    <x v="2"/>
    <x v="245"/>
    <x v="2"/>
    <x v="1"/>
    <s v="Tienda Online"/>
    <x v="2"/>
    <n v="5"/>
    <n v="5"/>
  </r>
  <r>
    <s v="V002103"/>
    <s v="978-3-39451-165-5"/>
    <s v="Matilda"/>
    <s v="Roald Dahl"/>
    <x v="6"/>
    <n v="13.09"/>
    <n v="1309"/>
    <n v="1"/>
    <n v="13.09"/>
    <x v="9"/>
    <x v="0"/>
    <x v="493"/>
    <x v="1"/>
    <x v="0"/>
    <s v="Librería Valencia Centro"/>
    <x v="0"/>
    <n v="5"/>
    <n v="5"/>
  </r>
  <r>
    <s v="V002104"/>
    <s v="978-8-36062-833-8"/>
    <s v="Crónicas marcianas"/>
    <s v="Ray Bradbury"/>
    <x v="12"/>
    <n v="12.16"/>
    <n v="1216"/>
    <n v="2"/>
    <n v="24.32"/>
    <x v="14"/>
    <x v="3"/>
    <x v="401"/>
    <x v="1"/>
    <x v="1"/>
    <s v="Tienda Online"/>
    <x v="4"/>
    <n v="4"/>
    <n v="4"/>
  </r>
  <r>
    <s v="V002105"/>
    <s v="978-2-58520-463-3"/>
    <s v="Sinsajo"/>
    <s v="Suzanne Collins"/>
    <x v="8"/>
    <n v="1.49"/>
    <n v="149"/>
    <n v="1"/>
    <n v="1.49"/>
    <x v="61"/>
    <x v="1"/>
    <x v="646"/>
    <x v="2"/>
    <x v="1"/>
    <s v="Tienda Online"/>
    <x v="2"/>
    <n v="1"/>
    <n v="1"/>
  </r>
  <r>
    <s v="V002106"/>
    <s v="978-2-26828-775-7"/>
    <s v="Los cuatro acuerdos"/>
    <s v="Miguel Ruiz"/>
    <x v="0"/>
    <n v="10.32"/>
    <n v="1032"/>
    <n v="1"/>
    <n v="10.32"/>
    <x v="19"/>
    <x v="1"/>
    <x v="570"/>
    <x v="0"/>
    <x v="0"/>
    <s v="Librería Gran Vía"/>
    <x v="1"/>
    <n v="5"/>
    <n v="5"/>
  </r>
  <r>
    <s v="V002107"/>
    <s v="978-8-31643-371-8"/>
    <s v="Hábitos atómicos"/>
    <s v="James Clear"/>
    <x v="0"/>
    <n v="1.89"/>
    <n v="189"/>
    <n v="1"/>
    <n v="1.89"/>
    <x v="50"/>
    <x v="3"/>
    <x v="223"/>
    <x v="2"/>
    <x v="1"/>
    <s v="Tienda Online"/>
    <x v="4"/>
    <n v="5"/>
    <n v="5"/>
  </r>
  <r>
    <s v="V002108"/>
    <s v="978-3-97782-833-5"/>
    <s v="V de Vendetta"/>
    <s v="Alan Moore"/>
    <x v="10"/>
    <n v="20.79"/>
    <n v="2079"/>
    <n v="1"/>
    <n v="20.79"/>
    <x v="1"/>
    <x v="0"/>
    <x v="931"/>
    <x v="1"/>
    <x v="1"/>
    <s v="Tienda Online"/>
    <x v="1"/>
    <n v="4"/>
    <n v="4"/>
  </r>
  <r>
    <s v="V002109"/>
    <s v="978-6-46434-564-5"/>
    <s v="En llamas"/>
    <s v="Suzanne Collins"/>
    <x v="8"/>
    <n v="1.49"/>
    <n v="149"/>
    <n v="1"/>
    <n v="1.49"/>
    <x v="21"/>
    <x v="2"/>
    <x v="377"/>
    <x v="2"/>
    <x v="1"/>
    <s v="Tienda Online"/>
    <x v="0"/>
    <n v="5"/>
    <n v="5"/>
  </r>
  <r>
    <s v="V002110"/>
    <s v="978-2-26828-775-7"/>
    <s v="Los cuatro acuerdos"/>
    <s v="Miguel Ruiz"/>
    <x v="0"/>
    <n v="11.61"/>
    <n v="1161"/>
    <n v="1"/>
    <n v="11.61"/>
    <x v="33"/>
    <x v="2"/>
    <x v="608"/>
    <x v="0"/>
    <x v="1"/>
    <s v="Tienda Online"/>
    <x v="2"/>
    <n v="4"/>
    <n v="4"/>
  </r>
  <r>
    <s v="V002111"/>
    <s v="978-3-31417-573-6"/>
    <s v="Ana Karenina"/>
    <s v="León Tolstói"/>
    <x v="9"/>
    <n v="15.21"/>
    <n v="1521"/>
    <n v="1"/>
    <n v="15.21"/>
    <x v="63"/>
    <x v="0"/>
    <x v="97"/>
    <x v="2"/>
    <x v="1"/>
    <s v="Tienda Online"/>
    <x v="2"/>
    <m/>
    <s v="Sin valoración"/>
  </r>
  <r>
    <s v="V002112"/>
    <s v="978-0-62772-845-5"/>
    <s v="Drácula"/>
    <s v="Bram Stoker"/>
    <x v="4"/>
    <n v="13.55"/>
    <n v="1355"/>
    <n v="1"/>
    <n v="13.55"/>
    <x v="27"/>
    <x v="1"/>
    <x v="551"/>
    <x v="1"/>
    <x v="0"/>
    <s v="Librería Barcelona Gòtic"/>
    <x v="0"/>
    <n v="5"/>
    <n v="5"/>
  </r>
  <r>
    <s v="V002113"/>
    <s v="978-8-27342-840-9"/>
    <s v="Stardust"/>
    <s v="Neil Gaiman"/>
    <x v="2"/>
    <n v="1.67"/>
    <n v="167"/>
    <n v="1"/>
    <n v="1.67"/>
    <x v="29"/>
    <x v="0"/>
    <x v="932"/>
    <x v="1"/>
    <x v="0"/>
    <s v="Librería Central Madrid"/>
    <x v="4"/>
    <n v="1"/>
    <n v="1"/>
  </r>
  <r>
    <s v="V002114"/>
    <s v="978-0-22224-871-3"/>
    <s v="Un mundo sin fin"/>
    <s v="Ken Follett"/>
    <x v="16"/>
    <n v="20.61"/>
    <n v="2061"/>
    <n v="3"/>
    <n v="61.83"/>
    <x v="38"/>
    <x v="0"/>
    <x v="741"/>
    <x v="2"/>
    <x v="1"/>
    <s v="Tienda Online"/>
    <x v="2"/>
    <n v="5"/>
    <n v="5"/>
  </r>
  <r>
    <s v="V002115"/>
    <s v="978-3-30032-482-2"/>
    <s v="Los hombres que no amaban a las mujeres"/>
    <s v="Stieg Larsson"/>
    <x v="1"/>
    <n v="19.690000000000001"/>
    <n v="1969"/>
    <n v="2"/>
    <n v="39.380000000000003"/>
    <x v="18"/>
    <x v="0"/>
    <x v="274"/>
    <x v="0"/>
    <x v="1"/>
    <s v="Tienda Online"/>
    <x v="0"/>
    <n v="5"/>
    <n v="5"/>
  </r>
  <r>
    <s v="V002116"/>
    <s v="978-9-93227-275-8"/>
    <s v="Los hermanos Karamázov"/>
    <s v="Fiódor Dostoyevski"/>
    <x v="9"/>
    <n v="1.89"/>
    <n v="189"/>
    <n v="2"/>
    <n v="3.78"/>
    <x v="23"/>
    <x v="3"/>
    <x v="685"/>
    <x v="1"/>
    <x v="1"/>
    <s v="Tienda Online"/>
    <x v="0"/>
    <n v="5"/>
    <n v="5"/>
  </r>
  <r>
    <s v="V002117"/>
    <s v="978-9-65461-316-8"/>
    <s v="Padre rico, padre pobre"/>
    <s v="Robert Kiyosaki"/>
    <x v="5"/>
    <n v="17.75"/>
    <n v="1775"/>
    <n v="1"/>
    <n v="17.75"/>
    <x v="47"/>
    <x v="3"/>
    <x v="353"/>
    <x v="0"/>
    <x v="1"/>
    <s v="Tienda Online"/>
    <x v="4"/>
    <n v="5"/>
    <n v="5"/>
  </r>
  <r>
    <s v="V002118"/>
    <s v="978-6-54597-384-2"/>
    <s v="El temor de un hombre sabio"/>
    <s v="Patrick Rothfuss"/>
    <x v="2"/>
    <n v="26.14"/>
    <n v="2614"/>
    <n v="1"/>
    <n v="26.14"/>
    <x v="32"/>
    <x v="3"/>
    <x v="514"/>
    <x v="2"/>
    <x v="1"/>
    <s v="Tienda Online"/>
    <x v="1"/>
    <n v="3"/>
    <n v="3"/>
  </r>
  <r>
    <s v="V002119"/>
    <s v="978-8-31643-371-8"/>
    <s v="Hábitos atómicos"/>
    <s v="James Clear"/>
    <x v="0"/>
    <n v="1.89"/>
    <n v="189"/>
    <n v="3"/>
    <n v="5.67"/>
    <x v="33"/>
    <x v="0"/>
    <x v="509"/>
    <x v="1"/>
    <x v="1"/>
    <s v="Tienda Online"/>
    <x v="2"/>
    <n v="5"/>
    <n v="5"/>
  </r>
  <r>
    <s v="V002120"/>
    <s v="978-3-14207-924-5"/>
    <s v="La casa de los espíritus"/>
    <s v="Isabel Allende"/>
    <x v="3"/>
    <n v="18.79"/>
    <n v="1879"/>
    <n v="3"/>
    <n v="56.37"/>
    <x v="27"/>
    <x v="2"/>
    <x v="807"/>
    <x v="1"/>
    <x v="1"/>
    <s v="Tienda Online"/>
    <x v="0"/>
    <n v="5"/>
    <n v="5"/>
  </r>
  <r>
    <s v="V002121"/>
    <s v="978-3-99733-432-0"/>
    <s v="Don Quijote de la Mancha"/>
    <s v="Miguel de Cervantes"/>
    <x v="9"/>
    <n v="15.92"/>
    <n v="1592"/>
    <n v="1"/>
    <n v="15.92"/>
    <x v="60"/>
    <x v="2"/>
    <x v="559"/>
    <x v="2"/>
    <x v="1"/>
    <s v="Tienda Online"/>
    <x v="4"/>
    <n v="3"/>
    <n v="3"/>
  </r>
  <r>
    <s v="V002122"/>
    <s v="978-3-39451-165-5"/>
    <s v="Matilda"/>
    <s v="Roald Dahl"/>
    <x v="6"/>
    <n v="10.71"/>
    <n v="1071"/>
    <n v="1"/>
    <n v="10.71"/>
    <x v="24"/>
    <x v="3"/>
    <x v="933"/>
    <x v="2"/>
    <x v="1"/>
    <s v="Tienda Online"/>
    <x v="4"/>
    <n v="5"/>
    <n v="5"/>
  </r>
  <r>
    <s v="V002123"/>
    <s v="978-2-18981-709-1"/>
    <s v="Una breve historia del tiempo"/>
    <s v="Stephen Hawking"/>
    <x v="11"/>
    <n v="1.69"/>
    <n v="169"/>
    <n v="3"/>
    <n v="5.07"/>
    <x v="53"/>
    <x v="0"/>
    <x v="252"/>
    <x v="1"/>
    <x v="1"/>
    <s v="Tienda Online"/>
    <x v="4"/>
    <n v="4"/>
    <n v="4"/>
  </r>
  <r>
    <s v="V002124"/>
    <s v="978-1-48469-545-2"/>
    <s v="Origen"/>
    <s v="Dan Brown"/>
    <x v="1"/>
    <n v="20.89"/>
    <n v="2089"/>
    <n v="1"/>
    <n v="20.89"/>
    <x v="3"/>
    <x v="1"/>
    <x v="339"/>
    <x v="1"/>
    <x v="1"/>
    <s v="Tienda Online"/>
    <x v="4"/>
    <n v="5"/>
    <n v="5"/>
  </r>
  <r>
    <s v="V002125"/>
    <s v="978-8-27342-840-9"/>
    <s v="Stardust"/>
    <s v="Neil Gaiman"/>
    <x v="2"/>
    <n v="1.59"/>
    <n v="159"/>
    <n v="2"/>
    <n v="3.18"/>
    <x v="42"/>
    <x v="2"/>
    <x v="363"/>
    <x v="1"/>
    <x v="1"/>
    <s v="Tienda Online"/>
    <x v="0"/>
    <n v="4"/>
    <n v="4"/>
  </r>
  <r>
    <s v="V002126"/>
    <s v="978-3-39451-165-5"/>
    <s v="Matilda"/>
    <s v="Roald Dahl"/>
    <x v="6"/>
    <n v="10.71"/>
    <n v="1071"/>
    <n v="1"/>
    <n v="10.71"/>
    <x v="56"/>
    <x v="3"/>
    <x v="857"/>
    <x v="0"/>
    <x v="1"/>
    <s v="Tienda Online"/>
    <x v="3"/>
    <n v="4"/>
    <n v="4"/>
  </r>
  <r>
    <s v="V002127"/>
    <s v="978-0-62772-845-5"/>
    <s v="Drácula"/>
    <s v="Bram Stoker"/>
    <x v="4"/>
    <n v="10.32"/>
    <n v="1032"/>
    <n v="1"/>
    <n v="10.32"/>
    <x v="5"/>
    <x v="2"/>
    <x v="610"/>
    <x v="1"/>
    <x v="0"/>
    <s v="Librería Central Madrid"/>
    <x v="2"/>
    <n v="4"/>
    <n v="4"/>
  </r>
  <r>
    <s v="V002128"/>
    <s v="978-8-44438-864-9"/>
    <s v="Rayuela"/>
    <s v="Julio Cortázar"/>
    <x v="9"/>
    <n v="1.69"/>
    <n v="169"/>
    <n v="2"/>
    <n v="3.38"/>
    <x v="23"/>
    <x v="1"/>
    <x v="803"/>
    <x v="1"/>
    <x v="1"/>
    <s v="Tienda Online"/>
    <x v="1"/>
    <n v="4"/>
    <n v="4"/>
  </r>
  <r>
    <s v="V002129"/>
    <s v="978-3-30032-482-2"/>
    <s v="Los hombres que no amaban a las mujeres"/>
    <s v="Stieg Larsson"/>
    <x v="1"/>
    <n v="15.21"/>
    <n v="1521"/>
    <n v="1"/>
    <n v="15.21"/>
    <x v="39"/>
    <x v="2"/>
    <x v="801"/>
    <x v="0"/>
    <x v="1"/>
    <s v="Tienda Online"/>
    <x v="0"/>
    <n v="5"/>
    <n v="5"/>
  </r>
  <r>
    <s v="V002130"/>
    <s v="978-3-39451-165-5"/>
    <s v="Matilda"/>
    <s v="Roald Dahl"/>
    <x v="6"/>
    <n v="9.52"/>
    <n v="952"/>
    <n v="4"/>
    <n v="38.08"/>
    <x v="56"/>
    <x v="2"/>
    <x v="2"/>
    <x v="2"/>
    <x v="1"/>
    <s v="Tienda Online"/>
    <x v="4"/>
    <n v="4"/>
    <n v="4"/>
  </r>
  <r>
    <s v="V002131"/>
    <s v="978-8-31643-371-8"/>
    <s v="Hábitos atómicos"/>
    <s v="James Clear"/>
    <x v="0"/>
    <n v="1.89"/>
    <n v="189"/>
    <n v="1"/>
    <n v="1.89"/>
    <x v="66"/>
    <x v="3"/>
    <x v="306"/>
    <x v="1"/>
    <x v="0"/>
    <s v="Librería Gran Vía"/>
    <x v="1"/>
    <n v="5"/>
    <n v="5"/>
  </r>
  <r>
    <s v="V002132"/>
    <s v="978-2-46509-573-3"/>
    <s v="La peste"/>
    <s v="Albert Camus"/>
    <x v="9"/>
    <n v="11.92"/>
    <n v="1192"/>
    <n v="1"/>
    <n v="11.92"/>
    <x v="28"/>
    <x v="0"/>
    <x v="934"/>
    <x v="2"/>
    <x v="1"/>
    <s v="Tienda Online"/>
    <x v="2"/>
    <m/>
    <s v="Sin valoración"/>
  </r>
  <r>
    <s v="V002133"/>
    <s v="978-3-99733-432-0"/>
    <s v="Don Quijote de la Mancha"/>
    <s v="Miguel de Cervantes"/>
    <x v="9"/>
    <n v="1.99"/>
    <n v="199"/>
    <n v="2"/>
    <n v="3.98"/>
    <x v="6"/>
    <x v="0"/>
    <x v="166"/>
    <x v="2"/>
    <x v="1"/>
    <s v="Tienda Online"/>
    <x v="0"/>
    <n v="4"/>
    <n v="4"/>
  </r>
  <r>
    <s v="V002134"/>
    <s v="978-1-40512-987-1"/>
    <s v="Los juegos del hambre"/>
    <s v="Suzanne Collins"/>
    <x v="8"/>
    <n v="13.41"/>
    <n v="1341"/>
    <n v="4"/>
    <n v="53.64"/>
    <x v="55"/>
    <x v="3"/>
    <x v="774"/>
    <x v="0"/>
    <x v="1"/>
    <s v="Tienda Online"/>
    <x v="0"/>
    <n v="4"/>
    <n v="4"/>
  </r>
  <r>
    <s v="V002135"/>
    <s v="978-6-54597-384-2"/>
    <s v="El temor de un hombre sabio"/>
    <s v="Patrick Rothfuss"/>
    <x v="2"/>
    <n v="2.4900000000000002"/>
    <n v="249"/>
    <n v="1"/>
    <n v="2.4900000000000002"/>
    <x v="29"/>
    <x v="3"/>
    <x v="314"/>
    <x v="1"/>
    <x v="0"/>
    <s v="Librería Central Madrid"/>
    <x v="0"/>
    <n v="5"/>
    <n v="5"/>
  </r>
  <r>
    <s v="V002136"/>
    <s v="978-9-71953-348-7"/>
    <s v="It"/>
    <s v="Stephen King"/>
    <x v="4"/>
    <n v="24.04"/>
    <n v="2404"/>
    <n v="1"/>
    <n v="24.04"/>
    <x v="3"/>
    <x v="0"/>
    <x v="58"/>
    <x v="2"/>
    <x v="1"/>
    <s v="Tienda Online"/>
    <x v="1"/>
    <n v="4"/>
    <n v="4"/>
  </r>
  <r>
    <s v="V002137"/>
    <s v="978-6-94259-569-2"/>
    <s v="El juego del ángel"/>
    <s v="Carlos Ruiz Zafón"/>
    <x v="3"/>
    <n v="1.85"/>
    <n v="185"/>
    <n v="2"/>
    <n v="3.7"/>
    <x v="26"/>
    <x v="3"/>
    <x v="803"/>
    <x v="0"/>
    <x v="0"/>
    <s v="Librería Gran Vía"/>
    <x v="3"/>
    <n v="4"/>
    <n v="4"/>
  </r>
  <r>
    <s v="V002138"/>
    <s v="978-7-17100-789-1"/>
    <s v="Carrie"/>
    <s v="Stephen King"/>
    <x v="4"/>
    <n v="1.49"/>
    <n v="149"/>
    <n v="1"/>
    <n v="1.49"/>
    <x v="1"/>
    <x v="3"/>
    <x v="423"/>
    <x v="0"/>
    <x v="0"/>
    <s v="Librería Valencia Centro"/>
    <x v="0"/>
    <n v="4"/>
    <n v="4"/>
  </r>
  <r>
    <s v="V002139"/>
    <s v="978-9-18326-494-6"/>
    <s v="Romancero gitano"/>
    <s v="Federico García Lorca"/>
    <x v="7"/>
    <n v="11.99"/>
    <n v="1199"/>
    <n v="3"/>
    <n v="35.97"/>
    <x v="38"/>
    <x v="0"/>
    <x v="88"/>
    <x v="0"/>
    <x v="0"/>
    <s v="Librería Valencia Centro"/>
    <x v="1"/>
    <n v="4"/>
    <n v="4"/>
  </r>
  <r>
    <s v="V002140"/>
    <s v="978-3-85880-708-0"/>
    <s v="Persépolis"/>
    <s v="Marjane Satrapi"/>
    <x v="10"/>
    <n v="1.59"/>
    <n v="159"/>
    <n v="1"/>
    <n v="1.59"/>
    <x v="28"/>
    <x v="3"/>
    <x v="54"/>
    <x v="0"/>
    <x v="1"/>
    <s v="Tienda Online"/>
    <x v="2"/>
    <n v="2"/>
    <n v="2"/>
  </r>
  <r>
    <s v="V002141"/>
    <s v="978-9-71953-348-7"/>
    <s v="It"/>
    <s v="Stephen King"/>
    <x v="4"/>
    <n v="2.29"/>
    <n v="229"/>
    <n v="1"/>
    <n v="2.29"/>
    <x v="68"/>
    <x v="3"/>
    <x v="312"/>
    <x v="2"/>
    <x v="1"/>
    <s v="Tienda Online"/>
    <x v="4"/>
    <n v="5"/>
    <n v="5"/>
  </r>
  <r>
    <s v="V002142"/>
    <s v="978-4-93886-804-8"/>
    <s v="Guerra y paz"/>
    <s v="León Tolstói"/>
    <x v="9"/>
    <n v="27.39"/>
    <n v="2739"/>
    <n v="1"/>
    <n v="27.39"/>
    <x v="36"/>
    <x v="1"/>
    <x v="935"/>
    <x v="0"/>
    <x v="0"/>
    <s v="Librería Central Madrid"/>
    <x v="1"/>
    <n v="2"/>
    <n v="2"/>
  </r>
  <r>
    <s v="V002143"/>
    <s v="978-7-80284-227-6"/>
    <s v="El Señor de los Anillos"/>
    <s v="J.R.R. Tolkien"/>
    <x v="2"/>
    <n v="25.41"/>
    <n v="2541"/>
    <n v="2"/>
    <n v="50.82"/>
    <x v="34"/>
    <x v="3"/>
    <x v="205"/>
    <x v="1"/>
    <x v="0"/>
    <s v="Librería Central Madrid"/>
    <x v="3"/>
    <n v="5"/>
    <n v="5"/>
  </r>
  <r>
    <s v="V002144"/>
    <s v="978-2-17455-620-1"/>
    <s v="Cosmos"/>
    <s v="Carl Sagan"/>
    <x v="11"/>
    <n v="1.89"/>
    <n v="189"/>
    <n v="1"/>
    <n v="1.89"/>
    <x v="25"/>
    <x v="2"/>
    <x v="921"/>
    <x v="0"/>
    <x v="1"/>
    <s v="Tienda Online"/>
    <x v="2"/>
    <n v="2"/>
    <n v="2"/>
  </r>
  <r>
    <s v="V002145"/>
    <s v="978-9-51245-317-7"/>
    <s v="La sombra del viento"/>
    <s v="Carlos Ruiz Zafón"/>
    <x v="3"/>
    <n v="16.649999999999999"/>
    <n v="1665"/>
    <n v="4"/>
    <n v="66.599999999999994"/>
    <x v="67"/>
    <x v="2"/>
    <x v="799"/>
    <x v="1"/>
    <x v="0"/>
    <s v="Librería Gran Vía"/>
    <x v="1"/>
    <n v="4"/>
    <n v="4"/>
  </r>
  <r>
    <s v="V002146"/>
    <s v="978-8-27342-840-9"/>
    <s v="Stardust"/>
    <s v="Neil Gaiman"/>
    <x v="2"/>
    <n v="14.31"/>
    <n v="1431"/>
    <n v="1"/>
    <n v="14.31"/>
    <x v="5"/>
    <x v="3"/>
    <x v="477"/>
    <x v="1"/>
    <x v="1"/>
    <s v="Tienda Online"/>
    <x v="4"/>
    <n v="3"/>
    <n v="3"/>
  </r>
  <r>
    <s v="V002147"/>
    <s v="978-2-17455-620-1"/>
    <s v="Cosmos"/>
    <s v="Carl Sagan"/>
    <x v="11"/>
    <n v="1.89"/>
    <n v="189"/>
    <n v="1"/>
    <n v="1.89"/>
    <x v="70"/>
    <x v="1"/>
    <x v="702"/>
    <x v="1"/>
    <x v="0"/>
    <s v="Librería Barcelona Gòtic"/>
    <x v="2"/>
    <n v="4"/>
    <n v="4"/>
  </r>
  <r>
    <s v="V002148"/>
    <s v="978-8-79514-100-9"/>
    <s v="La chica en la telaraña"/>
    <s v="David Lagercrantz"/>
    <x v="1"/>
    <n v="1.79"/>
    <n v="179"/>
    <n v="3"/>
    <n v="5.37"/>
    <x v="63"/>
    <x v="3"/>
    <x v="254"/>
    <x v="1"/>
    <x v="1"/>
    <s v="Tienda Online"/>
    <x v="0"/>
    <n v="5"/>
    <n v="5"/>
  </r>
  <r>
    <s v="V002149"/>
    <s v="978-2-58520-463-3"/>
    <s v="Sinsajo"/>
    <s v="Suzanne Collins"/>
    <x v="8"/>
    <n v="15.65"/>
    <n v="1565"/>
    <n v="1"/>
    <n v="15.65"/>
    <x v="21"/>
    <x v="2"/>
    <x v="155"/>
    <x v="2"/>
    <x v="1"/>
    <s v="Tienda Online"/>
    <x v="0"/>
    <n v="5"/>
    <n v="5"/>
  </r>
  <r>
    <s v="V002150"/>
    <s v="978-9-51245-317-7"/>
    <s v="La sombra del viento"/>
    <s v="Carlos Ruiz Zafón"/>
    <x v="3"/>
    <n v="19.43"/>
    <n v="1943"/>
    <n v="1"/>
    <n v="19.43"/>
    <x v="29"/>
    <x v="3"/>
    <x v="423"/>
    <x v="1"/>
    <x v="1"/>
    <s v="Tienda Online"/>
    <x v="2"/>
    <n v="3"/>
    <n v="3"/>
  </r>
  <r>
    <s v="V002151"/>
    <s v="978-0-51104-158-0"/>
    <s v="Manual de cocina fácil"/>
    <s v="Karlos Arguiñano"/>
    <x v="14"/>
    <n v="1.79"/>
    <n v="179"/>
    <n v="4"/>
    <n v="7.16"/>
    <x v="8"/>
    <x v="0"/>
    <x v="936"/>
    <x v="1"/>
    <x v="0"/>
    <s v="Librería Barcelona Gòtic"/>
    <x v="2"/>
    <n v="5"/>
    <n v="5"/>
  </r>
  <r>
    <s v="V002152"/>
    <s v="978-3-31417-573-6"/>
    <s v="Ana Karenina"/>
    <s v="León Tolstói"/>
    <x v="9"/>
    <n v="13.52"/>
    <n v="1352"/>
    <n v="1"/>
    <n v="13.52"/>
    <x v="49"/>
    <x v="2"/>
    <x v="845"/>
    <x v="2"/>
    <x v="1"/>
    <s v="Tienda Online"/>
    <x v="0"/>
    <n v="5"/>
    <n v="5"/>
  </r>
  <r>
    <s v="V002153"/>
    <s v="978-3-31417-573-6"/>
    <s v="Ana Karenina"/>
    <s v="León Tolstói"/>
    <x v="9"/>
    <n v="1.69"/>
    <n v="169"/>
    <n v="1"/>
    <n v="1.69"/>
    <x v="26"/>
    <x v="3"/>
    <x v="244"/>
    <x v="2"/>
    <x v="1"/>
    <s v="Tienda Online"/>
    <x v="3"/>
    <n v="4"/>
    <n v="4"/>
  </r>
  <r>
    <s v="V002154"/>
    <s v="978-0-40007-169-0"/>
    <s v="El Principito ilustrado"/>
    <s v="Antoine de Saint-Exupéry"/>
    <x v="6"/>
    <n v="1.67"/>
    <n v="167"/>
    <n v="1"/>
    <n v="1.67"/>
    <x v="9"/>
    <x v="3"/>
    <x v="316"/>
    <x v="0"/>
    <x v="0"/>
    <s v="Librería Central Madrid"/>
    <x v="1"/>
    <n v="4"/>
    <n v="4"/>
  </r>
  <r>
    <s v="V002155"/>
    <s v="978-4-28301-352-8"/>
    <s v="El prisionero del cielo"/>
    <s v="Carlos Ruiz Zafón"/>
    <x v="3"/>
    <n v="16.11"/>
    <n v="1611"/>
    <n v="1"/>
    <n v="16.11"/>
    <x v="0"/>
    <x v="2"/>
    <x v="864"/>
    <x v="1"/>
    <x v="1"/>
    <s v="Tienda Online"/>
    <x v="1"/>
    <n v="5"/>
    <n v="5"/>
  </r>
  <r>
    <s v="V002156"/>
    <s v="978-5-85674-296-1"/>
    <s v="Harry Potter y la cámara secreta"/>
    <s v="J.K. Rowling"/>
    <x v="8"/>
    <n v="1.67"/>
    <n v="167"/>
    <n v="1"/>
    <n v="1.67"/>
    <x v="60"/>
    <x v="0"/>
    <x v="842"/>
    <x v="2"/>
    <x v="1"/>
    <s v="Tienda Online"/>
    <x v="1"/>
    <n v="5"/>
    <n v="5"/>
  </r>
  <r>
    <s v="V002157"/>
    <s v="978-3-39256-242-1"/>
    <s v="El amor en los tiempos del cólera"/>
    <s v="Gabriel García Márquez"/>
    <x v="3"/>
    <n v="1.75"/>
    <n v="175"/>
    <n v="2"/>
    <n v="3.5"/>
    <x v="8"/>
    <x v="0"/>
    <x v="346"/>
    <x v="2"/>
    <x v="1"/>
    <s v="Tienda Online"/>
    <x v="3"/>
    <n v="4"/>
    <n v="4"/>
  </r>
  <r>
    <s v="V002158"/>
    <s v="978-1-82357-400-9"/>
    <s v="Harry Potter y la piedra filosofal"/>
    <s v="J.K. Rowling"/>
    <x v="8"/>
    <n v="1.59"/>
    <n v="159"/>
    <n v="2"/>
    <n v="3.18"/>
    <x v="9"/>
    <x v="1"/>
    <x v="653"/>
    <x v="2"/>
    <x v="1"/>
    <s v="Tienda Online"/>
    <x v="1"/>
    <n v="4"/>
    <n v="4"/>
  </r>
  <r>
    <s v="V002159"/>
    <s v="978-8-31643-371-8"/>
    <s v="Hábitos atómicos"/>
    <s v="James Clear"/>
    <x v="0"/>
    <n v="19.84"/>
    <n v="1984"/>
    <n v="1"/>
    <n v="19.84"/>
    <x v="37"/>
    <x v="0"/>
    <x v="432"/>
    <x v="0"/>
    <x v="0"/>
    <s v="Librería Barcelona Gòtic"/>
    <x v="4"/>
    <n v="5"/>
    <n v="5"/>
  </r>
  <r>
    <s v="V002160"/>
    <s v="978-2-92240-263-6"/>
    <s v="La casa de Bernarda Alba"/>
    <s v="Federico García Lorca"/>
    <x v="17"/>
    <n v="7.92"/>
    <n v="792"/>
    <n v="3"/>
    <n v="23.759999999999998"/>
    <x v="60"/>
    <x v="2"/>
    <x v="301"/>
    <x v="0"/>
    <x v="1"/>
    <s v="Tienda Online"/>
    <x v="3"/>
    <n v="2"/>
    <n v="2"/>
  </r>
  <r>
    <s v="V002161"/>
    <s v="978-3-14207-924-5"/>
    <s v="La casa de los espíritus"/>
    <s v="Isabel Allende"/>
    <x v="3"/>
    <n v="15.21"/>
    <n v="1521"/>
    <n v="1"/>
    <n v="15.21"/>
    <x v="38"/>
    <x v="3"/>
    <x v="608"/>
    <x v="1"/>
    <x v="0"/>
    <s v="Librería Gran Vía"/>
    <x v="0"/>
    <n v="4"/>
    <n v="4"/>
  </r>
  <r>
    <s v="V002162"/>
    <s v="978-1-16175-981-1"/>
    <s v="Pedro Páramo"/>
    <s v="Juan Rulfo"/>
    <x v="9"/>
    <n v="14.19"/>
    <n v="1419"/>
    <n v="1"/>
    <n v="14.19"/>
    <x v="60"/>
    <x v="0"/>
    <x v="432"/>
    <x v="1"/>
    <x v="1"/>
    <s v="Tienda Online"/>
    <x v="3"/>
    <n v="3"/>
    <n v="3"/>
  </r>
  <r>
    <s v="V002163"/>
    <s v="978-6-56438-533-6"/>
    <s v="Misery"/>
    <s v="Stephen King"/>
    <x v="4"/>
    <n v="18.59"/>
    <n v="1859"/>
    <n v="2"/>
    <n v="37.18"/>
    <x v="57"/>
    <x v="1"/>
    <x v="784"/>
    <x v="1"/>
    <x v="0"/>
    <s v="Librería Barcelona Gòtic"/>
    <x v="1"/>
    <m/>
    <s v="Sin valoración"/>
  </r>
  <r>
    <s v="V002164"/>
    <s v="978-8-11504-796-1"/>
    <s v="El código Da Vinci"/>
    <s v="Dan Brown"/>
    <x v="1"/>
    <n v="14.36"/>
    <n v="1436"/>
    <n v="2"/>
    <n v="28.72"/>
    <x v="66"/>
    <x v="0"/>
    <x v="452"/>
    <x v="1"/>
    <x v="0"/>
    <s v="Librería Valencia Centro"/>
    <x v="4"/>
    <n v="2"/>
    <n v="2"/>
  </r>
  <r>
    <s v="V002165"/>
    <s v="978-9-38864-107-1"/>
    <s v="James y el melocotón gigante"/>
    <s v="Roald Dahl"/>
    <x v="6"/>
    <n v="1.0900000000000001"/>
    <n v="109"/>
    <n v="1"/>
    <n v="1.0900000000000001"/>
    <x v="58"/>
    <x v="2"/>
    <x v="937"/>
    <x v="1"/>
    <x v="1"/>
    <s v="Tienda Online"/>
    <x v="4"/>
    <n v="3"/>
    <n v="3"/>
  </r>
  <r>
    <s v="V002166"/>
    <s v="978-3-39451-165-5"/>
    <s v="Matilda"/>
    <s v="Roald Dahl"/>
    <x v="6"/>
    <n v="1.25"/>
    <n v="125"/>
    <n v="2"/>
    <n v="2.5"/>
    <x v="24"/>
    <x v="1"/>
    <x v="673"/>
    <x v="0"/>
    <x v="1"/>
    <s v="Tienda Online"/>
    <x v="3"/>
    <n v="4"/>
    <n v="4"/>
  </r>
  <r>
    <s v="V002167"/>
    <s v="978-1-13278-859-4"/>
    <s v="Cien años de soledad"/>
    <s v="Gabriel García Márquez"/>
    <x v="3"/>
    <n v="19.84"/>
    <n v="1984"/>
    <n v="1"/>
    <n v="19.84"/>
    <x v="50"/>
    <x v="0"/>
    <x v="309"/>
    <x v="0"/>
    <x v="1"/>
    <s v="Tienda Online"/>
    <x v="1"/>
    <n v="3"/>
    <n v="3"/>
  </r>
  <r>
    <s v="V002168"/>
    <s v="978-7-47388-533-8"/>
    <s v="Los besos"/>
    <s v="Manuel Vilas"/>
    <x v="3"/>
    <n v="1.89"/>
    <n v="189"/>
    <n v="2"/>
    <n v="3.78"/>
    <x v="22"/>
    <x v="3"/>
    <x v="835"/>
    <x v="2"/>
    <x v="1"/>
    <s v="Tienda Online"/>
    <x v="4"/>
    <n v="5"/>
    <n v="5"/>
  </r>
  <r>
    <s v="V002169"/>
    <s v="978-6-45093-167-3"/>
    <s v="Paula"/>
    <s v="Isabel Allende"/>
    <x v="13"/>
    <n v="17.489999999999998"/>
    <n v="1749"/>
    <n v="2"/>
    <n v="34.979999999999997"/>
    <x v="3"/>
    <x v="1"/>
    <x v="41"/>
    <x v="1"/>
    <x v="0"/>
    <s v="Librería Gran Vía"/>
    <x v="1"/>
    <n v="5"/>
    <n v="5"/>
  </r>
  <r>
    <s v="V002170"/>
    <s v="978-3-39256-242-1"/>
    <s v="El amor en los tiempos del cólera"/>
    <s v="Gabriel García Márquez"/>
    <x v="3"/>
    <n v="1.4"/>
    <n v="140"/>
    <n v="2"/>
    <n v="2.8"/>
    <x v="70"/>
    <x v="2"/>
    <x v="938"/>
    <x v="1"/>
    <x v="0"/>
    <s v="Librería Valencia Centro"/>
    <x v="1"/>
    <n v="3"/>
    <n v="3"/>
  </r>
  <r>
    <s v="V002171"/>
    <s v="978-6-86484-508-5"/>
    <s v="Ficciones"/>
    <s v="Jorge Luis Borges"/>
    <x v="9"/>
    <n v="13.41"/>
    <n v="1341"/>
    <n v="1"/>
    <n v="13.41"/>
    <x v="27"/>
    <x v="2"/>
    <x v="329"/>
    <x v="2"/>
    <x v="1"/>
    <s v="Tienda Online"/>
    <x v="4"/>
    <n v="4"/>
    <n v="4"/>
  </r>
  <r>
    <s v="V002172"/>
    <s v="978-2-58520-463-3"/>
    <s v="Sinsajo"/>
    <s v="Suzanne Collins"/>
    <x v="8"/>
    <n v="1.49"/>
    <n v="149"/>
    <n v="3"/>
    <n v="4.47"/>
    <x v="55"/>
    <x v="1"/>
    <x v="717"/>
    <x v="2"/>
    <x v="1"/>
    <s v="Tienda Online"/>
    <x v="1"/>
    <n v="4"/>
    <n v="4"/>
  </r>
  <r>
    <s v="V002173"/>
    <s v="978-2-58520-463-3"/>
    <s v="Sinsajo"/>
    <s v="Suzanne Collins"/>
    <x v="8"/>
    <n v="16.39"/>
    <n v="1639"/>
    <n v="1"/>
    <n v="16.39"/>
    <x v="58"/>
    <x v="2"/>
    <x v="741"/>
    <x v="2"/>
    <x v="1"/>
    <s v="Tienda Online"/>
    <x v="3"/>
    <m/>
    <s v="Sin valoración"/>
  </r>
  <r>
    <s v="V002174"/>
    <s v="978-3-50857-508-5"/>
    <s v="Piense y hágase rico"/>
    <s v="Napoleon Hill"/>
    <x v="5"/>
    <n v="11.81"/>
    <n v="1181"/>
    <n v="1"/>
    <n v="11.81"/>
    <x v="12"/>
    <x v="1"/>
    <x v="346"/>
    <x v="1"/>
    <x v="1"/>
    <s v="Tienda Online"/>
    <x v="1"/>
    <m/>
    <s v="Sin valoración"/>
  </r>
  <r>
    <s v="V002175"/>
    <s v="978-4-93886-804-8"/>
    <s v="Guerra y paz"/>
    <s v="León Tolstói"/>
    <x v="9"/>
    <n v="2.4900000000000002"/>
    <n v="249"/>
    <n v="2"/>
    <n v="4.9800000000000004"/>
    <x v="32"/>
    <x v="1"/>
    <x v="369"/>
    <x v="1"/>
    <x v="0"/>
    <s v="Librería Valencia Centro"/>
    <x v="1"/>
    <n v="1"/>
    <n v="1"/>
  </r>
  <r>
    <s v="V002176"/>
    <s v="978-9-38864-107-1"/>
    <s v="James y el melocotón gigante"/>
    <s v="Roald Dahl"/>
    <x v="6"/>
    <n v="1.0900000000000001"/>
    <n v="109"/>
    <n v="1"/>
    <n v="1.0900000000000001"/>
    <x v="11"/>
    <x v="3"/>
    <x v="540"/>
    <x v="2"/>
    <x v="1"/>
    <s v="Tienda Online"/>
    <x v="0"/>
    <n v="2"/>
    <n v="2"/>
  </r>
  <r>
    <s v="V002177"/>
    <s v="978-3-50857-508-5"/>
    <s v="Piense y hágase rico"/>
    <s v="Napoleon Hill"/>
    <x v="5"/>
    <n v="1.46"/>
    <n v="146"/>
    <n v="3"/>
    <n v="4.38"/>
    <x v="42"/>
    <x v="3"/>
    <x v="939"/>
    <x v="0"/>
    <x v="1"/>
    <s v="Tienda Online"/>
    <x v="1"/>
    <n v="5"/>
    <n v="5"/>
  </r>
  <r>
    <s v="V002178"/>
    <s v="978-7-47388-533-8"/>
    <s v="Los besos"/>
    <s v="Manuel Vilas"/>
    <x v="3"/>
    <n v="15.12"/>
    <n v="1512"/>
    <n v="1"/>
    <n v="15.12"/>
    <x v="59"/>
    <x v="3"/>
    <x v="168"/>
    <x v="0"/>
    <x v="0"/>
    <s v="Librería Valencia Centro"/>
    <x v="3"/>
    <n v="4"/>
    <n v="4"/>
  </r>
  <r>
    <s v="V002179"/>
    <s v="978-2-63269-597-7"/>
    <s v="La chica de nieve"/>
    <s v="Javier Castillo"/>
    <x v="1"/>
    <n v="1.89"/>
    <n v="189"/>
    <n v="1"/>
    <n v="1.89"/>
    <x v="44"/>
    <x v="1"/>
    <x v="777"/>
    <x v="2"/>
    <x v="1"/>
    <s v="Tienda Online"/>
    <x v="0"/>
    <n v="4"/>
    <n v="4"/>
  </r>
  <r>
    <s v="V002180"/>
    <s v="978-9-20745-529-9"/>
    <s v="Watchmen"/>
    <s v="Alan Moore"/>
    <x v="10"/>
    <n v="18.61"/>
    <n v="1861"/>
    <n v="1"/>
    <n v="18.61"/>
    <x v="19"/>
    <x v="2"/>
    <x v="229"/>
    <x v="2"/>
    <x v="1"/>
    <s v="Tienda Online"/>
    <x v="0"/>
    <n v="1"/>
    <n v="1"/>
  </r>
  <r>
    <s v="V002181"/>
    <s v="978-4-28301-352-8"/>
    <s v="El prisionero del cielo"/>
    <s v="Carlos Ruiz Zafón"/>
    <x v="3"/>
    <n v="15.21"/>
    <n v="1521"/>
    <n v="2"/>
    <n v="30.42"/>
    <x v="0"/>
    <x v="3"/>
    <x v="5"/>
    <x v="2"/>
    <x v="1"/>
    <s v="Tienda Online"/>
    <x v="0"/>
    <n v="3"/>
    <n v="3"/>
  </r>
  <r>
    <s v="V002182"/>
    <s v="978-9-51245-317-7"/>
    <s v="La sombra del viento"/>
    <s v="Carlos Ruiz Zafón"/>
    <x v="3"/>
    <n v="1.48"/>
    <n v="148"/>
    <n v="1"/>
    <n v="1.48"/>
    <x v="69"/>
    <x v="1"/>
    <x v="276"/>
    <x v="2"/>
    <x v="1"/>
    <s v="Tienda Online"/>
    <x v="1"/>
    <m/>
    <s v="Sin valoración"/>
  </r>
  <r>
    <s v="V002183"/>
    <s v="978-6-34957-196-1"/>
    <s v="El resplandor"/>
    <s v="Stephen King"/>
    <x v="4"/>
    <n v="16.059999999999999"/>
    <n v="1606"/>
    <n v="1"/>
    <n v="16.059999999999999"/>
    <x v="51"/>
    <x v="1"/>
    <x v="601"/>
    <x v="2"/>
    <x v="1"/>
    <s v="Tienda Online"/>
    <x v="3"/>
    <n v="5"/>
    <n v="5"/>
  </r>
  <r>
    <s v="V002184"/>
    <s v="978-0-40007-169-0"/>
    <s v="El Principito ilustrado"/>
    <s v="Antoine de Saint-Exupéry"/>
    <x v="6"/>
    <n v="1.59"/>
    <n v="159"/>
    <n v="1"/>
    <n v="1.59"/>
    <x v="62"/>
    <x v="1"/>
    <x v="940"/>
    <x v="1"/>
    <x v="0"/>
    <s v="Librería Central Madrid"/>
    <x v="0"/>
    <n v="4"/>
    <n v="4"/>
  </r>
  <r>
    <s v="V002185"/>
    <s v="978-7-47388-533-8"/>
    <s v="Los besos"/>
    <s v="Manuel Vilas"/>
    <x v="3"/>
    <n v="17.010000000000002"/>
    <n v="1701"/>
    <n v="1"/>
    <n v="17.010000000000002"/>
    <x v="70"/>
    <x v="0"/>
    <x v="941"/>
    <x v="2"/>
    <x v="1"/>
    <s v="Tienda Online"/>
    <x v="3"/>
    <m/>
    <s v="Sin valoración"/>
  </r>
  <r>
    <s v="V002186"/>
    <s v="978-3-99733-432-0"/>
    <s v="Don Quijote de la Mancha"/>
    <s v="Miguel de Cervantes"/>
    <x v="9"/>
    <n v="1.99"/>
    <n v="199"/>
    <n v="3"/>
    <n v="5.97"/>
    <x v="16"/>
    <x v="2"/>
    <x v="190"/>
    <x v="2"/>
    <x v="1"/>
    <s v="Tienda Online"/>
    <x v="2"/>
    <n v="2"/>
    <n v="2"/>
  </r>
  <r>
    <s v="V002187"/>
    <s v="978-3-85880-708-0"/>
    <s v="Persépolis"/>
    <s v="Marjane Satrapi"/>
    <x v="10"/>
    <n v="1.59"/>
    <n v="159"/>
    <n v="1"/>
    <n v="1.59"/>
    <x v="45"/>
    <x v="1"/>
    <x v="656"/>
    <x v="0"/>
    <x v="0"/>
    <s v="Librería Central Madrid"/>
    <x v="4"/>
    <n v="4"/>
    <n v="4"/>
  </r>
  <r>
    <s v="V002188"/>
    <s v="978-7-80284-227-6"/>
    <s v="El Señor de los Anillos"/>
    <s v="J.R.R. Tolkien"/>
    <x v="2"/>
    <n v="23.92"/>
    <n v="2392"/>
    <n v="1"/>
    <n v="23.92"/>
    <x v="13"/>
    <x v="1"/>
    <x v="440"/>
    <x v="1"/>
    <x v="1"/>
    <s v="Tienda Online"/>
    <x v="2"/>
    <n v="5"/>
    <n v="5"/>
  </r>
  <r>
    <s v="V002189"/>
    <s v="978-9-20745-529-9"/>
    <s v="Watchmen"/>
    <s v="Alan Moore"/>
    <x v="10"/>
    <n v="2.2999999999999998"/>
    <n v="230"/>
    <n v="1"/>
    <n v="2.2999999999999998"/>
    <x v="31"/>
    <x v="3"/>
    <x v="303"/>
    <x v="0"/>
    <x v="1"/>
    <s v="Tienda Online"/>
    <x v="0"/>
    <n v="5"/>
    <n v="5"/>
  </r>
  <r>
    <s v="V002190"/>
    <s v="978-6-22676-467-5"/>
    <s v="Choque de Reyes"/>
    <s v="George R.R. Martin"/>
    <x v="2"/>
    <n v="1.99"/>
    <n v="199"/>
    <n v="2"/>
    <n v="3.98"/>
    <x v="23"/>
    <x v="3"/>
    <x v="453"/>
    <x v="1"/>
    <x v="0"/>
    <s v="Librería Gran Vía"/>
    <x v="1"/>
    <n v="5"/>
    <n v="5"/>
  </r>
  <r>
    <s v="V002191"/>
    <s v="978-6-86484-508-5"/>
    <s v="Ficciones"/>
    <s v="Jorge Luis Borges"/>
    <x v="9"/>
    <n v="1.49"/>
    <n v="149"/>
    <n v="1"/>
    <n v="1.49"/>
    <x v="48"/>
    <x v="3"/>
    <x v="183"/>
    <x v="2"/>
    <x v="1"/>
    <s v="Tienda Online"/>
    <x v="3"/>
    <n v="4"/>
    <n v="4"/>
  </r>
  <r>
    <s v="V002192"/>
    <s v="978-4-93748-619-9"/>
    <s v="Perdida"/>
    <s v="Gillian Flynn"/>
    <x v="1"/>
    <n v="1.65"/>
    <n v="165"/>
    <n v="3"/>
    <n v="4.9499999999999993"/>
    <x v="34"/>
    <x v="3"/>
    <x v="61"/>
    <x v="0"/>
    <x v="1"/>
    <s v="Tienda Online"/>
    <x v="2"/>
    <n v="5"/>
    <n v="5"/>
  </r>
  <r>
    <s v="V002193"/>
    <s v="978-6-22676-467-5"/>
    <s v="Choque de Reyes"/>
    <s v="George R.R. Martin"/>
    <x v="2"/>
    <n v="1.99"/>
    <n v="199"/>
    <n v="1"/>
    <n v="1.99"/>
    <x v="55"/>
    <x v="0"/>
    <x v="720"/>
    <x v="2"/>
    <x v="1"/>
    <s v="Tienda Online"/>
    <x v="4"/>
    <n v="4"/>
    <n v="4"/>
  </r>
  <r>
    <s v="V002194"/>
    <s v="978-1-42591-296-3"/>
    <s v="Frankenstein"/>
    <s v="Mary Shelley"/>
    <x v="4"/>
    <n v="10.71"/>
    <n v="1071"/>
    <n v="1"/>
    <n v="10.71"/>
    <x v="60"/>
    <x v="3"/>
    <x v="110"/>
    <x v="2"/>
    <x v="1"/>
    <s v="Tienda Online"/>
    <x v="4"/>
    <n v="4"/>
    <n v="4"/>
  </r>
  <r>
    <s v="V002195"/>
    <s v="978-9-38864-107-1"/>
    <s v="James y el melocotón gigante"/>
    <s v="Roald Dahl"/>
    <x v="6"/>
    <n v="8.7200000000000006"/>
    <n v="872"/>
    <n v="2"/>
    <n v="17.440000000000001"/>
    <x v="52"/>
    <x v="3"/>
    <x v="870"/>
    <x v="1"/>
    <x v="1"/>
    <s v="Tienda Online"/>
    <x v="2"/>
    <n v="4"/>
    <n v="4"/>
  </r>
  <r>
    <s v="V002196"/>
    <s v="978-2-18981-709-1"/>
    <s v="Una breve historia del tiempo"/>
    <s v="Stephen Hawking"/>
    <x v="11"/>
    <n v="15.21"/>
    <n v="1521"/>
    <n v="1"/>
    <n v="15.21"/>
    <x v="12"/>
    <x v="1"/>
    <x v="920"/>
    <x v="2"/>
    <x v="1"/>
    <s v="Tienda Online"/>
    <x v="1"/>
    <n v="4"/>
    <n v="4"/>
  </r>
  <r>
    <s v="V002197"/>
    <s v="978-2-92240-263-6"/>
    <s v="La casa de Bernarda Alba"/>
    <s v="Federico García Lorca"/>
    <x v="17"/>
    <n v="1.04"/>
    <n v="104"/>
    <n v="1"/>
    <n v="1.04"/>
    <x v="69"/>
    <x v="3"/>
    <x v="582"/>
    <x v="2"/>
    <x v="1"/>
    <s v="Tienda Online"/>
    <x v="2"/>
    <n v="4"/>
    <n v="4"/>
  </r>
  <r>
    <s v="V002198"/>
    <s v="978-4-93748-619-9"/>
    <s v="Perdida"/>
    <s v="Gillian Flynn"/>
    <x v="1"/>
    <n v="17.32"/>
    <n v="1732"/>
    <n v="1"/>
    <n v="17.32"/>
    <x v="6"/>
    <x v="0"/>
    <x v="845"/>
    <x v="0"/>
    <x v="0"/>
    <s v="Librería Gran Vía"/>
    <x v="2"/>
    <n v="5"/>
    <n v="5"/>
  </r>
  <r>
    <s v="V002199"/>
    <s v="978-8-36062-833-8"/>
    <s v="Crónicas marcianas"/>
    <s v="Ray Bradbury"/>
    <x v="12"/>
    <n v="15.96"/>
    <n v="1596"/>
    <n v="3"/>
    <n v="47.88"/>
    <x v="63"/>
    <x v="2"/>
    <x v="892"/>
    <x v="0"/>
    <x v="0"/>
    <s v="Librería Sevilla Triana"/>
    <x v="4"/>
    <n v="5"/>
    <n v="5"/>
  </r>
  <r>
    <s v="V002200"/>
    <s v="978-1-16175-981-1"/>
    <s v="Pedro Páramo"/>
    <s v="Juan Rulfo"/>
    <x v="9"/>
    <n v="14.19"/>
    <n v="1419"/>
    <n v="2"/>
    <n v="28.38"/>
    <x v="17"/>
    <x v="1"/>
    <x v="942"/>
    <x v="0"/>
    <x v="1"/>
    <s v="Tienda Online"/>
    <x v="1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D0C28-E075-4610-97EF-184E8764D91A}" name="beneficios total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D4" firstHeaderRow="1" firstDataRow="1" firstDataCol="0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showAll="0"/>
    <pivotField dataField="1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a de precio_pedid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F9674-3616-42DD-8555-FCB058FD81BF}" name="forma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41:C45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cantidad" fld="7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64EB7-1C8B-4CE2-A68B-8213C92A1EF7}" name="Total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a de cantida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D4E1C-A516-4964-BB77-87C06A6F03F3}" name="eda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0:C39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cantidad" fld="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CB5A0-3CCE-406F-8712-DF8D2B294B96}" name="beneficios_tiemp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N2:O42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showAll="0"/>
    <pivotField dataField="1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2">
    <field x="20"/>
    <field x="18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a de precio_pedido" fld="8" baseField="0" baseItem="0" numFmtId="44"/>
  </dataFields>
  <formats count="1">
    <format dxfId="4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8BC96-8C89-4613-BE98-FE869F6F753A}" name="genero_cli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B63:C68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antidad" fld="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8FF6D-0423-4472-BADD-9A578698F939}" name="metodoPag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54:C60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antidad" fld="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B5D2F-C644-43F8-9FE4-D983BBFE9F64}" name="ventas_tiemp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K2:L42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18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a de cantidad" fld="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0B539-2DA1-4B23-821B-345CFE65B0F2}" name="modoVen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48:C51" firstHeaderRow="1" firstDataRow="1" firstDataCol="1"/>
  <pivotFields count="21">
    <pivotField showAll="0"/>
    <pivotField showAll="0"/>
    <pivotField showAll="0"/>
    <pivotField showAll="0"/>
    <pivotField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a de cantidad" fld="7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0D6EB-980E-4D9F-BF65-E2EE124C1E57}" name="ventasXcatego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8:C27" firstHeaderRow="1" firstDataRow="1" firstDataCol="1"/>
  <pivotFields count="21">
    <pivotField showAll="0"/>
    <pivotField showAll="0"/>
    <pivotField showAll="0"/>
    <pivotField showAll="0"/>
    <pivotField axis="axisRow" showAll="0">
      <items count="19">
        <item x="0"/>
        <item x="13"/>
        <item x="11"/>
        <item x="12"/>
        <item x="9"/>
        <item x="14"/>
        <item x="10"/>
        <item x="15"/>
        <item x="2"/>
        <item x="8"/>
        <item x="3"/>
        <item x="5"/>
        <item x="16"/>
        <item x="6"/>
        <item x="7"/>
        <item x="17"/>
        <item x="4"/>
        <item x="1"/>
        <item t="default"/>
      </items>
    </pivotField>
    <pivotField showAll="0"/>
    <pivotField showAll="0"/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944">
        <item x="730"/>
        <item x="580"/>
        <item x="896"/>
        <item x="735"/>
        <item x="299"/>
        <item x="58"/>
        <item x="408"/>
        <item x="939"/>
        <item x="724"/>
        <item x="698"/>
        <item x="789"/>
        <item x="661"/>
        <item x="214"/>
        <item x="861"/>
        <item x="106"/>
        <item x="774"/>
        <item x="868"/>
        <item x="497"/>
        <item x="167"/>
        <item x="472"/>
        <item x="427"/>
        <item x="702"/>
        <item x="914"/>
        <item x="653"/>
        <item x="917"/>
        <item x="377"/>
        <item x="267"/>
        <item x="15"/>
        <item x="479"/>
        <item x="867"/>
        <item x="481"/>
        <item x="60"/>
        <item x="908"/>
        <item x="140"/>
        <item x="456"/>
        <item x="633"/>
        <item x="105"/>
        <item x="855"/>
        <item x="390"/>
        <item x="49"/>
        <item x="302"/>
        <item x="894"/>
        <item x="857"/>
        <item x="677"/>
        <item x="322"/>
        <item x="477"/>
        <item x="764"/>
        <item x="602"/>
        <item x="899"/>
        <item x="909"/>
        <item x="588"/>
        <item x="166"/>
        <item x="798"/>
        <item x="151"/>
        <item x="442"/>
        <item x="592"/>
        <item x="219"/>
        <item x="812"/>
        <item x="311"/>
        <item x="779"/>
        <item x="355"/>
        <item x="509"/>
        <item x="342"/>
        <item x="746"/>
        <item x="20"/>
        <item x="161"/>
        <item x="393"/>
        <item x="921"/>
        <item x="787"/>
        <item x="17"/>
        <item x="274"/>
        <item x="404"/>
        <item x="361"/>
        <item x="505"/>
        <item x="903"/>
        <item x="111"/>
        <item x="675"/>
        <item x="911"/>
        <item x="705"/>
        <item x="537"/>
        <item x="554"/>
        <item x="245"/>
        <item x="886"/>
        <item x="443"/>
        <item x="873"/>
        <item x="275"/>
        <item x="634"/>
        <item x="295"/>
        <item x="10"/>
        <item x="281"/>
        <item x="753"/>
        <item x="866"/>
        <item x="265"/>
        <item x="65"/>
        <item x="45"/>
        <item x="578"/>
        <item x="270"/>
        <item x="940"/>
        <item x="314"/>
        <item x="684"/>
        <item x="241"/>
        <item x="682"/>
        <item x="234"/>
        <item x="244"/>
        <item x="910"/>
        <item x="620"/>
        <item x="54"/>
        <item x="561"/>
        <item x="189"/>
        <item x="410"/>
        <item x="906"/>
        <item x="1"/>
        <item x="613"/>
        <item x="59"/>
        <item x="27"/>
        <item x="651"/>
        <item x="149"/>
        <item x="450"/>
        <item x="813"/>
        <item x="527"/>
        <item x="359"/>
        <item x="121"/>
        <item x="208"/>
        <item x="32"/>
        <item x="841"/>
        <item x="781"/>
        <item x="363"/>
        <item x="696"/>
        <item x="629"/>
        <item x="643"/>
        <item x="115"/>
        <item x="822"/>
        <item x="156"/>
        <item x="143"/>
        <item x="898"/>
        <item x="19"/>
        <item x="701"/>
        <item x="55"/>
        <item x="172"/>
        <item x="357"/>
        <item x="728"/>
        <item x="852"/>
        <item x="415"/>
        <item x="331"/>
        <item x="310"/>
        <item x="488"/>
        <item x="550"/>
        <item x="495"/>
        <item x="209"/>
        <item x="21"/>
        <item x="544"/>
        <item x="63"/>
        <item x="164"/>
        <item x="222"/>
        <item x="190"/>
        <item x="72"/>
        <item x="766"/>
        <item x="546"/>
        <item x="141"/>
        <item x="741"/>
        <item x="551"/>
        <item x="380"/>
        <item x="536"/>
        <item x="826"/>
        <item x="300"/>
        <item x="656"/>
        <item x="34"/>
        <item x="641"/>
        <item x="751"/>
        <item x="726"/>
        <item x="453"/>
        <item x="12"/>
        <item x="923"/>
        <item x="123"/>
        <item x="754"/>
        <item x="258"/>
        <item x="101"/>
        <item x="261"/>
        <item x="370"/>
        <item x="195"/>
        <item x="313"/>
        <item x="100"/>
        <item x="719"/>
        <item x="294"/>
        <item x="593"/>
        <item x="366"/>
        <item x="416"/>
        <item x="742"/>
        <item x="147"/>
        <item x="36"/>
        <item x="375"/>
        <item x="545"/>
        <item x="86"/>
        <item x="413"/>
        <item x="92"/>
        <item x="320"/>
        <item x="430"/>
        <item x="43"/>
        <item x="176"/>
        <item x="30"/>
        <item x="548"/>
        <item x="137"/>
        <item x="211"/>
        <item x="862"/>
        <item x="203"/>
        <item x="660"/>
        <item x="398"/>
        <item x="48"/>
        <item x="587"/>
        <item x="844"/>
        <item x="504"/>
        <item x="631"/>
        <item x="786"/>
        <item x="41"/>
        <item x="246"/>
        <item x="432"/>
        <item x="603"/>
        <item x="854"/>
        <item x="305"/>
        <item x="547"/>
        <item x="288"/>
        <item x="338"/>
        <item x="449"/>
        <item x="792"/>
        <item x="610"/>
        <item x="883"/>
        <item x="676"/>
        <item x="710"/>
        <item x="251"/>
        <item x="885"/>
        <item x="179"/>
        <item x="621"/>
        <item x="829"/>
        <item x="582"/>
        <item x="806"/>
        <item x="572"/>
        <item x="28"/>
        <item x="718"/>
        <item x="638"/>
        <item x="378"/>
        <item x="840"/>
        <item x="108"/>
        <item x="98"/>
        <item x="579"/>
        <item x="934"/>
        <item x="350"/>
        <item x="778"/>
        <item x="439"/>
        <item x="692"/>
        <item x="604"/>
        <item x="362"/>
        <item x="144"/>
        <item x="323"/>
        <item x="42"/>
        <item x="231"/>
        <item x="845"/>
        <item x="451"/>
        <item x="402"/>
        <item x="721"/>
        <item x="559"/>
        <item x="269"/>
        <item x="394"/>
        <item x="639"/>
        <item x="93"/>
        <item x="722"/>
        <item x="749"/>
        <item x="229"/>
        <item x="329"/>
        <item x="679"/>
        <item x="174"/>
        <item x="458"/>
        <item x="264"/>
        <item x="457"/>
        <item x="490"/>
        <item x="691"/>
        <item x="262"/>
        <item x="938"/>
        <item x="518"/>
        <item x="119"/>
        <item x="534"/>
        <item x="785"/>
        <item x="139"/>
        <item x="704"/>
        <item x="103"/>
        <item x="441"/>
        <item x="590"/>
        <item x="470"/>
        <item x="674"/>
        <item x="76"/>
        <item x="445"/>
        <item x="321"/>
        <item x="249"/>
        <item x="286"/>
        <item x="712"/>
        <item x="922"/>
        <item x="928"/>
        <item x="540"/>
        <item x="191"/>
        <item x="689"/>
        <item x="670"/>
        <item x="511"/>
        <item x="433"/>
        <item x="371"/>
        <item x="168"/>
        <item x="706"/>
        <item x="133"/>
        <item x="13"/>
        <item x="428"/>
        <item x="622"/>
        <item x="628"/>
        <item x="480"/>
        <item x="225"/>
        <item x="541"/>
        <item x="407"/>
        <item x="169"/>
        <item x="419"/>
        <item x="210"/>
        <item x="83"/>
        <item x="431"/>
        <item x="791"/>
        <item x="733"/>
        <item x="744"/>
        <item x="747"/>
        <item x="647"/>
        <item x="539"/>
        <item x="566"/>
        <item x="417"/>
        <item x="768"/>
        <item x="567"/>
        <item x="473"/>
        <item x="327"/>
        <item x="292"/>
        <item x="665"/>
        <item x="575"/>
        <item x="499"/>
        <item x="193"/>
        <item x="832"/>
        <item x="740"/>
        <item x="655"/>
        <item x="585"/>
        <item x="178"/>
        <item x="538"/>
        <item x="185"/>
        <item x="502"/>
        <item x="752"/>
        <item x="848"/>
        <item x="738"/>
        <item x="198"/>
        <item x="776"/>
        <item x="824"/>
        <item x="159"/>
        <item x="614"/>
        <item x="406"/>
        <item x="51"/>
        <item x="463"/>
        <item x="346"/>
        <item x="339"/>
        <item x="434"/>
        <item x="583"/>
        <item x="334"/>
        <item x="315"/>
        <item x="783"/>
        <item x="247"/>
        <item x="770"/>
        <item x="501"/>
        <item x="391"/>
        <item x="37"/>
        <item x="328"/>
        <item x="685"/>
        <item x="531"/>
        <item x="8"/>
        <item x="268"/>
        <item x="162"/>
        <item x="884"/>
        <item x="291"/>
        <item x="309"/>
        <item x="383"/>
        <item x="503"/>
        <item x="52"/>
        <item x="484"/>
        <item x="555"/>
        <item x="438"/>
        <item x="29"/>
        <item x="475"/>
        <item x="734"/>
        <item x="165"/>
        <item x="117"/>
        <item x="737"/>
        <item x="612"/>
        <item x="157"/>
        <item x="278"/>
        <item x="107"/>
        <item x="255"/>
        <item x="230"/>
        <item x="289"/>
        <item x="671"/>
        <item x="645"/>
        <item x="850"/>
        <item x="460"/>
        <item x="856"/>
        <item x="263"/>
        <item x="533"/>
        <item x="285"/>
        <item x="11"/>
        <item x="782"/>
        <item x="279"/>
        <item x="680"/>
        <item x="748"/>
        <item x="386"/>
        <item x="318"/>
        <item x="930"/>
        <item x="659"/>
        <item x="649"/>
        <item x="515"/>
        <item x="790"/>
        <item x="516"/>
        <item x="326"/>
        <item x="239"/>
        <item x="401"/>
        <item x="120"/>
        <item x="134"/>
        <item x="424"/>
        <item x="739"/>
        <item x="863"/>
        <item x="833"/>
        <item x="727"/>
        <item x="360"/>
        <item x="454"/>
        <item x="200"/>
        <item x="596"/>
        <item x="732"/>
        <item x="723"/>
        <item x="421"/>
        <item x="126"/>
        <item x="158"/>
        <item x="242"/>
        <item x="237"/>
        <item x="694"/>
        <item x="7"/>
        <item x="763"/>
        <item x="429"/>
        <item x="452"/>
        <item x="145"/>
        <item x="843"/>
        <item x="114"/>
        <item x="16"/>
        <item x="163"/>
        <item x="879"/>
        <item x="644"/>
        <item x="150"/>
        <item x="332"/>
        <item x="228"/>
        <item x="422"/>
        <item x="918"/>
        <item x="387"/>
        <item x="440"/>
        <item x="306"/>
        <item x="574"/>
        <item x="384"/>
        <item x="761"/>
        <item x="90"/>
        <item x="340"/>
        <item x="637"/>
        <item x="223"/>
        <item x="553"/>
        <item x="9"/>
        <item x="276"/>
        <item x="836"/>
        <item x="46"/>
        <item x="846"/>
        <item x="74"/>
        <item x="489"/>
        <item x="372"/>
        <item x="902"/>
        <item x="869"/>
        <item x="915"/>
        <item x="194"/>
        <item x="815"/>
        <item x="925"/>
        <item x="465"/>
        <item x="109"/>
        <item x="253"/>
        <item x="205"/>
        <item x="802"/>
        <item x="207"/>
        <item x="870"/>
        <item x="110"/>
        <item x="175"/>
        <item x="399"/>
        <item x="936"/>
        <item x="756"/>
        <item x="124"/>
        <item x="403"/>
        <item x="878"/>
        <item x="616"/>
        <item x="382"/>
        <item x="122"/>
        <item x="333"/>
        <item x="233"/>
        <item x="510"/>
        <item x="788"/>
        <item x="2"/>
        <item x="39"/>
        <item x="526"/>
        <item x="392"/>
        <item x="204"/>
        <item x="849"/>
        <item x="284"/>
        <item x="152"/>
        <item x="347"/>
        <item x="514"/>
        <item x="842"/>
        <item x="116"/>
        <item x="254"/>
        <item x="182"/>
        <item x="148"/>
        <item x="127"/>
        <item x="57"/>
        <item x="397"/>
        <item x="0"/>
        <item x="543"/>
        <item x="385"/>
        <item x="810"/>
        <item x="113"/>
        <item x="400"/>
        <item x="330"/>
        <item x="839"/>
        <item x="252"/>
        <item x="807"/>
        <item x="821"/>
        <item x="128"/>
        <item x="900"/>
        <item x="700"/>
        <item x="708"/>
        <item x="929"/>
        <item x="486"/>
        <item x="729"/>
        <item x="777"/>
        <item x="227"/>
        <item x="373"/>
        <item x="571"/>
        <item x="888"/>
        <item x="235"/>
        <item x="379"/>
        <item x="941"/>
        <item x="236"/>
        <item x="348"/>
        <item x="736"/>
        <item x="667"/>
        <item x="615"/>
        <item x="933"/>
        <item x="611"/>
        <item x="99"/>
        <item x="154"/>
        <item x="521"/>
        <item x="513"/>
        <item x="563"/>
        <item x="66"/>
        <item x="436"/>
        <item x="287"/>
        <item x="469"/>
        <item x="853"/>
        <item x="199"/>
        <item x="775"/>
        <item x="570"/>
        <item x="652"/>
        <item x="307"/>
        <item x="865"/>
        <item x="494"/>
        <item x="542"/>
        <item x="87"/>
        <item x="271"/>
        <item x="560"/>
        <item x="135"/>
        <item x="365"/>
        <item x="562"/>
        <item x="335"/>
        <item x="589"/>
        <item x="376"/>
        <item x="693"/>
        <item x="353"/>
        <item x="395"/>
        <item x="831"/>
        <item x="877"/>
        <item x="762"/>
        <item x="364"/>
        <item x="301"/>
        <item x="650"/>
        <item x="632"/>
        <item x="96"/>
        <item x="411"/>
        <item x="759"/>
        <item x="184"/>
        <item x="630"/>
        <item x="73"/>
        <item x="576"/>
        <item x="491"/>
        <item x="617"/>
        <item x="619"/>
        <item x="801"/>
        <item x="864"/>
        <item x="880"/>
        <item x="26"/>
        <item x="67"/>
        <item x="558"/>
        <item x="678"/>
        <item x="625"/>
        <item x="381"/>
        <item x="569"/>
        <item x="935"/>
        <item x="341"/>
        <item x="525"/>
        <item x="837"/>
        <item x="715"/>
        <item x="743"/>
        <item x="808"/>
        <item x="607"/>
        <item x="709"/>
        <item x="435"/>
        <item x="931"/>
        <item x="180"/>
        <item x="799"/>
        <item x="336"/>
        <item x="814"/>
        <item x="280"/>
        <item x="129"/>
        <item x="202"/>
        <item x="283"/>
        <item x="795"/>
        <item x="352"/>
        <item x="6"/>
        <item x="892"/>
        <item x="851"/>
        <item x="535"/>
        <item x="893"/>
        <item x="62"/>
        <item x="196"/>
        <item x="897"/>
        <item x="130"/>
        <item x="713"/>
        <item x="446"/>
        <item x="170"/>
        <item x="889"/>
        <item x="308"/>
        <item x="459"/>
        <item x="118"/>
        <item x="23"/>
        <item x="61"/>
        <item x="816"/>
        <item x="303"/>
        <item x="598"/>
        <item x="669"/>
        <item x="591"/>
        <item x="530"/>
        <item x="437"/>
        <item x="183"/>
        <item x="771"/>
        <item x="317"/>
        <item x="662"/>
        <item x="471"/>
        <item x="568"/>
        <item x="487"/>
        <item x="887"/>
        <item x="177"/>
        <item x="94"/>
        <item x="673"/>
        <item x="68"/>
        <item x="201"/>
        <item x="881"/>
        <item x="500"/>
        <item x="581"/>
        <item x="396"/>
        <item x="601"/>
        <item x="907"/>
        <item x="3"/>
        <item x="823"/>
        <item x="654"/>
        <item x="217"/>
        <item x="298"/>
        <item x="507"/>
        <item x="623"/>
        <item x="425"/>
        <item x="405"/>
        <item x="605"/>
        <item x="496"/>
        <item x="290"/>
        <item x="414"/>
        <item x="519"/>
        <item x="695"/>
        <item x="4"/>
        <item x="337"/>
        <item x="466"/>
        <item x="296"/>
        <item x="324"/>
        <item x="758"/>
        <item x="672"/>
        <item x="725"/>
        <item x="508"/>
        <item x="874"/>
        <item x="282"/>
        <item x="642"/>
        <item x="512"/>
        <item x="817"/>
        <item x="89"/>
        <item x="830"/>
        <item x="834"/>
        <item x="584"/>
        <item x="794"/>
        <item x="351"/>
        <item x="216"/>
        <item x="858"/>
        <item x="232"/>
        <item x="240"/>
        <item x="835"/>
        <item x="146"/>
        <item x="354"/>
        <item x="859"/>
        <item x="564"/>
        <item x="618"/>
        <item x="367"/>
        <item x="658"/>
        <item x="197"/>
        <item x="818"/>
        <item x="597"/>
        <item x="112"/>
        <item x="699"/>
        <item x="549"/>
        <item x="657"/>
        <item x="875"/>
        <item x="368"/>
        <item x="316"/>
        <item x="81"/>
        <item x="772"/>
        <item x="765"/>
        <item x="876"/>
        <item x="697"/>
        <item x="800"/>
        <item x="84"/>
        <item x="33"/>
        <item x="804"/>
        <item x="464"/>
        <item x="369"/>
        <item x="932"/>
        <item x="138"/>
        <item x="418"/>
        <item x="811"/>
        <item x="809"/>
        <item x="71"/>
        <item x="78"/>
        <item x="97"/>
        <item x="188"/>
        <item x="688"/>
        <item x="803"/>
        <item x="38"/>
        <item x="606"/>
        <item x="890"/>
        <item x="586"/>
        <item x="388"/>
        <item x="784"/>
        <item x="142"/>
        <item x="47"/>
        <item x="687"/>
        <item x="220"/>
        <item x="882"/>
        <item x="827"/>
        <item x="769"/>
        <item x="212"/>
        <item x="506"/>
        <item x="683"/>
        <item x="498"/>
        <item x="750"/>
        <item x="493"/>
        <item x="88"/>
        <item x="720"/>
        <item x="423"/>
        <item x="91"/>
        <item x="474"/>
        <item x="608"/>
        <item x="731"/>
        <item x="155"/>
        <item x="187"/>
        <item x="186"/>
        <item x="716"/>
        <item x="224"/>
        <item x="793"/>
        <item x="528"/>
        <item x="44"/>
        <item x="266"/>
        <item x="627"/>
        <item x="599"/>
        <item x="312"/>
        <item x="25"/>
        <item x="50"/>
        <item x="173"/>
        <item x="213"/>
        <item x="79"/>
        <item x="476"/>
        <item x="755"/>
        <item x="924"/>
        <item x="22"/>
        <item x="467"/>
        <item x="714"/>
        <item x="238"/>
        <item x="681"/>
        <item x="913"/>
        <item x="905"/>
        <item x="297"/>
        <item x="780"/>
        <item x="40"/>
        <item x="904"/>
        <item x="942"/>
        <item x="462"/>
        <item x="594"/>
        <item x="277"/>
        <item x="221"/>
        <item x="522"/>
        <item x="912"/>
        <item x="243"/>
        <item x="426"/>
        <item x="690"/>
        <item x="609"/>
        <item x="820"/>
        <item x="77"/>
        <item x="80"/>
        <item x="760"/>
        <item x="828"/>
        <item x="517"/>
        <item x="444"/>
        <item x="666"/>
        <item x="819"/>
        <item x="557"/>
        <item x="374"/>
        <item x="181"/>
        <item x="646"/>
        <item x="891"/>
        <item x="53"/>
        <item x="461"/>
        <item x="455"/>
        <item x="927"/>
        <item x="648"/>
        <item x="711"/>
        <item x="797"/>
        <item x="259"/>
        <item x="82"/>
        <item x="256"/>
        <item x="125"/>
        <item x="565"/>
        <item x="805"/>
        <item x="192"/>
        <item x="556"/>
        <item x="573"/>
        <item x="485"/>
        <item x="131"/>
        <item x="345"/>
        <item x="937"/>
        <item x="75"/>
        <item x="160"/>
        <item x="825"/>
        <item x="703"/>
        <item x="218"/>
        <item x="895"/>
        <item x="626"/>
        <item x="600"/>
        <item x="70"/>
        <item x="304"/>
        <item x="35"/>
        <item x="920"/>
        <item x="663"/>
        <item x="325"/>
        <item x="31"/>
        <item x="838"/>
        <item x="919"/>
        <item x="524"/>
        <item x="344"/>
        <item x="153"/>
        <item x="18"/>
        <item x="552"/>
        <item x="64"/>
        <item x="636"/>
        <item x="409"/>
        <item x="577"/>
        <item x="319"/>
        <item x="717"/>
        <item x="468"/>
        <item x="356"/>
        <item x="102"/>
        <item x="635"/>
        <item x="926"/>
        <item x="478"/>
        <item x="640"/>
        <item x="215"/>
        <item x="358"/>
        <item x="447"/>
        <item x="529"/>
        <item x="136"/>
        <item x="595"/>
        <item x="847"/>
        <item x="85"/>
        <item x="745"/>
        <item x="523"/>
        <item x="664"/>
        <item x="95"/>
        <item x="24"/>
        <item x="773"/>
        <item x="349"/>
        <item x="686"/>
        <item x="483"/>
        <item x="132"/>
        <item x="293"/>
        <item x="624"/>
        <item x="520"/>
        <item x="272"/>
        <item x="69"/>
        <item x="482"/>
        <item x="757"/>
        <item x="532"/>
        <item x="668"/>
        <item x="420"/>
        <item x="260"/>
        <item x="250"/>
        <item x="871"/>
        <item x="257"/>
        <item x="14"/>
        <item x="171"/>
        <item x="901"/>
        <item x="226"/>
        <item x="916"/>
        <item x="448"/>
        <item x="248"/>
        <item x="860"/>
        <item x="206"/>
        <item x="872"/>
        <item x="707"/>
        <item x="56"/>
        <item x="492"/>
        <item x="796"/>
        <item x="389"/>
        <item x="5"/>
        <item x="767"/>
        <item x="104"/>
        <item x="343"/>
        <item x="412"/>
        <item x="27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cantidad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9FF009-9AA1-482E-808F-7651C7173D1F}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id_venta" tableColumnId="1"/>
      <queryTableField id="2" name="isbn" tableColumnId="2"/>
      <queryTableField id="3" name="titulo" tableColumnId="3"/>
      <queryTableField id="4" name="autor" tableColumnId="4"/>
      <queryTableField id="5" name="categoria" tableColumnId="5"/>
      <queryTableField id="18" dataBound="0" tableColumnId="16"/>
      <queryTableField id="6" name="precio_eur" tableColumnId="6"/>
      <queryTableField id="7" name="cantidad" tableColumnId="7"/>
      <queryTableField id="19" dataBound="0" tableColumnId="18"/>
      <queryTableField id="8" name="edad_cliente" tableColumnId="8"/>
      <queryTableField id="9" name="genero_cliente" tableColumnId="9"/>
      <queryTableField id="10" name="fecha_venta" tableColumnId="10"/>
      <queryTableField id="11" name="formato" tableColumnId="11"/>
      <queryTableField id="12" name="canal_venta" tableColumnId="12"/>
      <queryTableField id="13" name="tienda" tableColumnId="13"/>
      <queryTableField id="14" name="metodo_pago" tableColumnId="14"/>
      <queryTableField id="15" name="valoracion_cliente" tableColumnId="15"/>
      <queryTableField id="17" dataBound="0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4D3DCDD8-96E7-404B-8C1B-2188F0850C56}" sourceName="categoria">
  <pivotTables>
    <pivotTable tabId="3" name="ventasXcategoria"/>
    <pivotTable tabId="3" name="beneficios_tiempo"/>
    <pivotTable tabId="3" name="edad"/>
    <pivotTable tabId="3" name="formato"/>
    <pivotTable tabId="3" name="metodoPago"/>
    <pivotTable tabId="3" name="modoVenta"/>
    <pivotTable tabId="3" name="TotalVentas"/>
    <pivotTable tabId="3" name="ventas_tiempo"/>
    <pivotTable tabId="3" name="beneficios totales"/>
    <pivotTable tabId="3" name="genero_cli"/>
  </pivotTables>
  <data>
    <tabular pivotCacheId="985670121">
      <items count="18">
        <i x="0" s="1"/>
        <i x="13" s="1"/>
        <i x="11" s="1"/>
        <i x="12" s="1"/>
        <i x="9" s="1"/>
        <i x="14" s="1"/>
        <i x="10" s="1"/>
        <i x="15" s="1"/>
        <i x="2" s="1"/>
        <i x="8" s="1"/>
        <i x="3" s="1"/>
        <i x="5" s="1"/>
        <i x="16" s="1"/>
        <i x="6" s="1"/>
        <i x="7" s="1"/>
        <i x="17" s="1"/>
        <i x="4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_cliente" xr10:uid="{19330530-78E7-4C29-AB54-7B8E4715A466}" sourceName="edad_cliente">
  <pivotTables>
    <pivotTable tabId="3" name="edad"/>
    <pivotTable tabId="3" name="beneficios totales"/>
    <pivotTable tabId="3" name="beneficios_tiempo"/>
    <pivotTable tabId="3" name="formato"/>
    <pivotTable tabId="3" name="metodoPago"/>
    <pivotTable tabId="3" name="modoVenta"/>
    <pivotTable tabId="3" name="genero_cli"/>
    <pivotTable tabId="3" name="TotalVentas"/>
    <pivotTable tabId="3" name="ventas_tiempo"/>
    <pivotTable tabId="3" name="ventasXcategoria"/>
  </pivotTables>
  <data>
    <tabular pivotCacheId="985670121">
      <items count="10">
        <i x="1" s="1"/>
        <i x="2" s="1"/>
        <i x="3" s="1"/>
        <i x="4" s="1"/>
        <i x="5" s="1"/>
        <i x="6" s="1"/>
        <i x="7" s="1"/>
        <i x="8" s="1"/>
        <i x="0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to" xr10:uid="{475D99ED-99DA-4567-A42C-0DC4A45FA6D0}" sourceName="formato">
  <pivotTables>
    <pivotTable tabId="3" name="formato"/>
    <pivotTable tabId="3" name="beneficios totales"/>
    <pivotTable tabId="3" name="beneficios_tiempo"/>
    <pivotTable tabId="3" name="edad"/>
    <pivotTable tabId="3" name="genero_cli"/>
    <pivotTable tabId="3" name="metodoPago"/>
    <pivotTable tabId="3" name="modoVenta"/>
    <pivotTable tabId="3" name="TotalVentas"/>
    <pivotTable tabId="3" name="ventas_tiempo"/>
    <pivotTable tabId="3" name="ventasXcategoria"/>
  </pivotTables>
  <data>
    <tabular pivotCacheId="985670121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venta" xr10:uid="{578975D5-1486-43F6-8715-90D1BAD862F9}" sourceName="canal_venta">
  <pivotTables>
    <pivotTable tabId="3" name="modoVenta"/>
    <pivotTable tabId="3" name="beneficios totales"/>
    <pivotTable tabId="3" name="beneficios_tiempo"/>
    <pivotTable tabId="3" name="edad"/>
    <pivotTable tabId="3" name="genero_cli"/>
    <pivotTable tabId="3" name="metodoPago"/>
    <pivotTable tabId="3" name="ventas_tiempo"/>
    <pivotTable tabId="3" name="ventasXcategoria"/>
    <pivotTable tabId="3" name="formato"/>
    <pivotTable tabId="3" name="TotalVentas"/>
  </pivotTables>
  <data>
    <tabular pivotCacheId="985670121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todo_pago" xr10:uid="{93AB98BF-5339-494C-A9DC-738177ADEB1B}" sourceName="metodo_pago">
  <pivotTables>
    <pivotTable tabId="3" name="metodoPago"/>
    <pivotTable tabId="3" name="beneficios totales"/>
    <pivotTable tabId="3" name="beneficios_tiempo"/>
    <pivotTable tabId="3" name="edad"/>
    <pivotTable tabId="3" name="formato"/>
    <pivotTable tabId="3" name="genero_cli"/>
    <pivotTable tabId="3" name="modoVenta"/>
    <pivotTable tabId="3" name="TotalVentas"/>
    <pivotTable tabId="3" name="ventas_tiempo"/>
    <pivotTable tabId="3" name="ventasXcategoria"/>
  </pivotTables>
  <data>
    <tabular pivotCacheId="985670121">
      <items count="5">
        <i x="2" s="1"/>
        <i x="3" s="1"/>
        <i x="1" s="1"/>
        <i x="0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_cliente" xr10:uid="{2DB2988E-9B9F-4863-A400-9F44E279DC97}" sourceName="genero_cliente">
  <pivotTables>
    <pivotTable tabId="3" name="genero_cli"/>
    <pivotTable tabId="3" name="beneficios totales"/>
    <pivotTable tabId="3" name="beneficios_tiempo"/>
    <pivotTable tabId="3" name="edad"/>
    <pivotTable tabId="3" name="formato"/>
    <pivotTable tabId="3" name="metodoPago"/>
    <pivotTable tabId="3" name="modoVenta"/>
    <pivotTable tabId="3" name="TotalVentas"/>
    <pivotTable tabId="3" name="ventas_tiempo"/>
    <pivotTable tabId="3" name="ventasXcategoria"/>
  </pivotTables>
  <data>
    <tabular pivotCacheId="985670121">
      <items count="4">
        <i x="2" s="1"/>
        <i x="0" s="1"/>
        <i x="1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_venta" xr10:uid="{0A83F9EB-D65C-48D8-990B-233F53CF66EC}" sourceName="Meses (fecha_venta)">
  <pivotTables>
    <pivotTable tabId="3" name="ventas_tiempo"/>
    <pivotTable tabId="3" name="beneficios totales"/>
    <pivotTable tabId="3" name="beneficios_tiempo"/>
    <pivotTable tabId="3" name="edad"/>
    <pivotTable tabId="3" name="formato"/>
    <pivotTable tabId="3" name="genero_cli"/>
    <pivotTable tabId="3" name="metodoPago"/>
    <pivotTable tabId="3" name="modoVenta"/>
    <pivotTable tabId="3" name="TotalVentas"/>
    <pivotTable tabId="3" name="ventasXcategoria"/>
  </pivotTables>
  <data>
    <tabular pivotCacheId="98567012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venta" xr10:uid="{9ABC4DBB-956A-45C9-8288-ED1A22729CAA}" sourceName="Años (fecha_venta)">
  <pivotTables>
    <pivotTable tabId="3" name="ventas_tiempo"/>
    <pivotTable tabId="3" name="beneficios totales"/>
    <pivotTable tabId="3" name="beneficios_tiempo"/>
    <pivotTable tabId="3" name="edad"/>
    <pivotTable tabId="3" name="formato"/>
    <pivotTable tabId="3" name="genero_cli"/>
    <pivotTable tabId="3" name="metodoPago"/>
    <pivotTable tabId="3" name="modoVenta"/>
    <pivotTable tabId="3" name="TotalVentas"/>
    <pivotTable tabId="3" name="ventasXcategoria"/>
  </pivotTables>
  <data>
    <tabular pivotCacheId="985670121">
      <items count="6">
        <i x="1" s="1"/>
        <i x="2" s="1"/>
        <i x="3" s="1"/>
        <i x="0" s="1" nd="1"/>
        <i x="5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4B19E04F-D556-4F38-8AA3-6AD8EAC99F11}" cache="SegmentaciónDeDatos_categoria" caption="categoria" startItem="3" columnCount="3" rowHeight="241300"/>
  <slicer name="edad_cliente 1" xr10:uid="{530070D7-56D7-4148-B4F3-6A1643AEF332}" cache="SegmentaciónDeDatos_edad_cliente" caption="edad_cliente" columnCount="2" rowHeight="241300"/>
  <slicer name="formato 1" xr10:uid="{08263584-A154-481E-B6BB-8CBAE8CCF441}" cache="SegmentaciónDeDatos_formato" caption="formato" rowHeight="241300"/>
  <slicer name="canal_venta 1" xr10:uid="{947E7FC7-B3CD-433F-8FAE-3A7B7F5F8B36}" cache="SegmentaciónDeDatos_canal_venta" caption="canal_venta" columnCount="2" rowHeight="241300"/>
  <slicer name="metodo_pago 1" xr10:uid="{8AAA4F82-ADCA-429E-BED1-F1C4A244DC6E}" cache="SegmentaciónDeDatos_metodo_pago" caption="metodo_pago" columnCount="2" rowHeight="241300"/>
  <slicer name="genero_cliente 1" xr10:uid="{CB1768C2-1B86-434B-8AEC-89D30E9D1969}" cache="SegmentaciónDeDatos_genero_cliente" caption="genero_cliente" rowHeight="241300"/>
  <slicer name="Meses (fecha_venta) 1" xr10:uid="{9580A74C-016E-4E69-BFBF-FA50F3243D4A}" cache="SegmentaciónDeDatos_Meses__fecha_venta" caption="Meses (fecha_venta)" columnCount="2" rowHeight="241300"/>
  <slicer name="Años (fecha_venta) 1" xr10:uid="{142E4652-9E80-43F1-B744-356F1540438F}" cache="SegmentaciónDeDatos_Años__fecha_venta" caption="Años (fecha_venta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EDDE2116-B7CD-4E5F-B4D4-CF0D8117DA35}" cache="SegmentaciónDeDatos_categoria" caption="categoria" startItem="3" columnCount="3" rowHeight="241300"/>
  <slicer name="edad_cliente" xr10:uid="{8470DE11-6EA3-4793-A7FE-CB85B64BD66E}" cache="SegmentaciónDeDatos_edad_cliente" caption="edad_cliente" columnCount="2" rowHeight="241300"/>
  <slicer name="formato" xr10:uid="{8A84BBDE-76F9-4366-8EAD-A0F650B9D03E}" cache="SegmentaciónDeDatos_formato" caption="formato" rowHeight="241300"/>
  <slicer name="canal_venta" xr10:uid="{D82B54B7-C271-4E33-A047-FED385DEB3A1}" cache="SegmentaciónDeDatos_canal_venta" caption="canal_venta" columnCount="2" rowHeight="241300"/>
  <slicer name="metodo_pago" xr10:uid="{23876869-926D-47B6-97BE-A463AC39FF5E}" cache="SegmentaciónDeDatos_metodo_pago" caption="metodo_pago" columnCount="2" rowHeight="241300"/>
  <slicer name="genero_cliente" xr10:uid="{14F364E9-2BC2-4BC2-AD12-C35C4F095B3E}" cache="SegmentaciónDeDatos_genero_cliente" caption="genero_cliente" rowHeight="241300"/>
  <slicer name="Meses (fecha_venta)" xr10:uid="{C5DE00C5-33EB-4E37-A0EF-AA17E96BF314}" cache="SegmentaciónDeDatos_Meses__fecha_venta" caption="Meses (fecha_venta)" columnCount="2" rowHeight="241300"/>
  <slicer name="Años (fecha_venta)" xr10:uid="{9F5944EE-38B6-423C-8D40-A01C13A2CC01}" cache="SegmentaciónDeDatos_Años__fecha_venta" caption="Años (fecha_venta)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2D7B1-5885-4263-ACD6-E226EBC0C701}" name="ventas_libreria" displayName="ventas_libreria" ref="A1:R2201" tableType="queryTable" totalsRowShown="0">
  <autoFilter ref="A1:R2201" xr:uid="{9922D7B1-5885-4263-ACD6-E226EBC0C701}"/>
  <tableColumns count="18">
    <tableColumn id="1" xr3:uid="{1EB16BB3-0FDF-4DFB-B23E-0F3B5A5AB57C}" uniqueName="1" name="id_venta" queryTableFieldId="1" dataDxfId="17"/>
    <tableColumn id="2" xr3:uid="{F096A17A-DF3A-4793-B8F6-9F5771CA15F6}" uniqueName="2" name="isbn" queryTableFieldId="2" dataDxfId="16"/>
    <tableColumn id="3" xr3:uid="{6028CF2F-061E-49EB-86DC-E2A8BC460A00}" uniqueName="3" name="titulo" queryTableFieldId="3" dataDxfId="15"/>
    <tableColumn id="4" xr3:uid="{8955829A-DD89-4C26-B7AB-DB9AE2A70ACD}" uniqueName="4" name="autor" queryTableFieldId="4" dataDxfId="14"/>
    <tableColumn id="5" xr3:uid="{327B8672-BD37-44BA-B222-C46F9EA61F53}" uniqueName="5" name="categoria" queryTableFieldId="5" dataDxfId="13"/>
    <tableColumn id="16" xr3:uid="{9D0846CA-8477-448C-A3FB-C573DB520885}" uniqueName="16" name="precio" queryTableFieldId="18">
      <calculatedColumnFormula>ventas_libreria[[#This Row],[precio_eur]]/100</calculatedColumnFormula>
    </tableColumn>
    <tableColumn id="6" xr3:uid="{9758EB0B-C99F-4C78-90CE-7666D992F857}" uniqueName="6" name="precio_eur" queryTableFieldId="6"/>
    <tableColumn id="7" xr3:uid="{10C5D48D-83B3-4FFF-858C-A598DD4F0B72}" uniqueName="7" name="cantidad" queryTableFieldId="7"/>
    <tableColumn id="18" xr3:uid="{0778F789-A99B-43E8-BB73-0D3B400FE918}" uniqueName="18" name="precio_pedido" queryTableFieldId="19" dataDxfId="12">
      <calculatedColumnFormula>ventas_libreria[[#This Row],[precio]]*ventas_libreria[[#This Row],[cantidad]]</calculatedColumnFormula>
    </tableColumn>
    <tableColumn id="8" xr3:uid="{A46DFD83-CED5-47B0-8B80-239A7C15ECF3}" uniqueName="8" name="edad_cliente" queryTableFieldId="8"/>
    <tableColumn id="9" xr3:uid="{C77636EE-6B59-4E90-B0DD-6B20EEAA7B57}" uniqueName="9" name="genero_cliente" queryTableFieldId="9" dataDxfId="11"/>
    <tableColumn id="10" xr3:uid="{FAF796FB-FA72-49CC-BB30-6DEF26262207}" uniqueName="10" name="fecha_venta" queryTableFieldId="10" dataDxfId="10"/>
    <tableColumn id="11" xr3:uid="{AF03CFFB-4EDE-404C-8A09-313F2A23CE1A}" uniqueName="11" name="formato" queryTableFieldId="11" dataDxfId="9"/>
    <tableColumn id="12" xr3:uid="{A3A73A27-E441-4B2D-9B97-93847CD294D1}" uniqueName="12" name="canal_venta" queryTableFieldId="12" dataDxfId="8"/>
    <tableColumn id="13" xr3:uid="{E8380B0E-DB82-406F-A1B0-575CB60AB754}" uniqueName="13" name="tienda" queryTableFieldId="13" dataDxfId="7"/>
    <tableColumn id="14" xr3:uid="{1334FC2F-6311-43D0-BBCA-63F86BD61B4A}" uniqueName="14" name="metodo_pago" queryTableFieldId="14" dataDxfId="6"/>
    <tableColumn id="15" xr3:uid="{7522DDA5-1C94-4ED6-9258-F087B760261E}" uniqueName="15" name="valoracion_cliente" queryTableFieldId="15"/>
    <tableColumn id="17" xr3:uid="{AEB5902F-3E57-4A78-80E6-AAC9221CFEEA}" uniqueName="17" name="valoracion_cliente_desc" queryTableFieldId="17" dataDxfId="5">
      <calculatedColumnFormula>IF(ventas_libreria[[#This Row],[valoracion_cliente]]="","Sin valoración",ventas_libreria[[#This Row],[valoracion_cliente]])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2480AE"/>
      </a:hlink>
      <a:folHlink>
        <a:srgbClr val="9623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4D7-13A4-4938-BE55-3E706489A7F5}">
  <dimension ref="A1:R2201"/>
  <sheetViews>
    <sheetView topLeftCell="A2" workbookViewId="0">
      <selection activeCell="I3" sqref="I3"/>
    </sheetView>
  </sheetViews>
  <sheetFormatPr baseColWidth="10" defaultRowHeight="15" x14ac:dyDescent="0.25"/>
  <cols>
    <col min="1" max="1" width="11" bestFit="1" customWidth="1"/>
    <col min="2" max="2" width="17" bestFit="1" customWidth="1"/>
    <col min="3" max="3" width="38.85546875" bestFit="1" customWidth="1"/>
    <col min="4" max="4" width="23.85546875" bestFit="1" customWidth="1"/>
    <col min="5" max="5" width="14.85546875" bestFit="1" customWidth="1"/>
    <col min="6" max="6" width="14.85546875" customWidth="1"/>
    <col min="7" max="7" width="12.85546875" hidden="1" customWidth="1"/>
    <col min="8" max="8" width="10.85546875" bestFit="1" customWidth="1"/>
    <col min="9" max="9" width="14.85546875" bestFit="1" customWidth="1"/>
    <col min="10" max="10" width="16.7109375" bestFit="1" customWidth="1"/>
    <col min="11" max="11" width="14.140625" bestFit="1" customWidth="1"/>
    <col min="12" max="12" width="10.42578125" bestFit="1" customWidth="1"/>
    <col min="13" max="13" width="13.85546875" bestFit="1" customWidth="1"/>
    <col min="14" max="14" width="22.28515625" bestFit="1" customWidth="1"/>
    <col min="15" max="15" width="15.5703125" bestFit="1" customWidth="1"/>
    <col min="16" max="16" width="19.7109375" hidden="1" customWidth="1"/>
    <col min="17" max="17" width="24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2480</v>
      </c>
      <c r="G1" t="s">
        <v>5</v>
      </c>
      <c r="H1" t="s">
        <v>6</v>
      </c>
      <c r="I1" t="s">
        <v>2481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2478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f>ventas_libreria[[#This Row],[precio_eur]]/100</f>
        <v>11.92</v>
      </c>
      <c r="G2">
        <v>1192</v>
      </c>
      <c r="H2">
        <v>1</v>
      </c>
      <c r="I2">
        <f>ventas_libreria[[#This Row],[precio]]*ventas_libreria[[#This Row],[cantidad]]</f>
        <v>11.92</v>
      </c>
      <c r="J2">
        <v>50</v>
      </c>
      <c r="K2" t="s">
        <v>20</v>
      </c>
      <c r="L2" s="1">
        <v>45528</v>
      </c>
      <c r="M2" t="s">
        <v>21</v>
      </c>
      <c r="N2" t="s">
        <v>22</v>
      </c>
      <c r="O2" t="s">
        <v>23</v>
      </c>
      <c r="P2" t="s">
        <v>24</v>
      </c>
      <c r="Q2">
        <v>4</v>
      </c>
      <c r="R2">
        <f>IF(ventas_libreria[[#This Row],[valoracion_cliente]]="","Sin valoración",ventas_libreria[[#This Row],[valoracion_cliente]])</f>
        <v>4</v>
      </c>
    </row>
    <row r="3" spans="1:18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f>ventas_libreria[[#This Row],[precio_eur]]/100</f>
        <v>19.84</v>
      </c>
      <c r="G3">
        <v>1984</v>
      </c>
      <c r="H3">
        <v>1</v>
      </c>
      <c r="I3">
        <f>ventas_libreria[[#This Row],[precio]]*ventas_libreria[[#This Row],[cantidad]]</f>
        <v>19.84</v>
      </c>
      <c r="J3">
        <v>27</v>
      </c>
      <c r="K3" t="s">
        <v>30</v>
      </c>
      <c r="L3" s="1">
        <v>45055</v>
      </c>
      <c r="M3" t="s">
        <v>31</v>
      </c>
      <c r="N3" t="s">
        <v>32</v>
      </c>
      <c r="O3" t="s">
        <v>33</v>
      </c>
      <c r="P3" t="s">
        <v>34</v>
      </c>
      <c r="Q3">
        <v>5</v>
      </c>
      <c r="R3">
        <f>IF(ventas_libreria[[#This Row],[valoracion_cliente]]="","Sin valoración",ventas_libreria[[#This Row],[valoracion_cliente]])</f>
        <v>5</v>
      </c>
    </row>
    <row r="4" spans="1:18" x14ac:dyDescent="0.25">
      <c r="A4" t="s">
        <v>35</v>
      </c>
      <c r="B4" t="s">
        <v>36</v>
      </c>
      <c r="C4" t="s">
        <v>37</v>
      </c>
      <c r="D4" t="s">
        <v>28</v>
      </c>
      <c r="E4" t="s">
        <v>29</v>
      </c>
      <c r="F4">
        <f>ventas_libreria[[#This Row],[precio_eur]]/100</f>
        <v>1.89</v>
      </c>
      <c r="G4">
        <v>189</v>
      </c>
      <c r="H4">
        <v>1</v>
      </c>
      <c r="I4">
        <f>ventas_libreria[[#This Row],[precio]]*ventas_libreria[[#This Row],[cantidad]]</f>
        <v>1.89</v>
      </c>
      <c r="J4">
        <v>29</v>
      </c>
      <c r="K4" t="s">
        <v>38</v>
      </c>
      <c r="L4" s="1">
        <v>45506</v>
      </c>
      <c r="M4" t="s">
        <v>31</v>
      </c>
      <c r="N4" t="s">
        <v>32</v>
      </c>
      <c r="O4" t="s">
        <v>33</v>
      </c>
      <c r="P4" t="s">
        <v>24</v>
      </c>
      <c r="Q4">
        <v>5</v>
      </c>
      <c r="R4">
        <f>IF(ventas_libreria[[#This Row],[valoracion_cliente]]="","Sin valoración",ventas_libreria[[#This Row],[valoracion_cliente]])</f>
        <v>5</v>
      </c>
    </row>
    <row r="5" spans="1:18" x14ac:dyDescent="0.25">
      <c r="A5" t="s">
        <v>39</v>
      </c>
      <c r="B5" t="s">
        <v>40</v>
      </c>
      <c r="C5" t="s">
        <v>41</v>
      </c>
      <c r="D5" t="s">
        <v>42</v>
      </c>
      <c r="E5" t="s">
        <v>19</v>
      </c>
      <c r="F5">
        <f>ventas_libreria[[#This Row],[precio_eur]]/100</f>
        <v>1.29</v>
      </c>
      <c r="G5">
        <v>129</v>
      </c>
      <c r="H5">
        <v>3</v>
      </c>
      <c r="I5">
        <f>ventas_libreria[[#This Row],[precio]]*ventas_libreria[[#This Row],[cantidad]]</f>
        <v>3.87</v>
      </c>
      <c r="J5">
        <v>58</v>
      </c>
      <c r="K5" t="s">
        <v>20</v>
      </c>
      <c r="L5" s="1">
        <v>45707</v>
      </c>
      <c r="M5" t="s">
        <v>43</v>
      </c>
      <c r="N5" t="s">
        <v>32</v>
      </c>
      <c r="O5" t="s">
        <v>33</v>
      </c>
      <c r="P5" t="s">
        <v>24</v>
      </c>
      <c r="R5" t="str">
        <f>IF(ventas_libreria[[#This Row],[valoracion_cliente]]="","Sin valoración",ventas_libreria[[#This Row],[valoracion_cliente]])</f>
        <v>Sin valoración</v>
      </c>
    </row>
    <row r="6" spans="1:18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>
        <f>ventas_libreria[[#This Row],[precio_eur]]/100</f>
        <v>15.92</v>
      </c>
      <c r="G6">
        <v>1592</v>
      </c>
      <c r="H6">
        <v>1</v>
      </c>
      <c r="I6">
        <f>ventas_libreria[[#This Row],[precio]]*ventas_libreria[[#This Row],[cantidad]]</f>
        <v>15.92</v>
      </c>
      <c r="J6">
        <v>60</v>
      </c>
      <c r="K6" t="s">
        <v>30</v>
      </c>
      <c r="L6" s="1">
        <v>45727</v>
      </c>
      <c r="M6" t="s">
        <v>31</v>
      </c>
      <c r="N6" t="s">
        <v>22</v>
      </c>
      <c r="O6" t="s">
        <v>49</v>
      </c>
      <c r="P6" t="s">
        <v>50</v>
      </c>
      <c r="Q6">
        <v>5</v>
      </c>
      <c r="R6">
        <f>IF(ventas_libreria[[#This Row],[valoracion_cliente]]="","Sin valoración",ventas_libreria[[#This Row],[valoracion_cliente]])</f>
        <v>5</v>
      </c>
    </row>
    <row r="7" spans="1:18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>
        <f>ventas_libreria[[#This Row],[precio_eur]]/100</f>
        <v>1.25</v>
      </c>
      <c r="G7">
        <v>125</v>
      </c>
      <c r="H7">
        <v>1</v>
      </c>
      <c r="I7">
        <f>ventas_libreria[[#This Row],[precio]]*ventas_libreria[[#This Row],[cantidad]]</f>
        <v>1.25</v>
      </c>
      <c r="J7">
        <v>23</v>
      </c>
      <c r="K7" t="s">
        <v>38</v>
      </c>
      <c r="L7" s="1">
        <v>46017</v>
      </c>
      <c r="M7" t="s">
        <v>31</v>
      </c>
      <c r="N7" t="s">
        <v>32</v>
      </c>
      <c r="O7" t="s">
        <v>33</v>
      </c>
      <c r="P7" t="s">
        <v>56</v>
      </c>
      <c r="Q7">
        <v>5</v>
      </c>
      <c r="R7">
        <f>IF(ventas_libreria[[#This Row],[valoracion_cliente]]="","Sin valoración",ventas_libreria[[#This Row],[valoracion_cliente]])</f>
        <v>5</v>
      </c>
    </row>
    <row r="8" spans="1:1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>
        <f>ventas_libreria[[#This Row],[precio_eur]]/100</f>
        <v>11.61</v>
      </c>
      <c r="G8">
        <v>1161</v>
      </c>
      <c r="H8">
        <v>1</v>
      </c>
      <c r="I8">
        <f>ventas_libreria[[#This Row],[precio]]*ventas_libreria[[#This Row],[cantidad]]</f>
        <v>11.61</v>
      </c>
      <c r="J8">
        <v>36</v>
      </c>
      <c r="K8" t="s">
        <v>62</v>
      </c>
      <c r="L8" s="1">
        <v>45655</v>
      </c>
      <c r="M8" t="s">
        <v>43</v>
      </c>
      <c r="N8" t="s">
        <v>32</v>
      </c>
      <c r="O8" t="s">
        <v>33</v>
      </c>
      <c r="P8" t="s">
        <v>24</v>
      </c>
      <c r="Q8">
        <v>5</v>
      </c>
      <c r="R8">
        <f>IF(ventas_libreria[[#This Row],[valoracion_cliente]]="","Sin valoración",ventas_libreria[[#This Row],[valoracion_cliente]])</f>
        <v>5</v>
      </c>
    </row>
    <row r="9" spans="1:18" x14ac:dyDescent="0.25">
      <c r="A9" t="s">
        <v>63</v>
      </c>
      <c r="B9" t="s">
        <v>64</v>
      </c>
      <c r="C9" t="s">
        <v>65</v>
      </c>
      <c r="D9" t="s">
        <v>66</v>
      </c>
      <c r="E9" t="s">
        <v>29</v>
      </c>
      <c r="F9">
        <f>ventas_libreria[[#This Row],[precio_eur]]/100</f>
        <v>14.85</v>
      </c>
      <c r="G9">
        <v>1485</v>
      </c>
      <c r="H9">
        <v>1</v>
      </c>
      <c r="I9">
        <f>ventas_libreria[[#This Row],[precio]]*ventas_libreria[[#This Row],[cantidad]]</f>
        <v>14.85</v>
      </c>
      <c r="J9">
        <v>44</v>
      </c>
      <c r="K9" t="s">
        <v>38</v>
      </c>
      <c r="L9" s="1">
        <v>45430</v>
      </c>
      <c r="M9" t="s">
        <v>31</v>
      </c>
      <c r="N9" t="s">
        <v>22</v>
      </c>
      <c r="O9" t="s">
        <v>67</v>
      </c>
      <c r="P9" t="s">
        <v>24</v>
      </c>
      <c r="Q9">
        <v>5</v>
      </c>
      <c r="R9">
        <f>IF(ventas_libreria[[#This Row],[valoracion_cliente]]="","Sin valoración",ventas_libreria[[#This Row],[valoracion_cliente]])</f>
        <v>5</v>
      </c>
    </row>
    <row r="10" spans="1:18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>
        <f>ventas_libreria[[#This Row],[precio_eur]]/100</f>
        <v>18.59</v>
      </c>
      <c r="G10">
        <v>1859</v>
      </c>
      <c r="H10">
        <v>2</v>
      </c>
      <c r="I10">
        <f>ventas_libreria[[#This Row],[precio]]*ventas_libreria[[#This Row],[cantidad]]</f>
        <v>37.18</v>
      </c>
      <c r="J10">
        <v>20</v>
      </c>
      <c r="K10" t="s">
        <v>38</v>
      </c>
      <c r="L10" s="1">
        <v>45351</v>
      </c>
      <c r="M10" t="s">
        <v>43</v>
      </c>
      <c r="N10" t="s">
        <v>32</v>
      </c>
      <c r="O10" t="s">
        <v>33</v>
      </c>
      <c r="P10" t="s">
        <v>56</v>
      </c>
      <c r="Q10">
        <v>5</v>
      </c>
      <c r="R10">
        <f>IF(ventas_libreria[[#This Row],[valoracion_cliente]]="","Sin valoración",ventas_libreria[[#This Row],[valoracion_cliente]])</f>
        <v>5</v>
      </c>
    </row>
    <row r="11" spans="1:18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>
        <f>ventas_libreria[[#This Row],[precio_eur]]/100</f>
        <v>17.489999999999998</v>
      </c>
      <c r="G11">
        <v>1749</v>
      </c>
      <c r="H11">
        <v>2</v>
      </c>
      <c r="I11">
        <f>ventas_libreria[[#This Row],[precio]]*ventas_libreria[[#This Row],[cantidad]]</f>
        <v>34.979999999999997</v>
      </c>
      <c r="J11">
        <v>12</v>
      </c>
      <c r="K11" t="s">
        <v>20</v>
      </c>
      <c r="L11" s="1">
        <v>45461</v>
      </c>
      <c r="M11" t="s">
        <v>31</v>
      </c>
      <c r="N11" t="s">
        <v>22</v>
      </c>
      <c r="O11" t="s">
        <v>67</v>
      </c>
      <c r="P11" t="s">
        <v>34</v>
      </c>
      <c r="Q11">
        <v>3</v>
      </c>
      <c r="R11">
        <f>IF(ventas_libreria[[#This Row],[valoracion_cliente]]="","Sin valoración",ventas_libreria[[#This Row],[valoracion_cliente]])</f>
        <v>3</v>
      </c>
    </row>
    <row r="12" spans="1:18" x14ac:dyDescent="0.25">
      <c r="A12" t="s">
        <v>78</v>
      </c>
      <c r="B12" t="s">
        <v>40</v>
      </c>
      <c r="C12" t="s">
        <v>41</v>
      </c>
      <c r="D12" t="s">
        <v>42</v>
      </c>
      <c r="E12" t="s">
        <v>19</v>
      </c>
      <c r="F12">
        <f>ventas_libreria[[#This Row],[precio_eur]]/100</f>
        <v>11.61</v>
      </c>
      <c r="G12">
        <v>1161</v>
      </c>
      <c r="H12">
        <v>1</v>
      </c>
      <c r="I12">
        <f>ventas_libreria[[#This Row],[precio]]*ventas_libreria[[#This Row],[cantidad]]</f>
        <v>11.61</v>
      </c>
      <c r="J12">
        <v>36</v>
      </c>
      <c r="K12" t="s">
        <v>20</v>
      </c>
      <c r="L12" s="1">
        <v>45028</v>
      </c>
      <c r="M12" t="s">
        <v>43</v>
      </c>
      <c r="N12" t="s">
        <v>32</v>
      </c>
      <c r="O12" t="s">
        <v>33</v>
      </c>
      <c r="P12" t="s">
        <v>24</v>
      </c>
      <c r="Q12">
        <v>4</v>
      </c>
      <c r="R12">
        <f>IF(ventas_libreria[[#This Row],[valoracion_cliente]]="","Sin valoración",ventas_libreria[[#This Row],[valoracion_cliente]])</f>
        <v>4</v>
      </c>
    </row>
    <row r="13" spans="1:18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>
        <f>ventas_libreria[[#This Row],[precio_eur]]/100</f>
        <v>8.42</v>
      </c>
      <c r="G13">
        <v>842</v>
      </c>
      <c r="H13">
        <v>1</v>
      </c>
      <c r="I13">
        <f>ventas_libreria[[#This Row],[precio]]*ventas_libreria[[#This Row],[cantidad]]</f>
        <v>8.42</v>
      </c>
      <c r="J13">
        <v>48</v>
      </c>
      <c r="K13" t="s">
        <v>38</v>
      </c>
      <c r="L13" s="1">
        <v>45389</v>
      </c>
      <c r="M13" t="s">
        <v>43</v>
      </c>
      <c r="N13" t="s">
        <v>32</v>
      </c>
      <c r="O13" t="s">
        <v>33</v>
      </c>
      <c r="P13" t="s">
        <v>84</v>
      </c>
      <c r="Q13">
        <v>5</v>
      </c>
      <c r="R13">
        <f>IF(ventas_libreria[[#This Row],[valoracion_cliente]]="","Sin valoración",ventas_libreria[[#This Row],[valoracion_cliente]])</f>
        <v>5</v>
      </c>
    </row>
    <row r="14" spans="1:18" x14ac:dyDescent="0.25">
      <c r="A14" t="s">
        <v>85</v>
      </c>
      <c r="B14" t="s">
        <v>86</v>
      </c>
      <c r="C14" t="s">
        <v>87</v>
      </c>
      <c r="D14" t="s">
        <v>88</v>
      </c>
      <c r="E14" t="s">
        <v>77</v>
      </c>
      <c r="F14">
        <f>ventas_libreria[[#This Row],[precio_eur]]/100</f>
        <v>9.52</v>
      </c>
      <c r="G14">
        <v>952</v>
      </c>
      <c r="H14">
        <v>3</v>
      </c>
      <c r="I14">
        <f>ventas_libreria[[#This Row],[precio]]*ventas_libreria[[#This Row],[cantidad]]</f>
        <v>28.56</v>
      </c>
      <c r="J14">
        <v>6</v>
      </c>
      <c r="K14" t="s">
        <v>62</v>
      </c>
      <c r="L14" s="1">
        <v>45122</v>
      </c>
      <c r="M14" t="s">
        <v>21</v>
      </c>
      <c r="N14" t="s">
        <v>32</v>
      </c>
      <c r="O14" t="s">
        <v>33</v>
      </c>
      <c r="P14" t="s">
        <v>34</v>
      </c>
      <c r="Q14">
        <v>1</v>
      </c>
      <c r="R14">
        <f>IF(ventas_libreria[[#This Row],[valoracion_cliente]]="","Sin valoración",ventas_libreria[[#This Row],[valoracion_cliente]])</f>
        <v>1</v>
      </c>
    </row>
    <row r="15" spans="1:18" x14ac:dyDescent="0.25">
      <c r="A15" t="s">
        <v>89</v>
      </c>
      <c r="B15" t="s">
        <v>40</v>
      </c>
      <c r="C15" t="s">
        <v>41</v>
      </c>
      <c r="D15" t="s">
        <v>42</v>
      </c>
      <c r="E15" t="s">
        <v>19</v>
      </c>
      <c r="F15">
        <f>ventas_libreria[[#This Row],[precio_eur]]/100</f>
        <v>1.29</v>
      </c>
      <c r="G15">
        <v>129</v>
      </c>
      <c r="H15">
        <v>2</v>
      </c>
      <c r="I15">
        <f>ventas_libreria[[#This Row],[precio]]*ventas_libreria[[#This Row],[cantidad]]</f>
        <v>2.58</v>
      </c>
      <c r="J15">
        <v>48</v>
      </c>
      <c r="K15" t="s">
        <v>62</v>
      </c>
      <c r="L15" s="1">
        <v>45280</v>
      </c>
      <c r="M15" t="s">
        <v>43</v>
      </c>
      <c r="N15" t="s">
        <v>32</v>
      </c>
      <c r="O15" t="s">
        <v>33</v>
      </c>
      <c r="P15" t="s">
        <v>34</v>
      </c>
      <c r="Q15">
        <v>5</v>
      </c>
      <c r="R15">
        <f>IF(ventas_libreria[[#This Row],[valoracion_cliente]]="","Sin valoración",ventas_libreria[[#This Row],[valoracion_cliente]])</f>
        <v>5</v>
      </c>
    </row>
    <row r="16" spans="1:18" x14ac:dyDescent="0.25">
      <c r="A16" t="s">
        <v>90</v>
      </c>
      <c r="B16" t="s">
        <v>91</v>
      </c>
      <c r="C16" t="s">
        <v>92</v>
      </c>
      <c r="D16" t="s">
        <v>93</v>
      </c>
      <c r="E16" t="s">
        <v>72</v>
      </c>
      <c r="F16">
        <f>ventas_libreria[[#This Row],[precio_eur]]/100</f>
        <v>1.39</v>
      </c>
      <c r="G16">
        <v>139</v>
      </c>
      <c r="H16">
        <v>4</v>
      </c>
      <c r="I16">
        <f>ventas_libreria[[#This Row],[precio]]*ventas_libreria[[#This Row],[cantidad]]</f>
        <v>5.56</v>
      </c>
      <c r="J16">
        <v>62</v>
      </c>
      <c r="K16" t="s">
        <v>38</v>
      </c>
      <c r="L16" s="1">
        <v>45997</v>
      </c>
      <c r="M16" t="s">
        <v>43</v>
      </c>
      <c r="N16" t="s">
        <v>32</v>
      </c>
      <c r="O16" t="s">
        <v>33</v>
      </c>
      <c r="P16" t="s">
        <v>24</v>
      </c>
      <c r="Q16">
        <v>3</v>
      </c>
      <c r="R16">
        <f>IF(ventas_libreria[[#This Row],[valoracion_cliente]]="","Sin valoración",ventas_libreria[[#This Row],[valoracion_cliente]])</f>
        <v>3</v>
      </c>
    </row>
    <row r="17" spans="1:18" x14ac:dyDescent="0.25">
      <c r="A17" t="s">
        <v>94</v>
      </c>
      <c r="B17" t="s">
        <v>95</v>
      </c>
      <c r="C17" t="s">
        <v>96</v>
      </c>
      <c r="D17" t="s">
        <v>97</v>
      </c>
      <c r="E17" t="s">
        <v>29</v>
      </c>
      <c r="F17">
        <f>ventas_libreria[[#This Row],[precio_eur]]/100</f>
        <v>14.32</v>
      </c>
      <c r="G17">
        <v>1432</v>
      </c>
      <c r="H17">
        <v>1</v>
      </c>
      <c r="I17">
        <f>ventas_libreria[[#This Row],[precio]]*ventas_libreria[[#This Row],[cantidad]]</f>
        <v>14.32</v>
      </c>
      <c r="J17">
        <v>43</v>
      </c>
      <c r="K17" t="s">
        <v>30</v>
      </c>
      <c r="L17" s="1">
        <v>44961</v>
      </c>
      <c r="M17" t="s">
        <v>31</v>
      </c>
      <c r="N17" t="s">
        <v>22</v>
      </c>
      <c r="O17" t="s">
        <v>98</v>
      </c>
      <c r="P17" t="s">
        <v>50</v>
      </c>
      <c r="Q17">
        <v>4</v>
      </c>
      <c r="R17">
        <f>IF(ventas_libreria[[#This Row],[valoracion_cliente]]="","Sin valoración",ventas_libreria[[#This Row],[valoracion_cliente]])</f>
        <v>4</v>
      </c>
    </row>
    <row r="18" spans="1:18" x14ac:dyDescent="0.25">
      <c r="A18" t="s">
        <v>99</v>
      </c>
      <c r="B18" t="s">
        <v>100</v>
      </c>
      <c r="C18" t="s">
        <v>101</v>
      </c>
      <c r="D18" t="s">
        <v>102</v>
      </c>
      <c r="E18" t="s">
        <v>61</v>
      </c>
      <c r="F18">
        <f>ventas_libreria[[#This Row],[precio_eur]]/100</f>
        <v>10.119999999999999</v>
      </c>
      <c r="G18">
        <v>1012</v>
      </c>
      <c r="H18">
        <v>1</v>
      </c>
      <c r="I18">
        <f>ventas_libreria[[#This Row],[precio]]*ventas_libreria[[#This Row],[cantidad]]</f>
        <v>10.119999999999999</v>
      </c>
      <c r="J18">
        <v>59</v>
      </c>
      <c r="K18" t="s">
        <v>20</v>
      </c>
      <c r="L18" s="1">
        <v>45437</v>
      </c>
      <c r="M18" t="s">
        <v>31</v>
      </c>
      <c r="N18" t="s">
        <v>22</v>
      </c>
      <c r="O18" t="s">
        <v>49</v>
      </c>
      <c r="P18" t="s">
        <v>50</v>
      </c>
      <c r="Q18">
        <v>3</v>
      </c>
      <c r="R18">
        <f>IF(ventas_libreria[[#This Row],[valoracion_cliente]]="","Sin valoración",ventas_libreria[[#This Row],[valoracion_cliente]])</f>
        <v>3</v>
      </c>
    </row>
    <row r="19" spans="1:18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>
        <f>ventas_libreria[[#This Row],[precio_eur]]/100</f>
        <v>11.92</v>
      </c>
      <c r="G19">
        <v>1192</v>
      </c>
      <c r="H19">
        <v>2</v>
      </c>
      <c r="I19">
        <f>ventas_libreria[[#This Row],[precio]]*ventas_libreria[[#This Row],[cantidad]]</f>
        <v>23.84</v>
      </c>
      <c r="J19">
        <v>14</v>
      </c>
      <c r="K19" t="s">
        <v>20</v>
      </c>
      <c r="L19" s="1">
        <v>45007</v>
      </c>
      <c r="M19" t="s">
        <v>43</v>
      </c>
      <c r="N19" t="s">
        <v>32</v>
      </c>
      <c r="O19" t="s">
        <v>33</v>
      </c>
      <c r="P19" t="s">
        <v>56</v>
      </c>
      <c r="Q19">
        <v>4</v>
      </c>
      <c r="R19">
        <f>IF(ventas_libreria[[#This Row],[valoracion_cliente]]="","Sin valoración",ventas_libreria[[#This Row],[valoracion_cliente]])</f>
        <v>4</v>
      </c>
    </row>
    <row r="20" spans="1:18" x14ac:dyDescent="0.25">
      <c r="A20" t="s">
        <v>108</v>
      </c>
      <c r="B20" t="s">
        <v>109</v>
      </c>
      <c r="C20" t="s">
        <v>110</v>
      </c>
      <c r="D20" t="s">
        <v>111</v>
      </c>
      <c r="E20" t="s">
        <v>55</v>
      </c>
      <c r="F20">
        <f>ventas_libreria[[#This Row],[precio_eur]]/100</f>
        <v>1.99</v>
      </c>
      <c r="G20">
        <v>199</v>
      </c>
      <c r="H20">
        <v>3</v>
      </c>
      <c r="I20">
        <f>ventas_libreria[[#This Row],[precio]]*ventas_libreria[[#This Row],[cantidad]]</f>
        <v>5.97</v>
      </c>
      <c r="J20">
        <v>24</v>
      </c>
      <c r="K20" t="s">
        <v>30</v>
      </c>
      <c r="L20" s="1">
        <v>45944</v>
      </c>
      <c r="M20" t="s">
        <v>43</v>
      </c>
      <c r="N20" t="s">
        <v>32</v>
      </c>
      <c r="O20" t="s">
        <v>33</v>
      </c>
      <c r="P20" t="s">
        <v>24</v>
      </c>
      <c r="Q20">
        <v>2</v>
      </c>
      <c r="R20">
        <f>IF(ventas_libreria[[#This Row],[valoracion_cliente]]="","Sin valoración",ventas_libreria[[#This Row],[valoracion_cliente]])</f>
        <v>2</v>
      </c>
    </row>
    <row r="21" spans="1:18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>
        <f>ventas_libreria[[#This Row],[precio_eur]]/100</f>
        <v>12.51</v>
      </c>
      <c r="G21">
        <v>1251</v>
      </c>
      <c r="H21">
        <v>2</v>
      </c>
      <c r="I21">
        <f>ventas_libreria[[#This Row],[precio]]*ventas_libreria[[#This Row],[cantidad]]</f>
        <v>25.02</v>
      </c>
      <c r="J21">
        <v>32</v>
      </c>
      <c r="K21" t="s">
        <v>38</v>
      </c>
      <c r="L21" s="1">
        <v>45081</v>
      </c>
      <c r="M21" t="s">
        <v>43</v>
      </c>
      <c r="N21" t="s">
        <v>32</v>
      </c>
      <c r="O21" t="s">
        <v>33</v>
      </c>
      <c r="P21" t="s">
        <v>24</v>
      </c>
      <c r="Q21">
        <v>5</v>
      </c>
      <c r="R21">
        <f>IF(ventas_libreria[[#This Row],[valoracion_cliente]]="","Sin valoración",ventas_libreria[[#This Row],[valoracion_cliente]])</f>
        <v>5</v>
      </c>
    </row>
    <row r="22" spans="1:18" x14ac:dyDescent="0.25">
      <c r="A22" t="s">
        <v>117</v>
      </c>
      <c r="B22" t="s">
        <v>118</v>
      </c>
      <c r="C22" t="s">
        <v>119</v>
      </c>
      <c r="D22" t="s">
        <v>47</v>
      </c>
      <c r="E22" t="s">
        <v>48</v>
      </c>
      <c r="F22">
        <f>ventas_libreria[[#This Row],[precio_eur]]/100</f>
        <v>1.59</v>
      </c>
      <c r="G22">
        <v>159</v>
      </c>
      <c r="H22">
        <v>1</v>
      </c>
      <c r="I22">
        <f>ventas_libreria[[#This Row],[precio]]*ventas_libreria[[#This Row],[cantidad]]</f>
        <v>1.59</v>
      </c>
      <c r="J22">
        <v>61</v>
      </c>
      <c r="K22" t="s">
        <v>20</v>
      </c>
      <c r="L22" s="1">
        <v>45002</v>
      </c>
      <c r="M22" t="s">
        <v>21</v>
      </c>
      <c r="N22" t="s">
        <v>22</v>
      </c>
      <c r="O22" t="s">
        <v>23</v>
      </c>
      <c r="P22" t="s">
        <v>56</v>
      </c>
      <c r="Q22">
        <v>4</v>
      </c>
      <c r="R22">
        <f>IF(ventas_libreria[[#This Row],[valoracion_cliente]]="","Sin valoración",ventas_libreria[[#This Row],[valoracion_cliente]])</f>
        <v>4</v>
      </c>
    </row>
    <row r="23" spans="1:18" x14ac:dyDescent="0.25">
      <c r="A23" t="s">
        <v>120</v>
      </c>
      <c r="B23" t="s">
        <v>121</v>
      </c>
      <c r="C23" t="s">
        <v>122</v>
      </c>
      <c r="D23" t="s">
        <v>123</v>
      </c>
      <c r="E23" t="s">
        <v>48</v>
      </c>
      <c r="F23">
        <f>ventas_libreria[[#This Row],[precio_eur]]/100</f>
        <v>14.36</v>
      </c>
      <c r="G23">
        <v>1436</v>
      </c>
      <c r="H23">
        <v>1</v>
      </c>
      <c r="I23">
        <f>ventas_libreria[[#This Row],[precio]]*ventas_libreria[[#This Row],[cantidad]]</f>
        <v>14.36</v>
      </c>
      <c r="J23">
        <v>65</v>
      </c>
      <c r="K23" t="s">
        <v>30</v>
      </c>
      <c r="L23" s="1">
        <v>45096</v>
      </c>
      <c r="M23" t="s">
        <v>31</v>
      </c>
      <c r="N23" t="s">
        <v>22</v>
      </c>
      <c r="O23" t="s">
        <v>49</v>
      </c>
      <c r="P23" t="s">
        <v>56</v>
      </c>
      <c r="Q23">
        <v>2</v>
      </c>
      <c r="R23">
        <f>IF(ventas_libreria[[#This Row],[valoracion_cliente]]="","Sin valoración",ventas_libreria[[#This Row],[valoracion_cliente]])</f>
        <v>2</v>
      </c>
    </row>
    <row r="24" spans="1:18" x14ac:dyDescent="0.25">
      <c r="A24" t="s">
        <v>124</v>
      </c>
      <c r="B24" t="s">
        <v>125</v>
      </c>
      <c r="C24" t="s">
        <v>126</v>
      </c>
      <c r="D24" t="s">
        <v>127</v>
      </c>
      <c r="E24" t="s">
        <v>29</v>
      </c>
      <c r="F24">
        <f>ventas_libreria[[#This Row],[precio_eur]]/100</f>
        <v>19.690000000000001</v>
      </c>
      <c r="G24">
        <v>1969</v>
      </c>
      <c r="H24">
        <v>1</v>
      </c>
      <c r="I24">
        <f>ventas_libreria[[#This Row],[precio]]*ventas_libreria[[#This Row],[cantidad]]</f>
        <v>19.690000000000001</v>
      </c>
      <c r="J24">
        <v>61</v>
      </c>
      <c r="K24" t="s">
        <v>30</v>
      </c>
      <c r="L24" s="1">
        <v>45853</v>
      </c>
      <c r="M24" t="s">
        <v>21</v>
      </c>
      <c r="N24" t="s">
        <v>22</v>
      </c>
      <c r="O24" t="s">
        <v>49</v>
      </c>
      <c r="P24" t="s">
        <v>24</v>
      </c>
      <c r="Q24">
        <v>5</v>
      </c>
      <c r="R24">
        <f>IF(ventas_libreria[[#This Row],[valoracion_cliente]]="","Sin valoración",ventas_libreria[[#This Row],[valoracion_cliente]])</f>
        <v>5</v>
      </c>
    </row>
    <row r="25" spans="1:18" x14ac:dyDescent="0.25">
      <c r="A25" t="s">
        <v>128</v>
      </c>
      <c r="B25" t="s">
        <v>129</v>
      </c>
      <c r="C25" t="s">
        <v>130</v>
      </c>
      <c r="D25" t="s">
        <v>131</v>
      </c>
      <c r="E25" t="s">
        <v>107</v>
      </c>
      <c r="F25">
        <f>ventas_libreria[[#This Row],[precio_eur]]/100</f>
        <v>1.59</v>
      </c>
      <c r="G25">
        <v>159</v>
      </c>
      <c r="H25">
        <v>2</v>
      </c>
      <c r="I25">
        <f>ventas_libreria[[#This Row],[precio]]*ventas_libreria[[#This Row],[cantidad]]</f>
        <v>3.18</v>
      </c>
      <c r="J25">
        <v>15</v>
      </c>
      <c r="K25" t="s">
        <v>20</v>
      </c>
      <c r="L25" s="1">
        <v>45675</v>
      </c>
      <c r="M25" t="s">
        <v>21</v>
      </c>
      <c r="N25" t="s">
        <v>22</v>
      </c>
      <c r="O25" t="s">
        <v>132</v>
      </c>
      <c r="P25" t="s">
        <v>56</v>
      </c>
      <c r="Q25">
        <v>2</v>
      </c>
      <c r="R25">
        <f>IF(ventas_libreria[[#This Row],[valoracion_cliente]]="","Sin valoración",ventas_libreria[[#This Row],[valoracion_cliente]])</f>
        <v>2</v>
      </c>
    </row>
    <row r="26" spans="1:18" x14ac:dyDescent="0.25">
      <c r="A26" t="s">
        <v>133</v>
      </c>
      <c r="B26" t="s">
        <v>134</v>
      </c>
      <c r="C26" t="s">
        <v>135</v>
      </c>
      <c r="D26" t="s">
        <v>106</v>
      </c>
      <c r="E26" t="s">
        <v>107</v>
      </c>
      <c r="F26">
        <f>ventas_libreria[[#This Row],[precio_eur]]/100</f>
        <v>12.66</v>
      </c>
      <c r="G26">
        <v>1266</v>
      </c>
      <c r="H26">
        <v>1</v>
      </c>
      <c r="I26">
        <f>ventas_libreria[[#This Row],[precio]]*ventas_libreria[[#This Row],[cantidad]]</f>
        <v>12.66</v>
      </c>
      <c r="J26">
        <v>13</v>
      </c>
      <c r="K26" t="s">
        <v>38</v>
      </c>
      <c r="L26" s="1">
        <v>45974</v>
      </c>
      <c r="M26" t="s">
        <v>31</v>
      </c>
      <c r="N26" t="s">
        <v>32</v>
      </c>
      <c r="O26" t="s">
        <v>33</v>
      </c>
      <c r="P26" t="s">
        <v>56</v>
      </c>
      <c r="Q26">
        <v>5</v>
      </c>
      <c r="R26">
        <f>IF(ventas_libreria[[#This Row],[valoracion_cliente]]="","Sin valoración",ventas_libreria[[#This Row],[valoracion_cliente]])</f>
        <v>5</v>
      </c>
    </row>
    <row r="27" spans="1:18" x14ac:dyDescent="0.25">
      <c r="A27" t="s">
        <v>136</v>
      </c>
      <c r="B27" t="s">
        <v>137</v>
      </c>
      <c r="C27" t="s">
        <v>138</v>
      </c>
      <c r="D27" t="s">
        <v>139</v>
      </c>
      <c r="E27" t="s">
        <v>116</v>
      </c>
      <c r="F27">
        <f>ventas_libreria[[#This Row],[precio_eur]]/100</f>
        <v>1.29</v>
      </c>
      <c r="G27">
        <v>129</v>
      </c>
      <c r="H27">
        <v>1</v>
      </c>
      <c r="I27">
        <f>ventas_libreria[[#This Row],[precio]]*ventas_libreria[[#This Row],[cantidad]]</f>
        <v>1.29</v>
      </c>
      <c r="J27">
        <v>26</v>
      </c>
      <c r="K27" t="s">
        <v>30</v>
      </c>
      <c r="L27" s="1">
        <v>45853</v>
      </c>
      <c r="M27" t="s">
        <v>21</v>
      </c>
      <c r="N27" t="s">
        <v>32</v>
      </c>
      <c r="O27" t="s">
        <v>33</v>
      </c>
      <c r="P27" t="s">
        <v>50</v>
      </c>
      <c r="R27" t="str">
        <f>IF(ventas_libreria[[#This Row],[valoracion_cliente]]="","Sin valoración",ventas_libreria[[#This Row],[valoracion_cliente]])</f>
        <v>Sin valoración</v>
      </c>
    </row>
    <row r="28" spans="1:18" x14ac:dyDescent="0.25">
      <c r="A28" t="s">
        <v>140</v>
      </c>
      <c r="B28" t="s">
        <v>141</v>
      </c>
      <c r="C28" t="s">
        <v>142</v>
      </c>
      <c r="D28" t="s">
        <v>143</v>
      </c>
      <c r="E28" t="s">
        <v>116</v>
      </c>
      <c r="F28">
        <f>ventas_libreria[[#This Row],[precio_eur]]/100</f>
        <v>1.49</v>
      </c>
      <c r="G28">
        <v>149</v>
      </c>
      <c r="H28">
        <v>1</v>
      </c>
      <c r="I28">
        <f>ventas_libreria[[#This Row],[precio]]*ventas_libreria[[#This Row],[cantidad]]</f>
        <v>1.49</v>
      </c>
      <c r="J28">
        <v>45</v>
      </c>
      <c r="K28" t="s">
        <v>62</v>
      </c>
      <c r="L28" s="1">
        <v>45844</v>
      </c>
      <c r="M28" t="s">
        <v>21</v>
      </c>
      <c r="N28" t="s">
        <v>32</v>
      </c>
      <c r="O28" t="s">
        <v>33</v>
      </c>
      <c r="P28" t="s">
        <v>34</v>
      </c>
      <c r="Q28">
        <v>4</v>
      </c>
      <c r="R28">
        <f>IF(ventas_libreria[[#This Row],[valoracion_cliente]]="","Sin valoración",ventas_libreria[[#This Row],[valoracion_cliente]])</f>
        <v>4</v>
      </c>
    </row>
    <row r="29" spans="1:18" x14ac:dyDescent="0.25">
      <c r="A29" t="s">
        <v>144</v>
      </c>
      <c r="B29" t="s">
        <v>86</v>
      </c>
      <c r="C29" t="s">
        <v>87</v>
      </c>
      <c r="D29" t="s">
        <v>88</v>
      </c>
      <c r="E29" t="s">
        <v>77</v>
      </c>
      <c r="F29">
        <f>ventas_libreria[[#This Row],[precio_eur]]/100</f>
        <v>1.19</v>
      </c>
      <c r="G29">
        <v>119</v>
      </c>
      <c r="H29">
        <v>1</v>
      </c>
      <c r="I29">
        <f>ventas_libreria[[#This Row],[precio]]*ventas_libreria[[#This Row],[cantidad]]</f>
        <v>1.19</v>
      </c>
      <c r="J29">
        <v>7</v>
      </c>
      <c r="K29" t="s">
        <v>30</v>
      </c>
      <c r="L29" s="1">
        <v>45625</v>
      </c>
      <c r="M29" t="s">
        <v>43</v>
      </c>
      <c r="N29" t="s">
        <v>32</v>
      </c>
      <c r="O29" t="s">
        <v>33</v>
      </c>
      <c r="P29" t="s">
        <v>56</v>
      </c>
      <c r="R29" t="str">
        <f>IF(ventas_libreria[[#This Row],[valoracion_cliente]]="","Sin valoración",ventas_libreria[[#This Row],[valoracion_cliente]])</f>
        <v>Sin valoración</v>
      </c>
    </row>
    <row r="30" spans="1:18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>
        <f>ventas_libreria[[#This Row],[precio_eur]]/100</f>
        <v>17.489999999999998</v>
      </c>
      <c r="G30">
        <v>1749</v>
      </c>
      <c r="H30">
        <v>1</v>
      </c>
      <c r="I30">
        <f>ventas_libreria[[#This Row],[precio]]*ventas_libreria[[#This Row],[cantidad]]</f>
        <v>17.489999999999998</v>
      </c>
      <c r="J30">
        <v>44</v>
      </c>
      <c r="K30" t="s">
        <v>30</v>
      </c>
      <c r="L30" s="1">
        <v>45058</v>
      </c>
      <c r="M30" t="s">
        <v>31</v>
      </c>
      <c r="N30" t="s">
        <v>32</v>
      </c>
      <c r="O30" t="s">
        <v>33</v>
      </c>
      <c r="P30" t="s">
        <v>24</v>
      </c>
      <c r="Q30">
        <v>5</v>
      </c>
      <c r="R30">
        <f>IF(ventas_libreria[[#This Row],[valoracion_cliente]]="","Sin valoración",ventas_libreria[[#This Row],[valoracion_cliente]])</f>
        <v>5</v>
      </c>
    </row>
    <row r="31" spans="1:18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>
        <f>ventas_libreria[[#This Row],[precio_eur]]/100</f>
        <v>1.69</v>
      </c>
      <c r="G31">
        <v>169</v>
      </c>
      <c r="H31">
        <v>3</v>
      </c>
      <c r="I31">
        <f>ventas_libreria[[#This Row],[precio]]*ventas_libreria[[#This Row],[cantidad]]</f>
        <v>5.07</v>
      </c>
      <c r="J31">
        <v>30</v>
      </c>
      <c r="K31" t="s">
        <v>38</v>
      </c>
      <c r="L31" s="1">
        <v>45197</v>
      </c>
      <c r="M31" t="s">
        <v>31</v>
      </c>
      <c r="N31" t="s">
        <v>32</v>
      </c>
      <c r="O31" t="s">
        <v>33</v>
      </c>
      <c r="P31" t="s">
        <v>56</v>
      </c>
      <c r="Q31">
        <v>4</v>
      </c>
      <c r="R31">
        <f>IF(ventas_libreria[[#This Row],[valoracion_cliente]]="","Sin valoración",ventas_libreria[[#This Row],[valoracion_cliente]])</f>
        <v>4</v>
      </c>
    </row>
    <row r="32" spans="1:18" x14ac:dyDescent="0.25">
      <c r="A32" t="s">
        <v>155</v>
      </c>
      <c r="B32" t="s">
        <v>156</v>
      </c>
      <c r="C32" t="s">
        <v>157</v>
      </c>
      <c r="D32" t="s">
        <v>158</v>
      </c>
      <c r="E32" t="s">
        <v>149</v>
      </c>
      <c r="F32">
        <f>ventas_libreria[[#This Row],[precio_eur]]/100</f>
        <v>1.89</v>
      </c>
      <c r="G32">
        <v>189</v>
      </c>
      <c r="H32">
        <v>1</v>
      </c>
      <c r="I32">
        <f>ventas_libreria[[#This Row],[precio]]*ventas_libreria[[#This Row],[cantidad]]</f>
        <v>1.89</v>
      </c>
      <c r="J32">
        <v>24</v>
      </c>
      <c r="K32" t="s">
        <v>62</v>
      </c>
      <c r="L32" s="1">
        <v>45365</v>
      </c>
      <c r="M32" t="s">
        <v>21</v>
      </c>
      <c r="N32" t="s">
        <v>32</v>
      </c>
      <c r="O32" t="s">
        <v>33</v>
      </c>
      <c r="P32" t="s">
        <v>50</v>
      </c>
      <c r="Q32">
        <v>3</v>
      </c>
      <c r="R32">
        <f>IF(ventas_libreria[[#This Row],[valoracion_cliente]]="","Sin valoración",ventas_libreria[[#This Row],[valoracion_cliente]])</f>
        <v>3</v>
      </c>
    </row>
    <row r="33" spans="1:18" x14ac:dyDescent="0.25">
      <c r="A33" t="s">
        <v>159</v>
      </c>
      <c r="B33" t="s">
        <v>160</v>
      </c>
      <c r="C33" t="s">
        <v>161</v>
      </c>
      <c r="D33" t="s">
        <v>162</v>
      </c>
      <c r="E33" t="s">
        <v>29</v>
      </c>
      <c r="F33">
        <f>ventas_libreria[[#This Row],[precio_eur]]/100</f>
        <v>17.75</v>
      </c>
      <c r="G33">
        <v>1775</v>
      </c>
      <c r="H33">
        <v>1</v>
      </c>
      <c r="I33">
        <f>ventas_libreria[[#This Row],[precio]]*ventas_libreria[[#This Row],[cantidad]]</f>
        <v>17.75</v>
      </c>
      <c r="J33">
        <v>45</v>
      </c>
      <c r="K33" t="s">
        <v>20</v>
      </c>
      <c r="L33" s="1">
        <v>45154</v>
      </c>
      <c r="M33" t="s">
        <v>31</v>
      </c>
      <c r="N33" t="s">
        <v>32</v>
      </c>
      <c r="O33" t="s">
        <v>33</v>
      </c>
      <c r="P33" t="s">
        <v>84</v>
      </c>
      <c r="Q33">
        <v>5</v>
      </c>
      <c r="R33">
        <f>IF(ventas_libreria[[#This Row],[valoracion_cliente]]="","Sin valoración",ventas_libreria[[#This Row],[valoracion_cliente]])</f>
        <v>5</v>
      </c>
    </row>
    <row r="34" spans="1:18" x14ac:dyDescent="0.25">
      <c r="A34" t="s">
        <v>163</v>
      </c>
      <c r="B34" t="s">
        <v>91</v>
      </c>
      <c r="C34" t="s">
        <v>92</v>
      </c>
      <c r="D34" t="s">
        <v>93</v>
      </c>
      <c r="E34" t="s">
        <v>72</v>
      </c>
      <c r="F34">
        <f>ventas_libreria[[#This Row],[precio_eur]]/100</f>
        <v>1.39</v>
      </c>
      <c r="G34">
        <v>139</v>
      </c>
      <c r="H34">
        <v>1</v>
      </c>
      <c r="I34">
        <f>ventas_libreria[[#This Row],[precio]]*ventas_libreria[[#This Row],[cantidad]]</f>
        <v>1.39</v>
      </c>
      <c r="J34">
        <v>51</v>
      </c>
      <c r="K34" t="s">
        <v>30</v>
      </c>
      <c r="L34" s="1">
        <v>45938</v>
      </c>
      <c r="M34" t="s">
        <v>31</v>
      </c>
      <c r="N34" t="s">
        <v>32</v>
      </c>
      <c r="O34" t="s">
        <v>33</v>
      </c>
      <c r="P34" t="s">
        <v>50</v>
      </c>
      <c r="Q34">
        <v>5</v>
      </c>
      <c r="R34">
        <f>IF(ventas_libreria[[#This Row],[valoracion_cliente]]="","Sin valoración",ventas_libreria[[#This Row],[valoracion_cliente]])</f>
        <v>5</v>
      </c>
    </row>
    <row r="35" spans="1:18" x14ac:dyDescent="0.25">
      <c r="A35" t="s">
        <v>164</v>
      </c>
      <c r="B35" t="s">
        <v>165</v>
      </c>
      <c r="C35" t="s">
        <v>166</v>
      </c>
      <c r="D35" t="s">
        <v>167</v>
      </c>
      <c r="E35" t="s">
        <v>61</v>
      </c>
      <c r="F35">
        <f>ventas_libreria[[#This Row],[precio_eur]]/100</f>
        <v>1.49</v>
      </c>
      <c r="G35">
        <v>149</v>
      </c>
      <c r="H35">
        <v>1</v>
      </c>
      <c r="I35">
        <f>ventas_libreria[[#This Row],[precio]]*ventas_libreria[[#This Row],[cantidad]]</f>
        <v>1.49</v>
      </c>
      <c r="J35">
        <v>52</v>
      </c>
      <c r="K35" t="s">
        <v>20</v>
      </c>
      <c r="L35" s="1">
        <v>45067</v>
      </c>
      <c r="M35" t="s">
        <v>31</v>
      </c>
      <c r="N35" t="s">
        <v>32</v>
      </c>
      <c r="O35" t="s">
        <v>33</v>
      </c>
      <c r="P35" t="s">
        <v>34</v>
      </c>
      <c r="Q35">
        <v>4</v>
      </c>
      <c r="R35">
        <f>IF(ventas_libreria[[#This Row],[valoracion_cliente]]="","Sin valoración",ventas_libreria[[#This Row],[valoracion_cliente]])</f>
        <v>4</v>
      </c>
    </row>
    <row r="36" spans="1:18" x14ac:dyDescent="0.25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>
        <f>ventas_libreria[[#This Row],[precio_eur]]/100</f>
        <v>18.32</v>
      </c>
      <c r="G36">
        <v>1832</v>
      </c>
      <c r="H36">
        <v>2</v>
      </c>
      <c r="I36">
        <f>ventas_libreria[[#This Row],[precio]]*ventas_libreria[[#This Row],[cantidad]]</f>
        <v>36.64</v>
      </c>
      <c r="J36">
        <v>61</v>
      </c>
      <c r="K36" t="s">
        <v>20</v>
      </c>
      <c r="L36" s="1">
        <v>45783</v>
      </c>
      <c r="M36" t="s">
        <v>43</v>
      </c>
      <c r="N36" t="s">
        <v>32</v>
      </c>
      <c r="O36" t="s">
        <v>33</v>
      </c>
      <c r="P36" t="s">
        <v>34</v>
      </c>
      <c r="Q36">
        <v>5</v>
      </c>
      <c r="R36">
        <f>IF(ventas_libreria[[#This Row],[valoracion_cliente]]="","Sin valoración",ventas_libreria[[#This Row],[valoracion_cliente]])</f>
        <v>5</v>
      </c>
    </row>
    <row r="37" spans="1:18" x14ac:dyDescent="0.25">
      <c r="A37" t="s">
        <v>173</v>
      </c>
      <c r="B37" t="s">
        <v>40</v>
      </c>
      <c r="C37" t="s">
        <v>41</v>
      </c>
      <c r="D37" t="s">
        <v>42</v>
      </c>
      <c r="E37" t="s">
        <v>19</v>
      </c>
      <c r="F37">
        <f>ventas_libreria[[#This Row],[precio_eur]]/100</f>
        <v>1.29</v>
      </c>
      <c r="G37">
        <v>129</v>
      </c>
      <c r="H37">
        <v>1</v>
      </c>
      <c r="I37">
        <f>ventas_libreria[[#This Row],[precio]]*ventas_libreria[[#This Row],[cantidad]]</f>
        <v>1.29</v>
      </c>
      <c r="J37">
        <v>62</v>
      </c>
      <c r="K37" t="s">
        <v>38</v>
      </c>
      <c r="L37" s="1">
        <v>45117</v>
      </c>
      <c r="M37" t="s">
        <v>31</v>
      </c>
      <c r="N37" t="s">
        <v>22</v>
      </c>
      <c r="O37" t="s">
        <v>132</v>
      </c>
      <c r="P37" t="s">
        <v>24</v>
      </c>
      <c r="Q37">
        <v>5</v>
      </c>
      <c r="R37">
        <f>IF(ventas_libreria[[#This Row],[valoracion_cliente]]="","Sin valoración",ventas_libreria[[#This Row],[valoracion_cliente]])</f>
        <v>5</v>
      </c>
    </row>
    <row r="38" spans="1:18" x14ac:dyDescent="0.25">
      <c r="A38" t="s">
        <v>174</v>
      </c>
      <c r="B38" t="s">
        <v>64</v>
      </c>
      <c r="C38" t="s">
        <v>65</v>
      </c>
      <c r="D38" t="s">
        <v>66</v>
      </c>
      <c r="E38" t="s">
        <v>29</v>
      </c>
      <c r="F38">
        <f>ventas_libreria[[#This Row],[precio_eur]]/100</f>
        <v>18.149999999999999</v>
      </c>
      <c r="G38">
        <v>1815</v>
      </c>
      <c r="H38">
        <v>1</v>
      </c>
      <c r="I38">
        <f>ventas_libreria[[#This Row],[precio]]*ventas_libreria[[#This Row],[cantidad]]</f>
        <v>18.149999999999999</v>
      </c>
      <c r="J38">
        <v>41</v>
      </c>
      <c r="K38" t="s">
        <v>20</v>
      </c>
      <c r="L38" s="1">
        <v>45933</v>
      </c>
      <c r="M38" t="s">
        <v>31</v>
      </c>
      <c r="N38" t="s">
        <v>22</v>
      </c>
      <c r="O38" t="s">
        <v>49</v>
      </c>
      <c r="P38" t="s">
        <v>24</v>
      </c>
      <c r="Q38">
        <v>5</v>
      </c>
      <c r="R38">
        <f>IF(ventas_libreria[[#This Row],[valoracion_cliente]]="","Sin valoración",ventas_libreria[[#This Row],[valoracion_cliente]])</f>
        <v>5</v>
      </c>
    </row>
    <row r="39" spans="1:18" x14ac:dyDescent="0.25">
      <c r="A39" t="s">
        <v>175</v>
      </c>
      <c r="B39" t="s">
        <v>176</v>
      </c>
      <c r="C39" t="s">
        <v>177</v>
      </c>
      <c r="D39" t="s">
        <v>178</v>
      </c>
      <c r="E39" t="s">
        <v>179</v>
      </c>
      <c r="F39">
        <f>ventas_libreria[[#This Row],[precio_eur]]/100</f>
        <v>1.59</v>
      </c>
      <c r="G39">
        <v>159</v>
      </c>
      <c r="H39">
        <v>1</v>
      </c>
      <c r="I39">
        <f>ventas_libreria[[#This Row],[precio]]*ventas_libreria[[#This Row],[cantidad]]</f>
        <v>1.59</v>
      </c>
      <c r="J39">
        <v>19</v>
      </c>
      <c r="K39" t="s">
        <v>20</v>
      </c>
      <c r="L39" s="1">
        <v>45142</v>
      </c>
      <c r="M39" t="s">
        <v>31</v>
      </c>
      <c r="N39" t="s">
        <v>22</v>
      </c>
      <c r="O39" t="s">
        <v>98</v>
      </c>
      <c r="P39" t="s">
        <v>84</v>
      </c>
      <c r="R39" t="str">
        <f>IF(ventas_libreria[[#This Row],[valoracion_cliente]]="","Sin valoración",ventas_libreria[[#This Row],[valoracion_cliente]])</f>
        <v>Sin valoración</v>
      </c>
    </row>
    <row r="40" spans="1:18" x14ac:dyDescent="0.25">
      <c r="A40" t="s">
        <v>180</v>
      </c>
      <c r="B40" t="s">
        <v>181</v>
      </c>
      <c r="C40" t="s">
        <v>182</v>
      </c>
      <c r="D40" t="s">
        <v>183</v>
      </c>
      <c r="E40" t="s">
        <v>116</v>
      </c>
      <c r="F40">
        <f>ventas_libreria[[#This Row],[precio_eur]]/100</f>
        <v>1.39</v>
      </c>
      <c r="G40">
        <v>139</v>
      </c>
      <c r="H40">
        <v>3</v>
      </c>
      <c r="I40">
        <f>ventas_libreria[[#This Row],[precio]]*ventas_libreria[[#This Row],[cantidad]]</f>
        <v>4.17</v>
      </c>
      <c r="J40">
        <v>48</v>
      </c>
      <c r="K40" t="s">
        <v>62</v>
      </c>
      <c r="L40" s="1">
        <v>45347</v>
      </c>
      <c r="M40" t="s">
        <v>31</v>
      </c>
      <c r="N40" t="s">
        <v>32</v>
      </c>
      <c r="O40" t="s">
        <v>33</v>
      </c>
      <c r="P40" t="s">
        <v>34</v>
      </c>
      <c r="Q40">
        <v>4</v>
      </c>
      <c r="R40">
        <f>IF(ventas_libreria[[#This Row],[valoracion_cliente]]="","Sin valoración",ventas_libreria[[#This Row],[valoracion_cliente]])</f>
        <v>4</v>
      </c>
    </row>
    <row r="41" spans="1:18" x14ac:dyDescent="0.25">
      <c r="A41" t="s">
        <v>184</v>
      </c>
      <c r="B41" t="s">
        <v>95</v>
      </c>
      <c r="C41" t="s">
        <v>96</v>
      </c>
      <c r="D41" t="s">
        <v>97</v>
      </c>
      <c r="E41" t="s">
        <v>29</v>
      </c>
      <c r="F41">
        <f>ventas_libreria[[#This Row],[precio_eur]]/100</f>
        <v>15.21</v>
      </c>
      <c r="G41">
        <v>1521</v>
      </c>
      <c r="H41">
        <v>1</v>
      </c>
      <c r="I41">
        <f>ventas_libreria[[#This Row],[precio]]*ventas_libreria[[#This Row],[cantidad]]</f>
        <v>15.21</v>
      </c>
      <c r="J41">
        <v>20</v>
      </c>
      <c r="K41" t="s">
        <v>30</v>
      </c>
      <c r="L41" s="1">
        <v>45800</v>
      </c>
      <c r="M41" t="s">
        <v>31</v>
      </c>
      <c r="N41" t="s">
        <v>22</v>
      </c>
      <c r="O41" t="s">
        <v>49</v>
      </c>
      <c r="P41" t="s">
        <v>24</v>
      </c>
      <c r="Q41">
        <v>4</v>
      </c>
      <c r="R41">
        <f>IF(ventas_libreria[[#This Row],[valoracion_cliente]]="","Sin valoración",ventas_libreria[[#This Row],[valoracion_cliente]])</f>
        <v>4</v>
      </c>
    </row>
    <row r="42" spans="1:18" x14ac:dyDescent="0.25">
      <c r="A42" t="s">
        <v>185</v>
      </c>
      <c r="B42" t="s">
        <v>186</v>
      </c>
      <c r="C42" t="s">
        <v>187</v>
      </c>
      <c r="D42" t="s">
        <v>188</v>
      </c>
      <c r="E42" t="s">
        <v>189</v>
      </c>
      <c r="F42">
        <f>ventas_libreria[[#This Row],[precio_eur]]/100</f>
        <v>1.99</v>
      </c>
      <c r="G42">
        <v>199</v>
      </c>
      <c r="H42">
        <v>3</v>
      </c>
      <c r="I42">
        <f>ventas_libreria[[#This Row],[precio]]*ventas_libreria[[#This Row],[cantidad]]</f>
        <v>5.97</v>
      </c>
      <c r="J42">
        <v>57</v>
      </c>
      <c r="K42" t="s">
        <v>38</v>
      </c>
      <c r="L42" s="1">
        <v>45507</v>
      </c>
      <c r="M42" t="s">
        <v>31</v>
      </c>
      <c r="N42" t="s">
        <v>22</v>
      </c>
      <c r="O42" t="s">
        <v>98</v>
      </c>
      <c r="P42" t="s">
        <v>50</v>
      </c>
      <c r="Q42">
        <v>5</v>
      </c>
      <c r="R42">
        <f>IF(ventas_libreria[[#This Row],[valoracion_cliente]]="","Sin valoración",ventas_libreria[[#This Row],[valoracion_cliente]])</f>
        <v>5</v>
      </c>
    </row>
    <row r="43" spans="1:18" x14ac:dyDescent="0.25">
      <c r="A43" t="s">
        <v>190</v>
      </c>
      <c r="B43" t="s">
        <v>137</v>
      </c>
      <c r="C43" t="s">
        <v>138</v>
      </c>
      <c r="D43" t="s">
        <v>139</v>
      </c>
      <c r="E43" t="s">
        <v>116</v>
      </c>
      <c r="F43">
        <f>ventas_libreria[[#This Row],[precio_eur]]/100</f>
        <v>10.96</v>
      </c>
      <c r="G43">
        <v>1096</v>
      </c>
      <c r="H43">
        <v>2</v>
      </c>
      <c r="I43">
        <f>ventas_libreria[[#This Row],[precio]]*ventas_libreria[[#This Row],[cantidad]]</f>
        <v>21.92</v>
      </c>
      <c r="J43">
        <v>33</v>
      </c>
      <c r="K43" t="s">
        <v>20</v>
      </c>
      <c r="L43" s="1">
        <v>45863</v>
      </c>
      <c r="M43" t="s">
        <v>21</v>
      </c>
      <c r="N43" t="s">
        <v>22</v>
      </c>
      <c r="O43" t="s">
        <v>23</v>
      </c>
      <c r="P43" t="s">
        <v>84</v>
      </c>
      <c r="Q43">
        <v>5</v>
      </c>
      <c r="R43">
        <f>IF(ventas_libreria[[#This Row],[valoracion_cliente]]="","Sin valoración",ventas_libreria[[#This Row],[valoracion_cliente]])</f>
        <v>5</v>
      </c>
    </row>
    <row r="44" spans="1:18" x14ac:dyDescent="0.25">
      <c r="A44" t="s">
        <v>191</v>
      </c>
      <c r="B44" t="s">
        <v>137</v>
      </c>
      <c r="C44" t="s">
        <v>138</v>
      </c>
      <c r="D44" t="s">
        <v>139</v>
      </c>
      <c r="E44" t="s">
        <v>116</v>
      </c>
      <c r="F44">
        <f>ventas_libreria[[#This Row],[precio_eur]]/100</f>
        <v>10.32</v>
      </c>
      <c r="G44">
        <v>1032</v>
      </c>
      <c r="H44">
        <v>2</v>
      </c>
      <c r="I44">
        <f>ventas_libreria[[#This Row],[precio]]*ventas_libreria[[#This Row],[cantidad]]</f>
        <v>20.64</v>
      </c>
      <c r="J44">
        <v>49</v>
      </c>
      <c r="K44" t="s">
        <v>38</v>
      </c>
      <c r="L44" s="1">
        <v>45365</v>
      </c>
      <c r="M44" t="s">
        <v>43</v>
      </c>
      <c r="N44" t="s">
        <v>32</v>
      </c>
      <c r="O44" t="s">
        <v>33</v>
      </c>
      <c r="P44" t="s">
        <v>34</v>
      </c>
      <c r="Q44">
        <v>5</v>
      </c>
      <c r="R44">
        <f>IF(ventas_libreria[[#This Row],[valoracion_cliente]]="","Sin valoración",ventas_libreria[[#This Row],[valoracion_cliente]])</f>
        <v>5</v>
      </c>
    </row>
    <row r="45" spans="1:18" x14ac:dyDescent="0.25">
      <c r="A45" t="s">
        <v>192</v>
      </c>
      <c r="B45" t="s">
        <v>193</v>
      </c>
      <c r="C45" t="s">
        <v>194</v>
      </c>
      <c r="D45" t="s">
        <v>195</v>
      </c>
      <c r="E45" t="s">
        <v>48</v>
      </c>
      <c r="F45">
        <f>ventas_libreria[[#This Row],[precio_eur]]/100</f>
        <v>1.99</v>
      </c>
      <c r="G45">
        <v>199</v>
      </c>
      <c r="H45">
        <v>1</v>
      </c>
      <c r="I45">
        <f>ventas_libreria[[#This Row],[precio]]*ventas_libreria[[#This Row],[cantidad]]</f>
        <v>1.99</v>
      </c>
      <c r="J45">
        <v>32</v>
      </c>
      <c r="K45" t="s">
        <v>62</v>
      </c>
      <c r="L45" s="1">
        <v>45170</v>
      </c>
      <c r="M45" t="s">
        <v>31</v>
      </c>
      <c r="N45" t="s">
        <v>32</v>
      </c>
      <c r="O45" t="s">
        <v>33</v>
      </c>
      <c r="P45" t="s">
        <v>50</v>
      </c>
      <c r="Q45">
        <v>5</v>
      </c>
      <c r="R45">
        <f>IF(ventas_libreria[[#This Row],[valoracion_cliente]]="","Sin valoración",ventas_libreria[[#This Row],[valoracion_cliente]])</f>
        <v>5</v>
      </c>
    </row>
    <row r="46" spans="1:18" x14ac:dyDescent="0.25">
      <c r="A46" t="s">
        <v>196</v>
      </c>
      <c r="B46" t="s">
        <v>197</v>
      </c>
      <c r="C46" t="s">
        <v>198</v>
      </c>
      <c r="D46" t="s">
        <v>199</v>
      </c>
      <c r="E46" t="s">
        <v>55</v>
      </c>
      <c r="F46">
        <f>ventas_libreria[[#This Row],[precio_eur]]/100</f>
        <v>19.25</v>
      </c>
      <c r="G46">
        <v>1925</v>
      </c>
      <c r="H46">
        <v>2</v>
      </c>
      <c r="I46">
        <f>ventas_libreria[[#This Row],[precio]]*ventas_libreria[[#This Row],[cantidad]]</f>
        <v>38.5</v>
      </c>
      <c r="J46">
        <v>70</v>
      </c>
      <c r="K46" t="s">
        <v>62</v>
      </c>
      <c r="L46" s="1">
        <v>45217</v>
      </c>
      <c r="M46" t="s">
        <v>43</v>
      </c>
      <c r="N46" t="s">
        <v>32</v>
      </c>
      <c r="O46" t="s">
        <v>33</v>
      </c>
      <c r="P46" t="s">
        <v>34</v>
      </c>
      <c r="Q46">
        <v>4</v>
      </c>
      <c r="R46">
        <f>IF(ventas_libreria[[#This Row],[valoracion_cliente]]="","Sin valoración",ventas_libreria[[#This Row],[valoracion_cliente]])</f>
        <v>4</v>
      </c>
    </row>
    <row r="47" spans="1:18" x14ac:dyDescent="0.25">
      <c r="A47" t="s">
        <v>200</v>
      </c>
      <c r="B47" t="s">
        <v>201</v>
      </c>
      <c r="C47" t="s">
        <v>202</v>
      </c>
      <c r="D47" t="s">
        <v>47</v>
      </c>
      <c r="E47" t="s">
        <v>107</v>
      </c>
      <c r="F47">
        <f>ventas_libreria[[#This Row],[precio_eur]]/100</f>
        <v>15.29</v>
      </c>
      <c r="G47">
        <v>1529</v>
      </c>
      <c r="H47">
        <v>1</v>
      </c>
      <c r="I47">
        <f>ventas_libreria[[#This Row],[precio]]*ventas_libreria[[#This Row],[cantidad]]</f>
        <v>15.29</v>
      </c>
      <c r="J47">
        <v>21</v>
      </c>
      <c r="K47" t="s">
        <v>20</v>
      </c>
      <c r="L47" s="1">
        <v>45152</v>
      </c>
      <c r="M47" t="s">
        <v>21</v>
      </c>
      <c r="N47" t="s">
        <v>32</v>
      </c>
      <c r="O47" t="s">
        <v>33</v>
      </c>
      <c r="P47" t="s">
        <v>34</v>
      </c>
      <c r="Q47">
        <v>4</v>
      </c>
      <c r="R47">
        <f>IF(ventas_libreria[[#This Row],[valoracion_cliente]]="","Sin valoración",ventas_libreria[[#This Row],[valoracion_cliente]])</f>
        <v>4</v>
      </c>
    </row>
    <row r="48" spans="1:18" x14ac:dyDescent="0.25">
      <c r="A48" t="s">
        <v>203</v>
      </c>
      <c r="B48" t="s">
        <v>204</v>
      </c>
      <c r="C48" t="s">
        <v>205</v>
      </c>
      <c r="D48" t="s">
        <v>206</v>
      </c>
      <c r="E48" t="s">
        <v>116</v>
      </c>
      <c r="F48">
        <f>ventas_libreria[[#This Row],[precio_eur]]/100</f>
        <v>1.29</v>
      </c>
      <c r="G48">
        <v>129</v>
      </c>
      <c r="H48">
        <v>1</v>
      </c>
      <c r="I48">
        <f>ventas_libreria[[#This Row],[precio]]*ventas_libreria[[#This Row],[cantidad]]</f>
        <v>1.29</v>
      </c>
      <c r="J48">
        <v>59</v>
      </c>
      <c r="K48" t="s">
        <v>62</v>
      </c>
      <c r="L48" s="1">
        <v>45839</v>
      </c>
      <c r="M48" t="s">
        <v>43</v>
      </c>
      <c r="N48" t="s">
        <v>32</v>
      </c>
      <c r="O48" t="s">
        <v>33</v>
      </c>
      <c r="P48" t="s">
        <v>24</v>
      </c>
      <c r="Q48">
        <v>4</v>
      </c>
      <c r="R48">
        <f>IF(ventas_libreria[[#This Row],[valoracion_cliente]]="","Sin valoración",ventas_libreria[[#This Row],[valoracion_cliente]])</f>
        <v>4</v>
      </c>
    </row>
    <row r="49" spans="1:18" x14ac:dyDescent="0.25">
      <c r="A49" t="s">
        <v>207</v>
      </c>
      <c r="B49" t="s">
        <v>208</v>
      </c>
      <c r="C49" t="s">
        <v>209</v>
      </c>
      <c r="D49" t="s">
        <v>106</v>
      </c>
      <c r="E49" t="s">
        <v>107</v>
      </c>
      <c r="F49">
        <f>ventas_libreria[[#This Row],[precio_eur]]/100</f>
        <v>1.49</v>
      </c>
      <c r="G49">
        <v>149</v>
      </c>
      <c r="H49">
        <v>1</v>
      </c>
      <c r="I49">
        <f>ventas_libreria[[#This Row],[precio]]*ventas_libreria[[#This Row],[cantidad]]</f>
        <v>1.49</v>
      </c>
      <c r="J49">
        <v>14</v>
      </c>
      <c r="K49" t="s">
        <v>30</v>
      </c>
      <c r="L49" s="1">
        <v>45035</v>
      </c>
      <c r="M49" t="s">
        <v>31</v>
      </c>
      <c r="N49" t="s">
        <v>22</v>
      </c>
      <c r="O49" t="s">
        <v>132</v>
      </c>
      <c r="P49" t="s">
        <v>24</v>
      </c>
      <c r="Q49">
        <v>4</v>
      </c>
      <c r="R49">
        <f>IF(ventas_libreria[[#This Row],[valoracion_cliente]]="","Sin valoración",ventas_libreria[[#This Row],[valoracion_cliente]])</f>
        <v>4</v>
      </c>
    </row>
    <row r="50" spans="1:18" x14ac:dyDescent="0.25">
      <c r="A50" t="s">
        <v>210</v>
      </c>
      <c r="B50" t="s">
        <v>211</v>
      </c>
      <c r="C50" t="s">
        <v>212</v>
      </c>
      <c r="D50" t="s">
        <v>131</v>
      </c>
      <c r="E50" t="s">
        <v>107</v>
      </c>
      <c r="F50">
        <f>ventas_libreria[[#This Row],[precio_eur]]/100</f>
        <v>18.59</v>
      </c>
      <c r="G50">
        <v>1859</v>
      </c>
      <c r="H50">
        <v>2</v>
      </c>
      <c r="I50">
        <f>ventas_libreria[[#This Row],[precio]]*ventas_libreria[[#This Row],[cantidad]]</f>
        <v>37.18</v>
      </c>
      <c r="J50">
        <v>16</v>
      </c>
      <c r="K50" t="s">
        <v>62</v>
      </c>
      <c r="L50" s="1">
        <v>45465</v>
      </c>
      <c r="M50" t="s">
        <v>21</v>
      </c>
      <c r="N50" t="s">
        <v>32</v>
      </c>
      <c r="O50" t="s">
        <v>33</v>
      </c>
      <c r="P50" t="s">
        <v>34</v>
      </c>
      <c r="Q50">
        <v>3</v>
      </c>
      <c r="R50">
        <f>IF(ventas_libreria[[#This Row],[valoracion_cliente]]="","Sin valoración",ventas_libreria[[#This Row],[valoracion_cliente]])</f>
        <v>3</v>
      </c>
    </row>
    <row r="51" spans="1:18" x14ac:dyDescent="0.25">
      <c r="A51" t="s">
        <v>213</v>
      </c>
      <c r="B51" t="s">
        <v>95</v>
      </c>
      <c r="C51" t="s">
        <v>96</v>
      </c>
      <c r="D51" t="s">
        <v>97</v>
      </c>
      <c r="E51" t="s">
        <v>29</v>
      </c>
      <c r="F51">
        <f>ventas_libreria[[#This Row],[precio_eur]]/100</f>
        <v>1.79</v>
      </c>
      <c r="G51">
        <v>179</v>
      </c>
      <c r="H51">
        <v>1</v>
      </c>
      <c r="I51">
        <f>ventas_libreria[[#This Row],[precio]]*ventas_libreria[[#This Row],[cantidad]]</f>
        <v>1.79</v>
      </c>
      <c r="J51">
        <v>53</v>
      </c>
      <c r="K51" t="s">
        <v>30</v>
      </c>
      <c r="L51" s="1">
        <v>45808</v>
      </c>
      <c r="M51" t="s">
        <v>21</v>
      </c>
      <c r="N51" t="s">
        <v>32</v>
      </c>
      <c r="O51" t="s">
        <v>33</v>
      </c>
      <c r="P51" t="s">
        <v>34</v>
      </c>
      <c r="Q51">
        <v>1</v>
      </c>
      <c r="R51">
        <f>IF(ventas_libreria[[#This Row],[valoracion_cliente]]="","Sin valoración",ventas_libreria[[#This Row],[valoracion_cliente]])</f>
        <v>1</v>
      </c>
    </row>
    <row r="52" spans="1:18" x14ac:dyDescent="0.25">
      <c r="A52" t="s">
        <v>214</v>
      </c>
      <c r="B52" t="s">
        <v>215</v>
      </c>
      <c r="C52" t="s">
        <v>216</v>
      </c>
      <c r="D52" t="s">
        <v>217</v>
      </c>
      <c r="E52" t="s">
        <v>55</v>
      </c>
      <c r="F52">
        <f>ventas_libreria[[#This Row],[precio_eur]]/100</f>
        <v>15.72</v>
      </c>
      <c r="G52">
        <v>1572</v>
      </c>
      <c r="H52">
        <v>4</v>
      </c>
      <c r="I52">
        <f>ventas_libreria[[#This Row],[precio]]*ventas_libreria[[#This Row],[cantidad]]</f>
        <v>62.88</v>
      </c>
      <c r="J52">
        <v>34</v>
      </c>
      <c r="K52" t="s">
        <v>38</v>
      </c>
      <c r="L52" s="1">
        <v>45164</v>
      </c>
      <c r="M52" t="s">
        <v>21</v>
      </c>
      <c r="N52" t="s">
        <v>22</v>
      </c>
      <c r="O52" t="s">
        <v>23</v>
      </c>
      <c r="P52" t="s">
        <v>84</v>
      </c>
      <c r="Q52">
        <v>5</v>
      </c>
      <c r="R52">
        <f>IF(ventas_libreria[[#This Row],[valoracion_cliente]]="","Sin valoración",ventas_libreria[[#This Row],[valoracion_cliente]])</f>
        <v>5</v>
      </c>
    </row>
    <row r="53" spans="1:18" x14ac:dyDescent="0.25">
      <c r="A53" t="s">
        <v>218</v>
      </c>
      <c r="B53" t="s">
        <v>58</v>
      </c>
      <c r="C53" t="s">
        <v>59</v>
      </c>
      <c r="D53" t="s">
        <v>60</v>
      </c>
      <c r="E53" t="s">
        <v>61</v>
      </c>
      <c r="F53">
        <f>ventas_libreria[[#This Row],[precio_eur]]/100</f>
        <v>1.29</v>
      </c>
      <c r="G53">
        <v>129</v>
      </c>
      <c r="H53">
        <v>2</v>
      </c>
      <c r="I53">
        <f>ventas_libreria[[#This Row],[precio]]*ventas_libreria[[#This Row],[cantidad]]</f>
        <v>2.58</v>
      </c>
      <c r="J53">
        <v>48</v>
      </c>
      <c r="K53" t="s">
        <v>20</v>
      </c>
      <c r="L53" s="1">
        <v>44975</v>
      </c>
      <c r="M53" t="s">
        <v>31</v>
      </c>
      <c r="N53" t="s">
        <v>32</v>
      </c>
      <c r="O53" t="s">
        <v>33</v>
      </c>
      <c r="P53" t="s">
        <v>84</v>
      </c>
      <c r="Q53">
        <v>2</v>
      </c>
      <c r="R53">
        <f>IF(ventas_libreria[[#This Row],[valoracion_cliente]]="","Sin valoración",ventas_libreria[[#This Row],[valoracion_cliente]])</f>
        <v>2</v>
      </c>
    </row>
    <row r="54" spans="1:18" x14ac:dyDescent="0.25">
      <c r="A54" t="s">
        <v>219</v>
      </c>
      <c r="B54" t="s">
        <v>220</v>
      </c>
      <c r="C54" t="s">
        <v>221</v>
      </c>
      <c r="D54" t="s">
        <v>222</v>
      </c>
      <c r="E54" t="s">
        <v>116</v>
      </c>
      <c r="F54">
        <f>ventas_libreria[[#This Row],[precio_eur]]/100</f>
        <v>10.32</v>
      </c>
      <c r="G54">
        <v>1032</v>
      </c>
      <c r="H54">
        <v>1</v>
      </c>
      <c r="I54">
        <f>ventas_libreria[[#This Row],[precio]]*ventas_libreria[[#This Row],[cantidad]]</f>
        <v>10.32</v>
      </c>
      <c r="J54">
        <v>73</v>
      </c>
      <c r="K54" t="s">
        <v>30</v>
      </c>
      <c r="L54" s="1">
        <v>45845</v>
      </c>
      <c r="M54" t="s">
        <v>31</v>
      </c>
      <c r="N54" t="s">
        <v>32</v>
      </c>
      <c r="O54" t="s">
        <v>33</v>
      </c>
      <c r="P54" t="s">
        <v>50</v>
      </c>
      <c r="Q54">
        <v>4</v>
      </c>
      <c r="R54">
        <f>IF(ventas_libreria[[#This Row],[valoracion_cliente]]="","Sin valoración",ventas_libreria[[#This Row],[valoracion_cliente]])</f>
        <v>4</v>
      </c>
    </row>
    <row r="55" spans="1:18" x14ac:dyDescent="0.25">
      <c r="A55" t="s">
        <v>223</v>
      </c>
      <c r="B55" t="s">
        <v>224</v>
      </c>
      <c r="C55" t="s">
        <v>225</v>
      </c>
      <c r="D55" t="s">
        <v>226</v>
      </c>
      <c r="E55" t="s">
        <v>116</v>
      </c>
      <c r="F55">
        <f>ventas_libreria[[#This Row],[precio_eur]]/100</f>
        <v>26.14</v>
      </c>
      <c r="G55">
        <v>2614</v>
      </c>
      <c r="H55">
        <v>1</v>
      </c>
      <c r="I55">
        <f>ventas_libreria[[#This Row],[precio]]*ventas_libreria[[#This Row],[cantidad]]</f>
        <v>26.14</v>
      </c>
      <c r="J55">
        <v>55</v>
      </c>
      <c r="K55" t="s">
        <v>38</v>
      </c>
      <c r="L55" s="1">
        <v>45333</v>
      </c>
      <c r="M55" t="s">
        <v>21</v>
      </c>
      <c r="N55" t="s">
        <v>22</v>
      </c>
      <c r="O55" t="s">
        <v>132</v>
      </c>
      <c r="P55" t="s">
        <v>34</v>
      </c>
      <c r="Q55">
        <v>4</v>
      </c>
      <c r="R55">
        <f>IF(ventas_libreria[[#This Row],[valoracion_cliente]]="","Sin valoración",ventas_libreria[[#This Row],[valoracion_cliente]])</f>
        <v>4</v>
      </c>
    </row>
    <row r="56" spans="1:18" x14ac:dyDescent="0.25">
      <c r="A56" t="s">
        <v>227</v>
      </c>
      <c r="B56" t="s">
        <v>228</v>
      </c>
      <c r="C56" t="s">
        <v>229</v>
      </c>
      <c r="D56" t="s">
        <v>206</v>
      </c>
      <c r="E56" t="s">
        <v>116</v>
      </c>
      <c r="F56">
        <f>ventas_libreria[[#This Row],[precio_eur]]/100</f>
        <v>17.010000000000002</v>
      </c>
      <c r="G56">
        <v>1701</v>
      </c>
      <c r="H56">
        <v>1</v>
      </c>
      <c r="I56">
        <f>ventas_libreria[[#This Row],[precio]]*ventas_libreria[[#This Row],[cantidad]]</f>
        <v>17.010000000000002</v>
      </c>
      <c r="J56">
        <v>27</v>
      </c>
      <c r="K56" t="s">
        <v>38</v>
      </c>
      <c r="L56" s="1">
        <v>45361</v>
      </c>
      <c r="M56" t="s">
        <v>21</v>
      </c>
      <c r="N56" t="s">
        <v>32</v>
      </c>
      <c r="O56" t="s">
        <v>33</v>
      </c>
      <c r="P56" t="s">
        <v>24</v>
      </c>
      <c r="Q56">
        <v>4</v>
      </c>
      <c r="R56">
        <f>IF(ventas_libreria[[#This Row],[valoracion_cliente]]="","Sin valoración",ventas_libreria[[#This Row],[valoracion_cliente]])</f>
        <v>4</v>
      </c>
    </row>
    <row r="57" spans="1:18" x14ac:dyDescent="0.25">
      <c r="A57" t="s">
        <v>230</v>
      </c>
      <c r="B57" t="s">
        <v>156</v>
      </c>
      <c r="C57" t="s">
        <v>157</v>
      </c>
      <c r="D57" t="s">
        <v>158</v>
      </c>
      <c r="E57" t="s">
        <v>149</v>
      </c>
      <c r="F57">
        <f>ventas_libreria[[#This Row],[precio_eur]]/100</f>
        <v>16.059999999999999</v>
      </c>
      <c r="G57">
        <v>1606</v>
      </c>
      <c r="H57">
        <v>1</v>
      </c>
      <c r="I57">
        <f>ventas_libreria[[#This Row],[precio]]*ventas_libreria[[#This Row],[cantidad]]</f>
        <v>16.059999999999999</v>
      </c>
      <c r="J57">
        <v>75</v>
      </c>
      <c r="K57" t="s">
        <v>20</v>
      </c>
      <c r="L57" s="1">
        <v>45896</v>
      </c>
      <c r="M57" t="s">
        <v>43</v>
      </c>
      <c r="N57" t="s">
        <v>32</v>
      </c>
      <c r="O57" t="s">
        <v>33</v>
      </c>
      <c r="P57" t="s">
        <v>50</v>
      </c>
      <c r="Q57">
        <v>2</v>
      </c>
      <c r="R57">
        <f>IF(ventas_libreria[[#This Row],[valoracion_cliente]]="","Sin valoración",ventas_libreria[[#This Row],[valoracion_cliente]])</f>
        <v>2</v>
      </c>
    </row>
    <row r="58" spans="1:18" x14ac:dyDescent="0.25">
      <c r="A58" t="s">
        <v>231</v>
      </c>
      <c r="B58" t="s">
        <v>91</v>
      </c>
      <c r="C58" t="s">
        <v>92</v>
      </c>
      <c r="D58" t="s">
        <v>93</v>
      </c>
      <c r="E58" t="s">
        <v>72</v>
      </c>
      <c r="F58">
        <f>ventas_libreria[[#This Row],[precio_eur]]/100</f>
        <v>15.29</v>
      </c>
      <c r="G58">
        <v>1529</v>
      </c>
      <c r="H58">
        <v>2</v>
      </c>
      <c r="I58">
        <f>ventas_libreria[[#This Row],[precio]]*ventas_libreria[[#This Row],[cantidad]]</f>
        <v>30.58</v>
      </c>
      <c r="J58">
        <v>49</v>
      </c>
      <c r="K58" t="s">
        <v>20</v>
      </c>
      <c r="L58" s="1">
        <v>45047</v>
      </c>
      <c r="M58" t="s">
        <v>43</v>
      </c>
      <c r="N58" t="s">
        <v>32</v>
      </c>
      <c r="O58" t="s">
        <v>33</v>
      </c>
      <c r="P58" t="s">
        <v>34</v>
      </c>
      <c r="Q58">
        <v>5</v>
      </c>
      <c r="R58">
        <f>IF(ventas_libreria[[#This Row],[valoracion_cliente]]="","Sin valoración",ventas_libreria[[#This Row],[valoracion_cliente]])</f>
        <v>5</v>
      </c>
    </row>
    <row r="59" spans="1:18" x14ac:dyDescent="0.25">
      <c r="A59" t="s">
        <v>232</v>
      </c>
      <c r="B59" t="s">
        <v>95</v>
      </c>
      <c r="C59" t="s">
        <v>96</v>
      </c>
      <c r="D59" t="s">
        <v>97</v>
      </c>
      <c r="E59" t="s">
        <v>29</v>
      </c>
      <c r="F59">
        <f>ventas_libreria[[#This Row],[precio_eur]]/100</f>
        <v>16.11</v>
      </c>
      <c r="G59">
        <v>1611</v>
      </c>
      <c r="H59">
        <v>1</v>
      </c>
      <c r="I59">
        <f>ventas_libreria[[#This Row],[precio]]*ventas_libreria[[#This Row],[cantidad]]</f>
        <v>16.11</v>
      </c>
      <c r="J59">
        <v>37</v>
      </c>
      <c r="K59" t="s">
        <v>20</v>
      </c>
      <c r="L59" s="1">
        <v>45083</v>
      </c>
      <c r="M59" t="s">
        <v>31</v>
      </c>
      <c r="N59" t="s">
        <v>32</v>
      </c>
      <c r="O59" t="s">
        <v>33</v>
      </c>
      <c r="P59" t="s">
        <v>84</v>
      </c>
      <c r="Q59">
        <v>5</v>
      </c>
      <c r="R59">
        <f>IF(ventas_libreria[[#This Row],[valoracion_cliente]]="","Sin valoración",ventas_libreria[[#This Row],[valoracion_cliente]])</f>
        <v>5</v>
      </c>
    </row>
    <row r="60" spans="1:18" x14ac:dyDescent="0.25">
      <c r="A60" t="s">
        <v>233</v>
      </c>
      <c r="B60" t="s">
        <v>16</v>
      </c>
      <c r="C60" t="s">
        <v>17</v>
      </c>
      <c r="D60" t="s">
        <v>18</v>
      </c>
      <c r="E60" t="s">
        <v>19</v>
      </c>
      <c r="F60">
        <f>ventas_libreria[[#This Row],[precio_eur]]/100</f>
        <v>1.49</v>
      </c>
      <c r="G60">
        <v>149</v>
      </c>
      <c r="H60">
        <v>1</v>
      </c>
      <c r="I60">
        <f>ventas_libreria[[#This Row],[precio]]*ventas_libreria[[#This Row],[cantidad]]</f>
        <v>1.49</v>
      </c>
      <c r="J60">
        <v>26</v>
      </c>
      <c r="K60" t="s">
        <v>38</v>
      </c>
      <c r="L60" s="1">
        <v>46010</v>
      </c>
      <c r="M60" t="s">
        <v>21</v>
      </c>
      <c r="N60" t="s">
        <v>32</v>
      </c>
      <c r="O60" t="s">
        <v>33</v>
      </c>
      <c r="P60" t="s">
        <v>34</v>
      </c>
      <c r="R60" t="str">
        <f>IF(ventas_libreria[[#This Row],[valoracion_cliente]]="","Sin valoración",ventas_libreria[[#This Row],[valoracion_cliente]])</f>
        <v>Sin valoración</v>
      </c>
    </row>
    <row r="61" spans="1:18" x14ac:dyDescent="0.25">
      <c r="A61" t="s">
        <v>234</v>
      </c>
      <c r="B61" t="s">
        <v>52</v>
      </c>
      <c r="C61" t="s">
        <v>53</v>
      </c>
      <c r="D61" t="s">
        <v>54</v>
      </c>
      <c r="E61" t="s">
        <v>55</v>
      </c>
      <c r="F61">
        <f>ventas_libreria[[#This Row],[precio_eur]]/100</f>
        <v>13.75</v>
      </c>
      <c r="G61">
        <v>1375</v>
      </c>
      <c r="H61">
        <v>1</v>
      </c>
      <c r="I61">
        <f>ventas_libreria[[#This Row],[precio]]*ventas_libreria[[#This Row],[cantidad]]</f>
        <v>13.75</v>
      </c>
      <c r="J61">
        <v>46</v>
      </c>
      <c r="K61" t="s">
        <v>38</v>
      </c>
      <c r="L61" s="1">
        <v>45526</v>
      </c>
      <c r="M61" t="s">
        <v>43</v>
      </c>
      <c r="N61" t="s">
        <v>32</v>
      </c>
      <c r="O61" t="s">
        <v>33</v>
      </c>
      <c r="P61" t="s">
        <v>24</v>
      </c>
      <c r="Q61">
        <v>5</v>
      </c>
      <c r="R61">
        <f>IF(ventas_libreria[[#This Row],[valoracion_cliente]]="","Sin valoración",ventas_libreria[[#This Row],[valoracion_cliente]])</f>
        <v>5</v>
      </c>
    </row>
    <row r="62" spans="1:18" x14ac:dyDescent="0.25">
      <c r="A62" t="s">
        <v>235</v>
      </c>
      <c r="B62" t="s">
        <v>236</v>
      </c>
      <c r="C62" t="s">
        <v>237</v>
      </c>
      <c r="D62" t="s">
        <v>238</v>
      </c>
      <c r="E62" t="s">
        <v>29</v>
      </c>
      <c r="F62">
        <f>ventas_libreria[[#This Row],[precio_eur]]/100</f>
        <v>1.79</v>
      </c>
      <c r="G62">
        <v>179</v>
      </c>
      <c r="H62">
        <v>1</v>
      </c>
      <c r="I62">
        <f>ventas_libreria[[#This Row],[precio]]*ventas_libreria[[#This Row],[cantidad]]</f>
        <v>1.79</v>
      </c>
      <c r="J62">
        <v>41</v>
      </c>
      <c r="K62" t="s">
        <v>30</v>
      </c>
      <c r="L62" s="1">
        <v>44933</v>
      </c>
      <c r="M62" t="s">
        <v>43</v>
      </c>
      <c r="N62" t="s">
        <v>32</v>
      </c>
      <c r="O62" t="s">
        <v>33</v>
      </c>
      <c r="P62" t="s">
        <v>24</v>
      </c>
      <c r="Q62">
        <v>5</v>
      </c>
      <c r="R62">
        <f>IF(ventas_libreria[[#This Row],[valoracion_cliente]]="","Sin valoración",ventas_libreria[[#This Row],[valoracion_cliente]])</f>
        <v>5</v>
      </c>
    </row>
    <row r="63" spans="1:18" x14ac:dyDescent="0.25">
      <c r="A63" t="s">
        <v>239</v>
      </c>
      <c r="B63" t="s">
        <v>240</v>
      </c>
      <c r="C63" t="s">
        <v>241</v>
      </c>
      <c r="D63" t="s">
        <v>54</v>
      </c>
      <c r="E63" t="s">
        <v>172</v>
      </c>
      <c r="F63">
        <f>ventas_libreria[[#This Row],[precio_eur]]/100</f>
        <v>15.65</v>
      </c>
      <c r="G63">
        <v>1565</v>
      </c>
      <c r="H63">
        <v>1</v>
      </c>
      <c r="I63">
        <f>ventas_libreria[[#This Row],[precio]]*ventas_libreria[[#This Row],[cantidad]]</f>
        <v>15.65</v>
      </c>
      <c r="J63">
        <v>52</v>
      </c>
      <c r="K63" t="s">
        <v>30</v>
      </c>
      <c r="L63" s="1">
        <v>45057</v>
      </c>
      <c r="M63" t="s">
        <v>21</v>
      </c>
      <c r="N63" t="s">
        <v>22</v>
      </c>
      <c r="O63" t="s">
        <v>132</v>
      </c>
      <c r="P63" t="s">
        <v>24</v>
      </c>
      <c r="R63" t="str">
        <f>IF(ventas_libreria[[#This Row],[valoracion_cliente]]="","Sin valoración",ventas_libreria[[#This Row],[valoracion_cliente]])</f>
        <v>Sin valoración</v>
      </c>
    </row>
    <row r="64" spans="1:18" x14ac:dyDescent="0.25">
      <c r="A64" t="s">
        <v>242</v>
      </c>
      <c r="B64" t="s">
        <v>243</v>
      </c>
      <c r="C64" t="s">
        <v>244</v>
      </c>
      <c r="D64" t="s">
        <v>245</v>
      </c>
      <c r="E64" t="s">
        <v>48</v>
      </c>
      <c r="F64">
        <f>ventas_libreria[[#This Row],[precio_eur]]/100</f>
        <v>18.61</v>
      </c>
      <c r="G64">
        <v>1861</v>
      </c>
      <c r="H64">
        <v>3</v>
      </c>
      <c r="I64">
        <f>ventas_libreria[[#This Row],[precio]]*ventas_libreria[[#This Row],[cantidad]]</f>
        <v>55.83</v>
      </c>
      <c r="J64">
        <v>52</v>
      </c>
      <c r="K64" t="s">
        <v>30</v>
      </c>
      <c r="L64" s="1">
        <v>44965</v>
      </c>
      <c r="M64" t="s">
        <v>21</v>
      </c>
      <c r="N64" t="s">
        <v>22</v>
      </c>
      <c r="O64" t="s">
        <v>67</v>
      </c>
      <c r="P64" t="s">
        <v>24</v>
      </c>
      <c r="Q64">
        <v>4</v>
      </c>
      <c r="R64">
        <f>IF(ventas_libreria[[#This Row],[valoracion_cliente]]="","Sin valoración",ventas_libreria[[#This Row],[valoracion_cliente]])</f>
        <v>4</v>
      </c>
    </row>
    <row r="65" spans="1:18" x14ac:dyDescent="0.25">
      <c r="A65" t="s">
        <v>246</v>
      </c>
      <c r="B65" t="s">
        <v>247</v>
      </c>
      <c r="C65" t="s">
        <v>248</v>
      </c>
      <c r="D65" t="s">
        <v>249</v>
      </c>
      <c r="E65" t="s">
        <v>172</v>
      </c>
      <c r="F65">
        <f>ventas_libreria[[#This Row],[precio_eur]]/100</f>
        <v>12.51</v>
      </c>
      <c r="G65">
        <v>1251</v>
      </c>
      <c r="H65">
        <v>1</v>
      </c>
      <c r="I65">
        <f>ventas_libreria[[#This Row],[precio]]*ventas_libreria[[#This Row],[cantidad]]</f>
        <v>12.51</v>
      </c>
      <c r="J65">
        <v>20</v>
      </c>
      <c r="K65" t="s">
        <v>38</v>
      </c>
      <c r="L65" s="1">
        <v>45676</v>
      </c>
      <c r="M65" t="s">
        <v>43</v>
      </c>
      <c r="N65" t="s">
        <v>32</v>
      </c>
      <c r="O65" t="s">
        <v>33</v>
      </c>
      <c r="P65" t="s">
        <v>50</v>
      </c>
      <c r="R65" t="str">
        <f>IF(ventas_libreria[[#This Row],[valoracion_cliente]]="","Sin valoración",ventas_libreria[[#This Row],[valoracion_cliente]])</f>
        <v>Sin valoración</v>
      </c>
    </row>
    <row r="66" spans="1:18" x14ac:dyDescent="0.25">
      <c r="A66" t="s">
        <v>250</v>
      </c>
      <c r="B66" t="s">
        <v>26</v>
      </c>
      <c r="C66" t="s">
        <v>27</v>
      </c>
      <c r="D66" t="s">
        <v>28</v>
      </c>
      <c r="E66" t="s">
        <v>29</v>
      </c>
      <c r="F66">
        <f>ventas_libreria[[#This Row],[precio_eur]]/100</f>
        <v>19.84</v>
      </c>
      <c r="G66">
        <v>1984</v>
      </c>
      <c r="H66">
        <v>2</v>
      </c>
      <c r="I66">
        <f>ventas_libreria[[#This Row],[precio]]*ventas_libreria[[#This Row],[cantidad]]</f>
        <v>39.68</v>
      </c>
      <c r="J66">
        <v>63</v>
      </c>
      <c r="K66" t="s">
        <v>38</v>
      </c>
      <c r="L66" s="1">
        <v>45660</v>
      </c>
      <c r="M66" t="s">
        <v>43</v>
      </c>
      <c r="N66" t="s">
        <v>32</v>
      </c>
      <c r="O66" t="s">
        <v>33</v>
      </c>
      <c r="P66" t="s">
        <v>50</v>
      </c>
      <c r="Q66">
        <v>3</v>
      </c>
      <c r="R66">
        <f>IF(ventas_libreria[[#This Row],[valoracion_cliente]]="","Sin valoración",ventas_libreria[[#This Row],[valoracion_cliente]])</f>
        <v>3</v>
      </c>
    </row>
    <row r="67" spans="1:18" x14ac:dyDescent="0.25">
      <c r="A67" t="s">
        <v>251</v>
      </c>
      <c r="B67" t="s">
        <v>16</v>
      </c>
      <c r="C67" t="s">
        <v>17</v>
      </c>
      <c r="D67" t="s">
        <v>18</v>
      </c>
      <c r="E67" t="s">
        <v>19</v>
      </c>
      <c r="F67">
        <f>ventas_libreria[[#This Row],[precio_eur]]/100</f>
        <v>12.66</v>
      </c>
      <c r="G67">
        <v>1266</v>
      </c>
      <c r="H67">
        <v>1</v>
      </c>
      <c r="I67">
        <f>ventas_libreria[[#This Row],[precio]]*ventas_libreria[[#This Row],[cantidad]]</f>
        <v>12.66</v>
      </c>
      <c r="J67">
        <v>62</v>
      </c>
      <c r="K67" t="s">
        <v>30</v>
      </c>
      <c r="L67" s="1">
        <v>45100</v>
      </c>
      <c r="M67" t="s">
        <v>43</v>
      </c>
      <c r="N67" t="s">
        <v>32</v>
      </c>
      <c r="O67" t="s">
        <v>33</v>
      </c>
      <c r="P67" t="s">
        <v>84</v>
      </c>
      <c r="Q67">
        <v>3</v>
      </c>
      <c r="R67">
        <f>IF(ventas_libreria[[#This Row],[valoracion_cliente]]="","Sin valoración",ventas_libreria[[#This Row],[valoracion_cliente]])</f>
        <v>3</v>
      </c>
    </row>
    <row r="68" spans="1:18" x14ac:dyDescent="0.25">
      <c r="A68" t="s">
        <v>252</v>
      </c>
      <c r="B68" t="s">
        <v>247</v>
      </c>
      <c r="C68" t="s">
        <v>248</v>
      </c>
      <c r="D68" t="s">
        <v>249</v>
      </c>
      <c r="E68" t="s">
        <v>172</v>
      </c>
      <c r="F68">
        <f>ventas_libreria[[#This Row],[precio_eur]]/100</f>
        <v>11.81</v>
      </c>
      <c r="G68">
        <v>1181</v>
      </c>
      <c r="H68">
        <v>1</v>
      </c>
      <c r="I68">
        <f>ventas_libreria[[#This Row],[precio]]*ventas_libreria[[#This Row],[cantidad]]</f>
        <v>11.81</v>
      </c>
      <c r="J68">
        <v>40</v>
      </c>
      <c r="K68" t="s">
        <v>20</v>
      </c>
      <c r="L68" s="1">
        <v>45946</v>
      </c>
      <c r="M68" t="s">
        <v>31</v>
      </c>
      <c r="N68" t="s">
        <v>22</v>
      </c>
      <c r="O68" t="s">
        <v>67</v>
      </c>
      <c r="P68" t="s">
        <v>50</v>
      </c>
      <c r="Q68">
        <v>4</v>
      </c>
      <c r="R68">
        <f>IF(ventas_libreria[[#This Row],[valoracion_cliente]]="","Sin valoración",ventas_libreria[[#This Row],[valoracion_cliente]])</f>
        <v>4</v>
      </c>
    </row>
    <row r="69" spans="1:18" x14ac:dyDescent="0.25">
      <c r="A69" t="s">
        <v>253</v>
      </c>
      <c r="B69" t="s">
        <v>254</v>
      </c>
      <c r="C69" t="s">
        <v>255</v>
      </c>
      <c r="D69" t="s">
        <v>139</v>
      </c>
      <c r="E69" t="s">
        <v>116</v>
      </c>
      <c r="F69">
        <f>ventas_libreria[[#This Row],[precio_eur]]/100</f>
        <v>13.41</v>
      </c>
      <c r="G69">
        <v>1341</v>
      </c>
      <c r="H69">
        <v>1</v>
      </c>
      <c r="I69">
        <f>ventas_libreria[[#This Row],[precio]]*ventas_libreria[[#This Row],[cantidad]]</f>
        <v>13.41</v>
      </c>
      <c r="J69">
        <v>56</v>
      </c>
      <c r="K69" t="s">
        <v>20</v>
      </c>
      <c r="L69" s="1">
        <v>45034</v>
      </c>
      <c r="M69" t="s">
        <v>21</v>
      </c>
      <c r="N69" t="s">
        <v>32</v>
      </c>
      <c r="O69" t="s">
        <v>33</v>
      </c>
      <c r="P69" t="s">
        <v>50</v>
      </c>
      <c r="Q69">
        <v>5</v>
      </c>
      <c r="R69">
        <f>IF(ventas_libreria[[#This Row],[valoracion_cliente]]="","Sin valoración",ventas_libreria[[#This Row],[valoracion_cliente]])</f>
        <v>5</v>
      </c>
    </row>
    <row r="70" spans="1:18" x14ac:dyDescent="0.25">
      <c r="A70" t="s">
        <v>256</v>
      </c>
      <c r="B70" t="s">
        <v>100</v>
      </c>
      <c r="C70" t="s">
        <v>101</v>
      </c>
      <c r="D70" t="s">
        <v>102</v>
      </c>
      <c r="E70" t="s">
        <v>61</v>
      </c>
      <c r="F70">
        <f>ventas_libreria[[#This Row],[precio_eur]]/100</f>
        <v>1.19</v>
      </c>
      <c r="G70">
        <v>119</v>
      </c>
      <c r="H70">
        <v>3</v>
      </c>
      <c r="I70">
        <f>ventas_libreria[[#This Row],[precio]]*ventas_libreria[[#This Row],[cantidad]]</f>
        <v>3.57</v>
      </c>
      <c r="J70">
        <v>42</v>
      </c>
      <c r="K70" t="s">
        <v>20</v>
      </c>
      <c r="L70" s="1">
        <v>45574</v>
      </c>
      <c r="M70" t="s">
        <v>43</v>
      </c>
      <c r="N70" t="s">
        <v>32</v>
      </c>
      <c r="O70" t="s">
        <v>33</v>
      </c>
      <c r="P70" t="s">
        <v>24</v>
      </c>
      <c r="Q70">
        <v>4</v>
      </c>
      <c r="R70">
        <f>IF(ventas_libreria[[#This Row],[valoracion_cliente]]="","Sin valoración",ventas_libreria[[#This Row],[valoracion_cliente]])</f>
        <v>4</v>
      </c>
    </row>
    <row r="71" spans="1:18" x14ac:dyDescent="0.25">
      <c r="A71" t="s">
        <v>257</v>
      </c>
      <c r="B71" t="s">
        <v>156</v>
      </c>
      <c r="C71" t="s">
        <v>157</v>
      </c>
      <c r="D71" t="s">
        <v>158</v>
      </c>
      <c r="E71" t="s">
        <v>149</v>
      </c>
      <c r="F71">
        <f>ventas_libreria[[#This Row],[precio_eur]]/100</f>
        <v>20.79</v>
      </c>
      <c r="G71">
        <v>2079</v>
      </c>
      <c r="H71">
        <v>1</v>
      </c>
      <c r="I71">
        <f>ventas_libreria[[#This Row],[precio]]*ventas_libreria[[#This Row],[cantidad]]</f>
        <v>20.79</v>
      </c>
      <c r="J71">
        <v>55</v>
      </c>
      <c r="K71" t="s">
        <v>30</v>
      </c>
      <c r="L71" s="1">
        <v>45626</v>
      </c>
      <c r="M71" t="s">
        <v>43</v>
      </c>
      <c r="N71" t="s">
        <v>32</v>
      </c>
      <c r="O71" t="s">
        <v>33</v>
      </c>
      <c r="P71" t="s">
        <v>56</v>
      </c>
      <c r="Q71">
        <v>2</v>
      </c>
      <c r="R71">
        <f>IF(ventas_libreria[[#This Row],[valoracion_cliente]]="","Sin valoración",ventas_libreria[[#This Row],[valoracion_cliente]])</f>
        <v>2</v>
      </c>
    </row>
    <row r="72" spans="1:18" x14ac:dyDescent="0.25">
      <c r="A72" t="s">
        <v>258</v>
      </c>
      <c r="B72" t="s">
        <v>109</v>
      </c>
      <c r="C72" t="s">
        <v>110</v>
      </c>
      <c r="D72" t="s">
        <v>111</v>
      </c>
      <c r="E72" t="s">
        <v>55</v>
      </c>
      <c r="F72">
        <f>ventas_libreria[[#This Row],[precio_eur]]/100</f>
        <v>16.91</v>
      </c>
      <c r="G72">
        <v>1691</v>
      </c>
      <c r="H72">
        <v>1</v>
      </c>
      <c r="I72">
        <f>ventas_libreria[[#This Row],[precio]]*ventas_libreria[[#This Row],[cantidad]]</f>
        <v>16.91</v>
      </c>
      <c r="J72">
        <v>60</v>
      </c>
      <c r="K72" t="s">
        <v>62</v>
      </c>
      <c r="L72" s="1">
        <v>45699</v>
      </c>
      <c r="M72" t="s">
        <v>31</v>
      </c>
      <c r="N72" t="s">
        <v>22</v>
      </c>
      <c r="O72" t="s">
        <v>67</v>
      </c>
      <c r="P72" t="s">
        <v>50</v>
      </c>
      <c r="Q72">
        <v>5</v>
      </c>
      <c r="R72">
        <f>IF(ventas_libreria[[#This Row],[valoracion_cliente]]="","Sin valoración",ventas_libreria[[#This Row],[valoracion_cliente]])</f>
        <v>5</v>
      </c>
    </row>
    <row r="73" spans="1:18" x14ac:dyDescent="0.25">
      <c r="A73" t="s">
        <v>259</v>
      </c>
      <c r="B73" t="s">
        <v>260</v>
      </c>
      <c r="C73" t="s">
        <v>261</v>
      </c>
      <c r="D73" t="s">
        <v>262</v>
      </c>
      <c r="E73" t="s">
        <v>263</v>
      </c>
      <c r="F73">
        <f>ventas_libreria[[#This Row],[precio_eur]]/100</f>
        <v>18.61</v>
      </c>
      <c r="G73">
        <v>1861</v>
      </c>
      <c r="H73">
        <v>1</v>
      </c>
      <c r="I73">
        <f>ventas_libreria[[#This Row],[precio]]*ventas_libreria[[#This Row],[cantidad]]</f>
        <v>18.61</v>
      </c>
      <c r="J73">
        <v>28</v>
      </c>
      <c r="K73" t="s">
        <v>30</v>
      </c>
      <c r="L73" s="1">
        <v>45987</v>
      </c>
      <c r="M73" t="s">
        <v>43</v>
      </c>
      <c r="N73" t="s">
        <v>32</v>
      </c>
      <c r="O73" t="s">
        <v>33</v>
      </c>
      <c r="P73" t="s">
        <v>84</v>
      </c>
      <c r="Q73">
        <v>5</v>
      </c>
      <c r="R73">
        <f>IF(ventas_libreria[[#This Row],[valoracion_cliente]]="","Sin valoración",ventas_libreria[[#This Row],[valoracion_cliente]])</f>
        <v>5</v>
      </c>
    </row>
    <row r="74" spans="1:18" x14ac:dyDescent="0.25">
      <c r="A74" t="s">
        <v>264</v>
      </c>
      <c r="B74" t="s">
        <v>265</v>
      </c>
      <c r="C74" t="s">
        <v>266</v>
      </c>
      <c r="D74" t="s">
        <v>162</v>
      </c>
      <c r="E74" t="s">
        <v>29</v>
      </c>
      <c r="F74">
        <f>ventas_libreria[[#This Row],[precio_eur]]/100</f>
        <v>17.75</v>
      </c>
      <c r="G74">
        <v>1775</v>
      </c>
      <c r="H74">
        <v>1</v>
      </c>
      <c r="I74">
        <f>ventas_libreria[[#This Row],[precio]]*ventas_libreria[[#This Row],[cantidad]]</f>
        <v>17.75</v>
      </c>
      <c r="J74">
        <v>44</v>
      </c>
      <c r="K74" t="s">
        <v>20</v>
      </c>
      <c r="L74" s="1">
        <v>45931</v>
      </c>
      <c r="M74" t="s">
        <v>31</v>
      </c>
      <c r="N74" t="s">
        <v>32</v>
      </c>
      <c r="O74" t="s">
        <v>33</v>
      </c>
      <c r="P74" t="s">
        <v>50</v>
      </c>
      <c r="Q74">
        <v>5</v>
      </c>
      <c r="R74">
        <f>IF(ventas_libreria[[#This Row],[valoracion_cliente]]="","Sin valoración",ventas_libreria[[#This Row],[valoracion_cliente]])</f>
        <v>5</v>
      </c>
    </row>
    <row r="75" spans="1:18" x14ac:dyDescent="0.25">
      <c r="A75" t="s">
        <v>267</v>
      </c>
      <c r="B75" t="s">
        <v>268</v>
      </c>
      <c r="C75" t="s">
        <v>269</v>
      </c>
      <c r="D75" t="s">
        <v>270</v>
      </c>
      <c r="E75" t="s">
        <v>83</v>
      </c>
      <c r="F75">
        <f>ventas_libreria[[#This Row],[precio_eur]]/100</f>
        <v>11.99</v>
      </c>
      <c r="G75">
        <v>1199</v>
      </c>
      <c r="H75">
        <v>1</v>
      </c>
      <c r="I75">
        <f>ventas_libreria[[#This Row],[precio]]*ventas_libreria[[#This Row],[cantidad]]</f>
        <v>11.99</v>
      </c>
      <c r="J75">
        <v>25</v>
      </c>
      <c r="K75" t="s">
        <v>62</v>
      </c>
      <c r="L75" s="1">
        <v>45793</v>
      </c>
      <c r="M75" t="s">
        <v>31</v>
      </c>
      <c r="N75" t="s">
        <v>22</v>
      </c>
      <c r="O75" t="s">
        <v>23</v>
      </c>
      <c r="P75" t="s">
        <v>50</v>
      </c>
      <c r="Q75">
        <v>4</v>
      </c>
      <c r="R75">
        <f>IF(ventas_libreria[[#This Row],[valoracion_cliente]]="","Sin valoración",ventas_libreria[[#This Row],[valoracion_cliente]])</f>
        <v>4</v>
      </c>
    </row>
    <row r="76" spans="1:18" x14ac:dyDescent="0.25">
      <c r="A76" t="s">
        <v>271</v>
      </c>
      <c r="B76" t="s">
        <v>165</v>
      </c>
      <c r="C76" t="s">
        <v>166</v>
      </c>
      <c r="D76" t="s">
        <v>167</v>
      </c>
      <c r="E76" t="s">
        <v>61</v>
      </c>
      <c r="F76">
        <f>ventas_libreria[[#This Row],[precio_eur]]/100</f>
        <v>15.65</v>
      </c>
      <c r="G76">
        <v>1565</v>
      </c>
      <c r="H76">
        <v>1</v>
      </c>
      <c r="I76">
        <f>ventas_libreria[[#This Row],[precio]]*ventas_libreria[[#This Row],[cantidad]]</f>
        <v>15.65</v>
      </c>
      <c r="J76">
        <v>39</v>
      </c>
      <c r="K76" t="s">
        <v>62</v>
      </c>
      <c r="L76" s="1">
        <v>45104</v>
      </c>
      <c r="M76" t="s">
        <v>31</v>
      </c>
      <c r="N76" t="s">
        <v>22</v>
      </c>
      <c r="O76" t="s">
        <v>67</v>
      </c>
      <c r="P76" t="s">
        <v>34</v>
      </c>
      <c r="Q76">
        <v>4</v>
      </c>
      <c r="R76">
        <f>IF(ventas_libreria[[#This Row],[valoracion_cliente]]="","Sin valoración",ventas_libreria[[#This Row],[valoracion_cliente]])</f>
        <v>4</v>
      </c>
    </row>
    <row r="77" spans="1:18" x14ac:dyDescent="0.25">
      <c r="A77" t="s">
        <v>272</v>
      </c>
      <c r="B77" t="s">
        <v>273</v>
      </c>
      <c r="C77" t="s">
        <v>274</v>
      </c>
      <c r="D77" t="s">
        <v>262</v>
      </c>
      <c r="E77" t="s">
        <v>263</v>
      </c>
      <c r="F77">
        <f>ventas_libreria[[#This Row],[precio_eur]]/100</f>
        <v>2.2999999999999998</v>
      </c>
      <c r="G77">
        <v>230</v>
      </c>
      <c r="H77">
        <v>3</v>
      </c>
      <c r="I77">
        <f>ventas_libreria[[#This Row],[precio]]*ventas_libreria[[#This Row],[cantidad]]</f>
        <v>6.8999999999999995</v>
      </c>
      <c r="J77">
        <v>28</v>
      </c>
      <c r="K77" t="s">
        <v>30</v>
      </c>
      <c r="L77" s="1">
        <v>45617</v>
      </c>
      <c r="M77" t="s">
        <v>31</v>
      </c>
      <c r="N77" t="s">
        <v>22</v>
      </c>
      <c r="O77" t="s">
        <v>23</v>
      </c>
      <c r="P77" t="s">
        <v>84</v>
      </c>
      <c r="R77" t="str">
        <f>IF(ventas_libreria[[#This Row],[valoracion_cliente]]="","Sin valoración",ventas_libreria[[#This Row],[valoracion_cliente]])</f>
        <v>Sin valoración</v>
      </c>
    </row>
    <row r="78" spans="1:18" x14ac:dyDescent="0.25">
      <c r="A78" t="s">
        <v>275</v>
      </c>
      <c r="B78" t="s">
        <v>276</v>
      </c>
      <c r="C78" t="s">
        <v>277</v>
      </c>
      <c r="D78" t="s">
        <v>278</v>
      </c>
      <c r="E78" t="s">
        <v>189</v>
      </c>
      <c r="F78">
        <f>ventas_libreria[[#This Row],[precio_eur]]/100</f>
        <v>14.32</v>
      </c>
      <c r="G78">
        <v>1432</v>
      </c>
      <c r="H78">
        <v>1</v>
      </c>
      <c r="I78">
        <f>ventas_libreria[[#This Row],[precio]]*ventas_libreria[[#This Row],[cantidad]]</f>
        <v>14.32</v>
      </c>
      <c r="J78">
        <v>36</v>
      </c>
      <c r="K78" t="s">
        <v>38</v>
      </c>
      <c r="L78" s="1">
        <v>45467</v>
      </c>
      <c r="M78" t="s">
        <v>43</v>
      </c>
      <c r="N78" t="s">
        <v>32</v>
      </c>
      <c r="O78" t="s">
        <v>33</v>
      </c>
      <c r="P78" t="s">
        <v>84</v>
      </c>
      <c r="R78" t="str">
        <f>IF(ventas_libreria[[#This Row],[valoracion_cliente]]="","Sin valoración",ventas_libreria[[#This Row],[valoracion_cliente]])</f>
        <v>Sin valoración</v>
      </c>
    </row>
    <row r="79" spans="1:18" x14ac:dyDescent="0.25">
      <c r="A79" t="s">
        <v>279</v>
      </c>
      <c r="B79" t="s">
        <v>228</v>
      </c>
      <c r="C79" t="s">
        <v>229</v>
      </c>
      <c r="D79" t="s">
        <v>206</v>
      </c>
      <c r="E79" t="s">
        <v>116</v>
      </c>
      <c r="F79">
        <f>ventas_libreria[[#This Row],[precio_eur]]/100</f>
        <v>1.89</v>
      </c>
      <c r="G79">
        <v>189</v>
      </c>
      <c r="H79">
        <v>1</v>
      </c>
      <c r="I79">
        <f>ventas_libreria[[#This Row],[precio]]*ventas_libreria[[#This Row],[cantidad]]</f>
        <v>1.89</v>
      </c>
      <c r="J79">
        <v>52</v>
      </c>
      <c r="K79" t="s">
        <v>30</v>
      </c>
      <c r="L79" s="1">
        <v>45922</v>
      </c>
      <c r="M79" t="s">
        <v>21</v>
      </c>
      <c r="N79" t="s">
        <v>32</v>
      </c>
      <c r="O79" t="s">
        <v>33</v>
      </c>
      <c r="P79" t="s">
        <v>50</v>
      </c>
      <c r="Q79">
        <v>4</v>
      </c>
      <c r="R79">
        <f>IF(ventas_libreria[[#This Row],[valoracion_cliente]]="","Sin valoración",ventas_libreria[[#This Row],[valoracion_cliente]])</f>
        <v>4</v>
      </c>
    </row>
    <row r="80" spans="1:18" x14ac:dyDescent="0.25">
      <c r="A80" t="s">
        <v>280</v>
      </c>
      <c r="B80" t="s">
        <v>125</v>
      </c>
      <c r="C80" t="s">
        <v>126</v>
      </c>
      <c r="D80" t="s">
        <v>127</v>
      </c>
      <c r="E80" t="s">
        <v>29</v>
      </c>
      <c r="F80">
        <f>ventas_libreria[[#This Row],[precio_eur]]/100</f>
        <v>15.21</v>
      </c>
      <c r="G80">
        <v>1521</v>
      </c>
      <c r="H80">
        <v>3</v>
      </c>
      <c r="I80">
        <f>ventas_libreria[[#This Row],[precio]]*ventas_libreria[[#This Row],[cantidad]]</f>
        <v>45.63</v>
      </c>
      <c r="J80">
        <v>21</v>
      </c>
      <c r="K80" t="s">
        <v>20</v>
      </c>
      <c r="L80" s="1">
        <v>45259</v>
      </c>
      <c r="M80" t="s">
        <v>31</v>
      </c>
      <c r="N80" t="s">
        <v>22</v>
      </c>
      <c r="O80" t="s">
        <v>23</v>
      </c>
      <c r="P80" t="s">
        <v>34</v>
      </c>
      <c r="Q80">
        <v>2</v>
      </c>
      <c r="R80">
        <f>IF(ventas_libreria[[#This Row],[valoracion_cliente]]="","Sin valoración",ventas_libreria[[#This Row],[valoracion_cliente]])</f>
        <v>2</v>
      </c>
    </row>
    <row r="81" spans="1:18" x14ac:dyDescent="0.25">
      <c r="A81" t="s">
        <v>281</v>
      </c>
      <c r="B81" t="s">
        <v>16</v>
      </c>
      <c r="C81" t="s">
        <v>17</v>
      </c>
      <c r="D81" t="s">
        <v>18</v>
      </c>
      <c r="E81" t="s">
        <v>19</v>
      </c>
      <c r="F81">
        <f>ventas_libreria[[#This Row],[precio_eur]]/100</f>
        <v>1.49</v>
      </c>
      <c r="G81">
        <v>149</v>
      </c>
      <c r="H81">
        <v>1</v>
      </c>
      <c r="I81">
        <f>ventas_libreria[[#This Row],[precio]]*ventas_libreria[[#This Row],[cantidad]]</f>
        <v>1.49</v>
      </c>
      <c r="J81">
        <v>36</v>
      </c>
      <c r="K81" t="s">
        <v>20</v>
      </c>
      <c r="L81" s="1">
        <v>45882</v>
      </c>
      <c r="M81" t="s">
        <v>21</v>
      </c>
      <c r="N81" t="s">
        <v>32</v>
      </c>
      <c r="O81" t="s">
        <v>33</v>
      </c>
      <c r="P81" t="s">
        <v>56</v>
      </c>
      <c r="Q81">
        <v>4</v>
      </c>
      <c r="R81">
        <f>IF(ventas_libreria[[#This Row],[valoracion_cliente]]="","Sin valoración",ventas_libreria[[#This Row],[valoracion_cliente]])</f>
        <v>4</v>
      </c>
    </row>
    <row r="82" spans="1:18" x14ac:dyDescent="0.25">
      <c r="A82" t="s">
        <v>282</v>
      </c>
      <c r="B82" t="s">
        <v>165</v>
      </c>
      <c r="C82" t="s">
        <v>166</v>
      </c>
      <c r="D82" t="s">
        <v>167</v>
      </c>
      <c r="E82" t="s">
        <v>61</v>
      </c>
      <c r="F82">
        <f>ventas_libreria[[#This Row],[precio_eur]]/100</f>
        <v>12.66</v>
      </c>
      <c r="G82">
        <v>1266</v>
      </c>
      <c r="H82">
        <v>2</v>
      </c>
      <c r="I82">
        <f>ventas_libreria[[#This Row],[precio]]*ventas_libreria[[#This Row],[cantidad]]</f>
        <v>25.32</v>
      </c>
      <c r="J82">
        <v>66</v>
      </c>
      <c r="K82" t="s">
        <v>20</v>
      </c>
      <c r="L82" s="1">
        <v>45794</v>
      </c>
      <c r="M82" t="s">
        <v>31</v>
      </c>
      <c r="N82" t="s">
        <v>32</v>
      </c>
      <c r="O82" t="s">
        <v>33</v>
      </c>
      <c r="P82" t="s">
        <v>50</v>
      </c>
      <c r="Q82">
        <v>4</v>
      </c>
      <c r="R82">
        <f>IF(ventas_libreria[[#This Row],[valoracion_cliente]]="","Sin valoración",ventas_libreria[[#This Row],[valoracion_cliente]])</f>
        <v>4</v>
      </c>
    </row>
    <row r="83" spans="1:18" x14ac:dyDescent="0.25">
      <c r="A83" t="s">
        <v>283</v>
      </c>
      <c r="B83" t="s">
        <v>181</v>
      </c>
      <c r="C83" t="s">
        <v>182</v>
      </c>
      <c r="D83" t="s">
        <v>183</v>
      </c>
      <c r="E83" t="s">
        <v>116</v>
      </c>
      <c r="F83">
        <f>ventas_libreria[[#This Row],[precio_eur]]/100</f>
        <v>1.46</v>
      </c>
      <c r="G83">
        <v>146</v>
      </c>
      <c r="H83">
        <v>1</v>
      </c>
      <c r="I83">
        <f>ventas_libreria[[#This Row],[precio]]*ventas_libreria[[#This Row],[cantidad]]</f>
        <v>1.46</v>
      </c>
      <c r="J83">
        <v>23</v>
      </c>
      <c r="K83" t="s">
        <v>30</v>
      </c>
      <c r="L83" s="1">
        <v>45848</v>
      </c>
      <c r="M83" t="s">
        <v>43</v>
      </c>
      <c r="N83" t="s">
        <v>32</v>
      </c>
      <c r="O83" t="s">
        <v>33</v>
      </c>
      <c r="P83" t="s">
        <v>56</v>
      </c>
      <c r="Q83">
        <v>3</v>
      </c>
      <c r="R83">
        <f>IF(ventas_libreria[[#This Row],[valoracion_cliente]]="","Sin valoración",ventas_libreria[[#This Row],[valoracion_cliente]])</f>
        <v>3</v>
      </c>
    </row>
    <row r="84" spans="1:18" x14ac:dyDescent="0.25">
      <c r="A84" t="s">
        <v>284</v>
      </c>
      <c r="B84" t="s">
        <v>129</v>
      </c>
      <c r="C84" t="s">
        <v>130</v>
      </c>
      <c r="D84" t="s">
        <v>131</v>
      </c>
      <c r="E84" t="s">
        <v>107</v>
      </c>
      <c r="F84">
        <f>ventas_libreria[[#This Row],[precio_eur]]/100</f>
        <v>1.59</v>
      </c>
      <c r="G84">
        <v>159</v>
      </c>
      <c r="H84">
        <v>3</v>
      </c>
      <c r="I84">
        <f>ventas_libreria[[#This Row],[precio]]*ventas_libreria[[#This Row],[cantidad]]</f>
        <v>4.7700000000000005</v>
      </c>
      <c r="J84">
        <v>14</v>
      </c>
      <c r="K84" t="s">
        <v>30</v>
      </c>
      <c r="L84" s="1">
        <v>45883</v>
      </c>
      <c r="M84" t="s">
        <v>43</v>
      </c>
      <c r="N84" t="s">
        <v>32</v>
      </c>
      <c r="O84" t="s">
        <v>33</v>
      </c>
      <c r="P84" t="s">
        <v>50</v>
      </c>
      <c r="Q84">
        <v>4</v>
      </c>
      <c r="R84">
        <f>IF(ventas_libreria[[#This Row],[valoracion_cliente]]="","Sin valoración",ventas_libreria[[#This Row],[valoracion_cliente]])</f>
        <v>4</v>
      </c>
    </row>
    <row r="85" spans="1:18" x14ac:dyDescent="0.25">
      <c r="A85" t="s">
        <v>285</v>
      </c>
      <c r="B85" t="s">
        <v>286</v>
      </c>
      <c r="C85" t="s">
        <v>287</v>
      </c>
      <c r="D85" t="s">
        <v>288</v>
      </c>
      <c r="E85" t="s">
        <v>289</v>
      </c>
      <c r="F85">
        <f>ventas_libreria[[#This Row],[precio_eur]]/100</f>
        <v>2.2999999999999998</v>
      </c>
      <c r="G85">
        <v>230</v>
      </c>
      <c r="H85">
        <v>1</v>
      </c>
      <c r="I85">
        <f>ventas_libreria[[#This Row],[precio]]*ventas_libreria[[#This Row],[cantidad]]</f>
        <v>2.2999999999999998</v>
      </c>
      <c r="J85">
        <v>53</v>
      </c>
      <c r="K85" t="s">
        <v>20</v>
      </c>
      <c r="L85" s="1">
        <v>45776</v>
      </c>
      <c r="M85" t="s">
        <v>43</v>
      </c>
      <c r="N85" t="s">
        <v>32</v>
      </c>
      <c r="O85" t="s">
        <v>33</v>
      </c>
      <c r="P85" t="s">
        <v>84</v>
      </c>
      <c r="R85" t="str">
        <f>IF(ventas_libreria[[#This Row],[valoracion_cliente]]="","Sin valoración",ventas_libreria[[#This Row],[valoracion_cliente]])</f>
        <v>Sin valoración</v>
      </c>
    </row>
    <row r="86" spans="1:18" x14ac:dyDescent="0.25">
      <c r="A86" t="s">
        <v>290</v>
      </c>
      <c r="B86" t="s">
        <v>291</v>
      </c>
      <c r="C86" t="s">
        <v>292</v>
      </c>
      <c r="D86" t="s">
        <v>76</v>
      </c>
      <c r="E86" t="s">
        <v>77</v>
      </c>
      <c r="F86">
        <f>ventas_libreria[[#This Row],[precio_eur]]/100</f>
        <v>10.89</v>
      </c>
      <c r="G86">
        <v>1089</v>
      </c>
      <c r="H86">
        <v>2</v>
      </c>
      <c r="I86">
        <f>ventas_libreria[[#This Row],[precio]]*ventas_libreria[[#This Row],[cantidad]]</f>
        <v>21.78</v>
      </c>
      <c r="J86">
        <v>6</v>
      </c>
      <c r="K86" t="s">
        <v>20</v>
      </c>
      <c r="L86" s="1">
        <v>45905</v>
      </c>
      <c r="M86" t="s">
        <v>43</v>
      </c>
      <c r="N86" t="s">
        <v>32</v>
      </c>
      <c r="O86" t="s">
        <v>33</v>
      </c>
      <c r="P86" t="s">
        <v>34</v>
      </c>
      <c r="Q86">
        <v>4</v>
      </c>
      <c r="R86">
        <f>IF(ventas_libreria[[#This Row],[valoracion_cliente]]="","Sin valoración",ventas_libreria[[#This Row],[valoracion_cliente]])</f>
        <v>4</v>
      </c>
    </row>
    <row r="87" spans="1:18" x14ac:dyDescent="0.25">
      <c r="A87" t="s">
        <v>293</v>
      </c>
      <c r="B87" t="s">
        <v>265</v>
      </c>
      <c r="C87" t="s">
        <v>266</v>
      </c>
      <c r="D87" t="s">
        <v>162</v>
      </c>
      <c r="E87" t="s">
        <v>29</v>
      </c>
      <c r="F87">
        <f>ventas_libreria[[#This Row],[precio_eur]]/100</f>
        <v>1.69</v>
      </c>
      <c r="G87">
        <v>169</v>
      </c>
      <c r="H87">
        <v>1</v>
      </c>
      <c r="I87">
        <f>ventas_libreria[[#This Row],[precio]]*ventas_libreria[[#This Row],[cantidad]]</f>
        <v>1.69</v>
      </c>
      <c r="J87">
        <v>48</v>
      </c>
      <c r="K87" t="s">
        <v>62</v>
      </c>
      <c r="L87" s="1">
        <v>45294</v>
      </c>
      <c r="M87" t="s">
        <v>21</v>
      </c>
      <c r="N87" t="s">
        <v>32</v>
      </c>
      <c r="O87" t="s">
        <v>33</v>
      </c>
      <c r="P87" t="s">
        <v>56</v>
      </c>
      <c r="Q87">
        <v>5</v>
      </c>
      <c r="R87">
        <f>IF(ventas_libreria[[#This Row],[valoracion_cliente]]="","Sin valoración",ventas_libreria[[#This Row],[valoracion_cliente]])</f>
        <v>5</v>
      </c>
    </row>
    <row r="88" spans="1:18" x14ac:dyDescent="0.25">
      <c r="A88" t="s">
        <v>294</v>
      </c>
      <c r="B88" t="s">
        <v>243</v>
      </c>
      <c r="C88" t="s">
        <v>244</v>
      </c>
      <c r="D88" t="s">
        <v>245</v>
      </c>
      <c r="E88" t="s">
        <v>48</v>
      </c>
      <c r="F88">
        <f>ventas_libreria[[#This Row],[precio_eur]]/100</f>
        <v>17.52</v>
      </c>
      <c r="G88">
        <v>1752</v>
      </c>
      <c r="H88">
        <v>3</v>
      </c>
      <c r="I88">
        <f>ventas_libreria[[#This Row],[precio]]*ventas_libreria[[#This Row],[cantidad]]</f>
        <v>52.56</v>
      </c>
      <c r="J88">
        <v>41</v>
      </c>
      <c r="K88" t="s">
        <v>30</v>
      </c>
      <c r="L88" s="1">
        <v>45782</v>
      </c>
      <c r="M88" t="s">
        <v>43</v>
      </c>
      <c r="N88" t="s">
        <v>32</v>
      </c>
      <c r="O88" t="s">
        <v>33</v>
      </c>
      <c r="P88" t="s">
        <v>50</v>
      </c>
      <c r="Q88">
        <v>5</v>
      </c>
      <c r="R88">
        <f>IF(ventas_libreria[[#This Row],[valoracion_cliente]]="","Sin valoración",ventas_libreria[[#This Row],[valoracion_cliente]])</f>
        <v>5</v>
      </c>
    </row>
    <row r="89" spans="1:18" x14ac:dyDescent="0.25">
      <c r="A89" t="s">
        <v>295</v>
      </c>
      <c r="B89" t="s">
        <v>296</v>
      </c>
      <c r="C89" t="s">
        <v>297</v>
      </c>
      <c r="D89" t="s">
        <v>298</v>
      </c>
      <c r="E89" t="s">
        <v>154</v>
      </c>
      <c r="F89">
        <f>ventas_libreria[[#This Row],[precio_eur]]/100</f>
        <v>1.79</v>
      </c>
      <c r="G89">
        <v>179</v>
      </c>
      <c r="H89">
        <v>2</v>
      </c>
      <c r="I89">
        <f>ventas_libreria[[#This Row],[precio]]*ventas_libreria[[#This Row],[cantidad]]</f>
        <v>3.58</v>
      </c>
      <c r="J89">
        <v>66</v>
      </c>
      <c r="K89" t="s">
        <v>30</v>
      </c>
      <c r="L89" s="1">
        <v>45968</v>
      </c>
      <c r="M89" t="s">
        <v>21</v>
      </c>
      <c r="N89" t="s">
        <v>22</v>
      </c>
      <c r="O89" t="s">
        <v>49</v>
      </c>
      <c r="P89" t="s">
        <v>56</v>
      </c>
      <c r="Q89">
        <v>1</v>
      </c>
      <c r="R89">
        <f>IF(ventas_libreria[[#This Row],[valoracion_cliente]]="","Sin valoración",ventas_libreria[[#This Row],[valoracion_cliente]])</f>
        <v>1</v>
      </c>
    </row>
    <row r="90" spans="1:18" x14ac:dyDescent="0.25">
      <c r="A90" t="s">
        <v>299</v>
      </c>
      <c r="B90" t="s">
        <v>36</v>
      </c>
      <c r="C90" t="s">
        <v>37</v>
      </c>
      <c r="D90" t="s">
        <v>28</v>
      </c>
      <c r="E90" t="s">
        <v>29</v>
      </c>
      <c r="F90">
        <f>ventas_libreria[[#This Row],[precio_eur]]/100</f>
        <v>20.79</v>
      </c>
      <c r="G90">
        <v>2079</v>
      </c>
      <c r="H90">
        <v>2</v>
      </c>
      <c r="I90">
        <f>ventas_libreria[[#This Row],[precio]]*ventas_libreria[[#This Row],[cantidad]]</f>
        <v>41.58</v>
      </c>
      <c r="J90">
        <v>48</v>
      </c>
      <c r="K90" t="s">
        <v>38</v>
      </c>
      <c r="L90" s="1">
        <v>45626</v>
      </c>
      <c r="M90" t="s">
        <v>31</v>
      </c>
      <c r="N90" t="s">
        <v>32</v>
      </c>
      <c r="O90" t="s">
        <v>33</v>
      </c>
      <c r="P90" t="s">
        <v>24</v>
      </c>
      <c r="Q90">
        <v>5</v>
      </c>
      <c r="R90">
        <f>IF(ventas_libreria[[#This Row],[valoracion_cliente]]="","Sin valoración",ventas_libreria[[#This Row],[valoracion_cliente]])</f>
        <v>5</v>
      </c>
    </row>
    <row r="91" spans="1:18" x14ac:dyDescent="0.25">
      <c r="A91" t="s">
        <v>300</v>
      </c>
      <c r="B91" t="s">
        <v>301</v>
      </c>
      <c r="C91" t="s">
        <v>302</v>
      </c>
      <c r="D91" t="s">
        <v>245</v>
      </c>
      <c r="E91" t="s">
        <v>48</v>
      </c>
      <c r="F91">
        <f>ventas_libreria[[#This Row],[precio_eur]]/100</f>
        <v>2.4900000000000002</v>
      </c>
      <c r="G91">
        <v>249</v>
      </c>
      <c r="H91">
        <v>1</v>
      </c>
      <c r="I91">
        <f>ventas_libreria[[#This Row],[precio]]*ventas_libreria[[#This Row],[cantidad]]</f>
        <v>2.4900000000000002</v>
      </c>
      <c r="J91">
        <v>53</v>
      </c>
      <c r="K91" t="s">
        <v>38</v>
      </c>
      <c r="L91" s="1">
        <v>45145</v>
      </c>
      <c r="M91" t="s">
        <v>43</v>
      </c>
      <c r="N91" t="s">
        <v>32</v>
      </c>
      <c r="O91" t="s">
        <v>33</v>
      </c>
      <c r="P91" t="s">
        <v>34</v>
      </c>
      <c r="Q91">
        <v>3</v>
      </c>
      <c r="R91">
        <f>IF(ventas_libreria[[#This Row],[valoracion_cliente]]="","Sin valoración",ventas_libreria[[#This Row],[valoracion_cliente]])</f>
        <v>3</v>
      </c>
    </row>
    <row r="92" spans="1:18" x14ac:dyDescent="0.25">
      <c r="A92" t="s">
        <v>303</v>
      </c>
      <c r="B92" t="s">
        <v>125</v>
      </c>
      <c r="C92" t="s">
        <v>126</v>
      </c>
      <c r="D92" t="s">
        <v>127</v>
      </c>
      <c r="E92" t="s">
        <v>29</v>
      </c>
      <c r="F92">
        <f>ventas_libreria[[#This Row],[precio_eur]]/100</f>
        <v>19.690000000000001</v>
      </c>
      <c r="G92">
        <v>1969</v>
      </c>
      <c r="H92">
        <v>1</v>
      </c>
      <c r="I92">
        <f>ventas_libreria[[#This Row],[precio]]*ventas_libreria[[#This Row],[cantidad]]</f>
        <v>19.690000000000001</v>
      </c>
      <c r="J92">
        <v>37</v>
      </c>
      <c r="K92" t="s">
        <v>62</v>
      </c>
      <c r="L92" s="1">
        <v>45589</v>
      </c>
      <c r="M92" t="s">
        <v>43</v>
      </c>
      <c r="N92" t="s">
        <v>32</v>
      </c>
      <c r="O92" t="s">
        <v>33</v>
      </c>
      <c r="P92" t="s">
        <v>24</v>
      </c>
      <c r="Q92">
        <v>5</v>
      </c>
      <c r="R92">
        <f>IF(ventas_libreria[[#This Row],[valoracion_cliente]]="","Sin valoración",ventas_libreria[[#This Row],[valoracion_cliente]])</f>
        <v>5</v>
      </c>
    </row>
    <row r="93" spans="1:18" x14ac:dyDescent="0.25">
      <c r="A93" t="s">
        <v>304</v>
      </c>
      <c r="B93" t="s">
        <v>64</v>
      </c>
      <c r="C93" t="s">
        <v>65</v>
      </c>
      <c r="D93" t="s">
        <v>66</v>
      </c>
      <c r="E93" t="s">
        <v>29</v>
      </c>
      <c r="F93">
        <f>ventas_libreria[[#This Row],[precio_eur]]/100</f>
        <v>1.32</v>
      </c>
      <c r="G93">
        <v>132</v>
      </c>
      <c r="H93">
        <v>1</v>
      </c>
      <c r="I93">
        <f>ventas_libreria[[#This Row],[precio]]*ventas_libreria[[#This Row],[cantidad]]</f>
        <v>1.32</v>
      </c>
      <c r="J93">
        <v>54</v>
      </c>
      <c r="K93" t="s">
        <v>20</v>
      </c>
      <c r="L93" s="1">
        <v>45822</v>
      </c>
      <c r="M93" t="s">
        <v>31</v>
      </c>
      <c r="N93" t="s">
        <v>32</v>
      </c>
      <c r="O93" t="s">
        <v>33</v>
      </c>
      <c r="P93" t="s">
        <v>56</v>
      </c>
      <c r="Q93">
        <v>4</v>
      </c>
      <c r="R93">
        <f>IF(ventas_libreria[[#This Row],[valoracion_cliente]]="","Sin valoración",ventas_libreria[[#This Row],[valoracion_cliente]])</f>
        <v>4</v>
      </c>
    </row>
    <row r="94" spans="1:18" x14ac:dyDescent="0.25">
      <c r="A94" t="s">
        <v>305</v>
      </c>
      <c r="B94" t="s">
        <v>151</v>
      </c>
      <c r="C94" t="s">
        <v>152</v>
      </c>
      <c r="D94" t="s">
        <v>153</v>
      </c>
      <c r="E94" t="s">
        <v>154</v>
      </c>
      <c r="F94">
        <f>ventas_libreria[[#This Row],[precio_eur]]/100</f>
        <v>18.59</v>
      </c>
      <c r="G94">
        <v>1859</v>
      </c>
      <c r="H94">
        <v>2</v>
      </c>
      <c r="I94">
        <f>ventas_libreria[[#This Row],[precio]]*ventas_libreria[[#This Row],[cantidad]]</f>
        <v>37.18</v>
      </c>
      <c r="J94">
        <v>24</v>
      </c>
      <c r="K94" t="s">
        <v>62</v>
      </c>
      <c r="L94" s="1">
        <v>45744</v>
      </c>
      <c r="M94" t="s">
        <v>21</v>
      </c>
      <c r="N94" t="s">
        <v>32</v>
      </c>
      <c r="O94" t="s">
        <v>33</v>
      </c>
      <c r="P94" t="s">
        <v>34</v>
      </c>
      <c r="Q94">
        <v>5</v>
      </c>
      <c r="R94">
        <f>IF(ventas_libreria[[#This Row],[valoracion_cliente]]="","Sin valoración",ventas_libreria[[#This Row],[valoracion_cliente]])</f>
        <v>5</v>
      </c>
    </row>
    <row r="95" spans="1:18" x14ac:dyDescent="0.25">
      <c r="A95" t="s">
        <v>306</v>
      </c>
      <c r="B95" t="s">
        <v>307</v>
      </c>
      <c r="C95" t="s">
        <v>308</v>
      </c>
      <c r="D95" t="s">
        <v>88</v>
      </c>
      <c r="E95" t="s">
        <v>77</v>
      </c>
      <c r="F95">
        <f>ventas_libreria[[#This Row],[precio_eur]]/100</f>
        <v>1.0900000000000001</v>
      </c>
      <c r="G95">
        <v>109</v>
      </c>
      <c r="H95">
        <v>1</v>
      </c>
      <c r="I95">
        <f>ventas_libreria[[#This Row],[precio]]*ventas_libreria[[#This Row],[cantidad]]</f>
        <v>1.0900000000000001</v>
      </c>
      <c r="J95">
        <v>5</v>
      </c>
      <c r="K95" t="s">
        <v>38</v>
      </c>
      <c r="L95" s="1">
        <v>45456</v>
      </c>
      <c r="M95" t="s">
        <v>21</v>
      </c>
      <c r="N95" t="s">
        <v>22</v>
      </c>
      <c r="O95" t="s">
        <v>98</v>
      </c>
      <c r="P95" t="s">
        <v>84</v>
      </c>
      <c r="Q95">
        <v>4</v>
      </c>
      <c r="R95">
        <f>IF(ventas_libreria[[#This Row],[valoracion_cliente]]="","Sin valoración",ventas_libreria[[#This Row],[valoracion_cliente]])</f>
        <v>4</v>
      </c>
    </row>
    <row r="96" spans="1:18" x14ac:dyDescent="0.25">
      <c r="A96" t="s">
        <v>309</v>
      </c>
      <c r="B96" t="s">
        <v>265</v>
      </c>
      <c r="C96" t="s">
        <v>266</v>
      </c>
      <c r="D96" t="s">
        <v>162</v>
      </c>
      <c r="E96" t="s">
        <v>29</v>
      </c>
      <c r="F96">
        <f>ventas_libreria[[#This Row],[precio_eur]]/100</f>
        <v>1.69</v>
      </c>
      <c r="G96">
        <v>169</v>
      </c>
      <c r="H96">
        <v>1</v>
      </c>
      <c r="I96">
        <f>ventas_libreria[[#This Row],[precio]]*ventas_libreria[[#This Row],[cantidad]]</f>
        <v>1.69</v>
      </c>
      <c r="J96">
        <v>70</v>
      </c>
      <c r="K96" t="s">
        <v>30</v>
      </c>
      <c r="L96" s="1">
        <v>45347</v>
      </c>
      <c r="M96" t="s">
        <v>31</v>
      </c>
      <c r="N96" t="s">
        <v>32</v>
      </c>
      <c r="O96" t="s">
        <v>33</v>
      </c>
      <c r="P96" t="s">
        <v>50</v>
      </c>
      <c r="Q96">
        <v>2</v>
      </c>
      <c r="R96">
        <f>IF(ventas_libreria[[#This Row],[valoracion_cliente]]="","Sin valoración",ventas_libreria[[#This Row],[valoracion_cliente]])</f>
        <v>2</v>
      </c>
    </row>
    <row r="97" spans="1:18" x14ac:dyDescent="0.25">
      <c r="A97" t="s">
        <v>310</v>
      </c>
      <c r="B97" t="s">
        <v>151</v>
      </c>
      <c r="C97" t="s">
        <v>152</v>
      </c>
      <c r="D97" t="s">
        <v>153</v>
      </c>
      <c r="E97" t="s">
        <v>154</v>
      </c>
      <c r="F97">
        <f>ventas_libreria[[#This Row],[precio_eur]]/100</f>
        <v>13.52</v>
      </c>
      <c r="G97">
        <v>1352</v>
      </c>
      <c r="H97">
        <v>1</v>
      </c>
      <c r="I97">
        <f>ventas_libreria[[#This Row],[precio]]*ventas_libreria[[#This Row],[cantidad]]</f>
        <v>13.52</v>
      </c>
      <c r="J97">
        <v>68</v>
      </c>
      <c r="K97" t="s">
        <v>20</v>
      </c>
      <c r="L97" s="1">
        <v>45826</v>
      </c>
      <c r="M97" t="s">
        <v>43</v>
      </c>
      <c r="N97" t="s">
        <v>32</v>
      </c>
      <c r="O97" t="s">
        <v>33</v>
      </c>
      <c r="P97" t="s">
        <v>34</v>
      </c>
      <c r="Q97">
        <v>5</v>
      </c>
      <c r="R97">
        <f>IF(ventas_libreria[[#This Row],[valoracion_cliente]]="","Sin valoración",ventas_libreria[[#This Row],[valoracion_cliente]])</f>
        <v>5</v>
      </c>
    </row>
    <row r="98" spans="1:18" x14ac:dyDescent="0.25">
      <c r="A98" t="s">
        <v>311</v>
      </c>
      <c r="B98" t="s">
        <v>91</v>
      </c>
      <c r="C98" t="s">
        <v>92</v>
      </c>
      <c r="D98" t="s">
        <v>93</v>
      </c>
      <c r="E98" t="s">
        <v>72</v>
      </c>
      <c r="F98">
        <f>ventas_libreria[[#This Row],[precio_eur]]/100</f>
        <v>1.46</v>
      </c>
      <c r="G98">
        <v>146</v>
      </c>
      <c r="H98">
        <v>1</v>
      </c>
      <c r="I98">
        <f>ventas_libreria[[#This Row],[precio]]*ventas_libreria[[#This Row],[cantidad]]</f>
        <v>1.46</v>
      </c>
      <c r="J98">
        <v>24</v>
      </c>
      <c r="K98" t="s">
        <v>38</v>
      </c>
      <c r="L98" s="1">
        <v>45147</v>
      </c>
      <c r="M98" t="s">
        <v>43</v>
      </c>
      <c r="N98" t="s">
        <v>32</v>
      </c>
      <c r="O98" t="s">
        <v>33</v>
      </c>
      <c r="P98" t="s">
        <v>34</v>
      </c>
      <c r="Q98">
        <v>5</v>
      </c>
      <c r="R98">
        <f>IF(ventas_libreria[[#This Row],[valoracion_cliente]]="","Sin valoración",ventas_libreria[[#This Row],[valoracion_cliente]])</f>
        <v>5</v>
      </c>
    </row>
    <row r="99" spans="1:18" x14ac:dyDescent="0.25">
      <c r="A99" t="s">
        <v>312</v>
      </c>
      <c r="B99" t="s">
        <v>52</v>
      </c>
      <c r="C99" t="s">
        <v>53</v>
      </c>
      <c r="D99" t="s">
        <v>54</v>
      </c>
      <c r="E99" t="s">
        <v>55</v>
      </c>
      <c r="F99">
        <f>ventas_libreria[[#This Row],[precio_eur]]/100</f>
        <v>13.12</v>
      </c>
      <c r="G99">
        <v>1312</v>
      </c>
      <c r="H99">
        <v>1</v>
      </c>
      <c r="I99">
        <f>ventas_libreria[[#This Row],[precio]]*ventas_libreria[[#This Row],[cantidad]]</f>
        <v>13.12</v>
      </c>
      <c r="J99">
        <v>66</v>
      </c>
      <c r="K99" t="s">
        <v>30</v>
      </c>
      <c r="L99" s="1">
        <v>45229</v>
      </c>
      <c r="M99" t="s">
        <v>21</v>
      </c>
      <c r="N99" t="s">
        <v>32</v>
      </c>
      <c r="O99" t="s">
        <v>33</v>
      </c>
      <c r="P99" t="s">
        <v>50</v>
      </c>
      <c r="Q99">
        <v>4</v>
      </c>
      <c r="R99">
        <f>IF(ventas_libreria[[#This Row],[valoracion_cliente]]="","Sin valoración",ventas_libreria[[#This Row],[valoracion_cliente]])</f>
        <v>4</v>
      </c>
    </row>
    <row r="100" spans="1:18" x14ac:dyDescent="0.25">
      <c r="A100" t="s">
        <v>313</v>
      </c>
      <c r="B100" t="s">
        <v>314</v>
      </c>
      <c r="C100" t="s">
        <v>315</v>
      </c>
      <c r="D100" t="s">
        <v>217</v>
      </c>
      <c r="E100" t="s">
        <v>55</v>
      </c>
      <c r="F100">
        <f>ventas_libreria[[#This Row],[precio_eur]]/100</f>
        <v>16.649999999999999</v>
      </c>
      <c r="G100">
        <v>1665</v>
      </c>
      <c r="H100">
        <v>1</v>
      </c>
      <c r="I100">
        <f>ventas_libreria[[#This Row],[precio]]*ventas_libreria[[#This Row],[cantidad]]</f>
        <v>16.649999999999999</v>
      </c>
      <c r="J100">
        <v>46</v>
      </c>
      <c r="K100" t="s">
        <v>30</v>
      </c>
      <c r="L100" s="1">
        <v>45696</v>
      </c>
      <c r="M100" t="s">
        <v>21</v>
      </c>
      <c r="N100" t="s">
        <v>32</v>
      </c>
      <c r="O100" t="s">
        <v>33</v>
      </c>
      <c r="P100" t="s">
        <v>24</v>
      </c>
      <c r="Q100">
        <v>2</v>
      </c>
      <c r="R100">
        <f>IF(ventas_libreria[[#This Row],[valoracion_cliente]]="","Sin valoración",ventas_libreria[[#This Row],[valoracion_cliente]])</f>
        <v>2</v>
      </c>
    </row>
    <row r="101" spans="1:18" x14ac:dyDescent="0.25">
      <c r="A101" t="s">
        <v>316</v>
      </c>
      <c r="B101" t="s">
        <v>109</v>
      </c>
      <c r="C101" t="s">
        <v>110</v>
      </c>
      <c r="D101" t="s">
        <v>111</v>
      </c>
      <c r="E101" t="s">
        <v>55</v>
      </c>
      <c r="F101">
        <f>ventas_libreria[[#This Row],[precio_eur]]/100</f>
        <v>16.91</v>
      </c>
      <c r="G101">
        <v>1691</v>
      </c>
      <c r="H101">
        <v>1</v>
      </c>
      <c r="I101">
        <f>ventas_libreria[[#This Row],[precio]]*ventas_libreria[[#This Row],[cantidad]]</f>
        <v>16.91</v>
      </c>
      <c r="J101">
        <v>47</v>
      </c>
      <c r="K101" t="s">
        <v>20</v>
      </c>
      <c r="L101" s="1">
        <v>45973</v>
      </c>
      <c r="M101" t="s">
        <v>21</v>
      </c>
      <c r="N101" t="s">
        <v>32</v>
      </c>
      <c r="O101" t="s">
        <v>33</v>
      </c>
      <c r="P101" t="s">
        <v>84</v>
      </c>
      <c r="Q101">
        <v>5</v>
      </c>
      <c r="R101">
        <f>IF(ventas_libreria[[#This Row],[valoracion_cliente]]="","Sin valoración",ventas_libreria[[#This Row],[valoracion_cliente]])</f>
        <v>5</v>
      </c>
    </row>
    <row r="102" spans="1:18" x14ac:dyDescent="0.25">
      <c r="A102" t="s">
        <v>317</v>
      </c>
      <c r="B102" t="s">
        <v>318</v>
      </c>
      <c r="C102" t="s">
        <v>319</v>
      </c>
      <c r="D102" t="s">
        <v>167</v>
      </c>
      <c r="E102" t="s">
        <v>61</v>
      </c>
      <c r="F102">
        <f>ventas_libreria[[#This Row],[precio_eur]]/100</f>
        <v>1.89</v>
      </c>
      <c r="G102">
        <v>189</v>
      </c>
      <c r="H102">
        <v>1</v>
      </c>
      <c r="I102">
        <f>ventas_libreria[[#This Row],[precio]]*ventas_libreria[[#This Row],[cantidad]]</f>
        <v>1.89</v>
      </c>
      <c r="J102">
        <v>52</v>
      </c>
      <c r="K102" t="s">
        <v>30</v>
      </c>
      <c r="L102" s="1">
        <v>45609</v>
      </c>
      <c r="M102" t="s">
        <v>43</v>
      </c>
      <c r="N102" t="s">
        <v>32</v>
      </c>
      <c r="O102" t="s">
        <v>33</v>
      </c>
      <c r="P102" t="s">
        <v>24</v>
      </c>
      <c r="Q102">
        <v>5</v>
      </c>
      <c r="R102">
        <f>IF(ventas_libreria[[#This Row],[valoracion_cliente]]="","Sin valoración",ventas_libreria[[#This Row],[valoracion_cliente]])</f>
        <v>5</v>
      </c>
    </row>
    <row r="103" spans="1:18" x14ac:dyDescent="0.25">
      <c r="A103" t="s">
        <v>320</v>
      </c>
      <c r="B103" t="s">
        <v>16</v>
      </c>
      <c r="C103" t="s">
        <v>17</v>
      </c>
      <c r="D103" t="s">
        <v>18</v>
      </c>
      <c r="E103" t="s">
        <v>19</v>
      </c>
      <c r="F103">
        <f>ventas_libreria[[#This Row],[precio_eur]]/100</f>
        <v>1.49</v>
      </c>
      <c r="G103">
        <v>149</v>
      </c>
      <c r="H103">
        <v>3</v>
      </c>
      <c r="I103">
        <f>ventas_libreria[[#This Row],[precio]]*ventas_libreria[[#This Row],[cantidad]]</f>
        <v>4.47</v>
      </c>
      <c r="J103">
        <v>57</v>
      </c>
      <c r="K103" t="s">
        <v>62</v>
      </c>
      <c r="L103" s="1">
        <v>45795</v>
      </c>
      <c r="M103" t="s">
        <v>43</v>
      </c>
      <c r="N103" t="s">
        <v>32</v>
      </c>
      <c r="O103" t="s">
        <v>33</v>
      </c>
      <c r="P103" t="s">
        <v>24</v>
      </c>
      <c r="Q103">
        <v>4</v>
      </c>
      <c r="R103">
        <f>IF(ventas_libreria[[#This Row],[valoracion_cliente]]="","Sin valoración",ventas_libreria[[#This Row],[valoracion_cliente]])</f>
        <v>4</v>
      </c>
    </row>
    <row r="104" spans="1:18" x14ac:dyDescent="0.25">
      <c r="A104" t="s">
        <v>321</v>
      </c>
      <c r="B104" t="s">
        <v>276</v>
      </c>
      <c r="C104" t="s">
        <v>277</v>
      </c>
      <c r="D104" t="s">
        <v>278</v>
      </c>
      <c r="E104" t="s">
        <v>189</v>
      </c>
      <c r="F104">
        <f>ventas_libreria[[#This Row],[precio_eur]]/100</f>
        <v>1.79</v>
      </c>
      <c r="G104">
        <v>179</v>
      </c>
      <c r="H104">
        <v>1</v>
      </c>
      <c r="I104">
        <f>ventas_libreria[[#This Row],[precio]]*ventas_libreria[[#This Row],[cantidad]]</f>
        <v>1.79</v>
      </c>
      <c r="J104">
        <v>20</v>
      </c>
      <c r="K104" t="s">
        <v>62</v>
      </c>
      <c r="L104" s="1">
        <v>45205</v>
      </c>
      <c r="M104" t="s">
        <v>21</v>
      </c>
      <c r="N104" t="s">
        <v>32</v>
      </c>
      <c r="O104" t="s">
        <v>33</v>
      </c>
      <c r="P104" t="s">
        <v>50</v>
      </c>
      <c r="Q104">
        <v>4</v>
      </c>
      <c r="R104">
        <f>IF(ventas_libreria[[#This Row],[valoracion_cliente]]="","Sin valoración",ventas_libreria[[#This Row],[valoracion_cliente]])</f>
        <v>4</v>
      </c>
    </row>
    <row r="105" spans="1:18" x14ac:dyDescent="0.25">
      <c r="A105" t="s">
        <v>322</v>
      </c>
      <c r="B105" t="s">
        <v>197</v>
      </c>
      <c r="C105" t="s">
        <v>198</v>
      </c>
      <c r="D105" t="s">
        <v>199</v>
      </c>
      <c r="E105" t="s">
        <v>55</v>
      </c>
      <c r="F105">
        <f>ventas_libreria[[#This Row],[precio_eur]]/100</f>
        <v>1.4</v>
      </c>
      <c r="G105">
        <v>140</v>
      </c>
      <c r="H105">
        <v>1</v>
      </c>
      <c r="I105">
        <f>ventas_libreria[[#This Row],[precio]]*ventas_libreria[[#This Row],[cantidad]]</f>
        <v>1.4</v>
      </c>
      <c r="J105">
        <v>45</v>
      </c>
      <c r="K105" t="s">
        <v>62</v>
      </c>
      <c r="L105" s="1">
        <v>45568</v>
      </c>
      <c r="M105" t="s">
        <v>21</v>
      </c>
      <c r="N105" t="s">
        <v>32</v>
      </c>
      <c r="O105" t="s">
        <v>33</v>
      </c>
      <c r="P105" t="s">
        <v>56</v>
      </c>
      <c r="R105" t="str">
        <f>IF(ventas_libreria[[#This Row],[valoracion_cliente]]="","Sin valoración",ventas_libreria[[#This Row],[valoracion_cliente]])</f>
        <v>Sin valoración</v>
      </c>
    </row>
    <row r="106" spans="1:18" x14ac:dyDescent="0.25">
      <c r="A106" t="s">
        <v>323</v>
      </c>
      <c r="B106" t="s">
        <v>176</v>
      </c>
      <c r="C106" t="s">
        <v>177</v>
      </c>
      <c r="D106" t="s">
        <v>178</v>
      </c>
      <c r="E106" t="s">
        <v>179</v>
      </c>
      <c r="F106">
        <f>ventas_libreria[[#This Row],[precio_eur]]/100</f>
        <v>1.59</v>
      </c>
      <c r="G106">
        <v>159</v>
      </c>
      <c r="H106">
        <v>1</v>
      </c>
      <c r="I106">
        <f>ventas_libreria[[#This Row],[precio]]*ventas_libreria[[#This Row],[cantidad]]</f>
        <v>1.59</v>
      </c>
      <c r="J106">
        <v>54</v>
      </c>
      <c r="K106" t="s">
        <v>62</v>
      </c>
      <c r="L106" s="1">
        <v>45133</v>
      </c>
      <c r="M106" t="s">
        <v>43</v>
      </c>
      <c r="N106" t="s">
        <v>32</v>
      </c>
      <c r="O106" t="s">
        <v>33</v>
      </c>
      <c r="P106" t="s">
        <v>50</v>
      </c>
      <c r="Q106">
        <v>4</v>
      </c>
      <c r="R106">
        <f>IF(ventas_libreria[[#This Row],[valoracion_cliente]]="","Sin valoración",ventas_libreria[[#This Row],[valoracion_cliente]])</f>
        <v>4</v>
      </c>
    </row>
    <row r="107" spans="1:18" x14ac:dyDescent="0.25">
      <c r="A107" t="s">
        <v>324</v>
      </c>
      <c r="B107" t="s">
        <v>40</v>
      </c>
      <c r="C107" t="s">
        <v>41</v>
      </c>
      <c r="D107" t="s">
        <v>42</v>
      </c>
      <c r="E107" t="s">
        <v>19</v>
      </c>
      <c r="F107">
        <f>ventas_libreria[[#This Row],[precio_eur]]/100</f>
        <v>13.55</v>
      </c>
      <c r="G107">
        <v>1355</v>
      </c>
      <c r="H107">
        <v>1</v>
      </c>
      <c r="I107">
        <f>ventas_libreria[[#This Row],[precio]]*ventas_libreria[[#This Row],[cantidad]]</f>
        <v>13.55</v>
      </c>
      <c r="J107">
        <v>18</v>
      </c>
      <c r="K107" t="s">
        <v>38</v>
      </c>
      <c r="L107" s="1">
        <v>45128</v>
      </c>
      <c r="M107" t="s">
        <v>31</v>
      </c>
      <c r="N107" t="s">
        <v>32</v>
      </c>
      <c r="O107" t="s">
        <v>33</v>
      </c>
      <c r="P107" t="s">
        <v>56</v>
      </c>
      <c r="Q107">
        <v>5</v>
      </c>
      <c r="R107">
        <f>IF(ventas_libreria[[#This Row],[valoracion_cliente]]="","Sin valoración",ventas_libreria[[#This Row],[valoracion_cliente]])</f>
        <v>5</v>
      </c>
    </row>
    <row r="108" spans="1:18" x14ac:dyDescent="0.25">
      <c r="A108" t="s">
        <v>325</v>
      </c>
      <c r="B108" t="s">
        <v>74</v>
      </c>
      <c r="C108" t="s">
        <v>75</v>
      </c>
      <c r="D108" t="s">
        <v>76</v>
      </c>
      <c r="E108" t="s">
        <v>77</v>
      </c>
      <c r="F108">
        <f>ventas_libreria[[#This Row],[precio_eur]]/100</f>
        <v>17.489999999999998</v>
      </c>
      <c r="G108">
        <v>1749</v>
      </c>
      <c r="H108">
        <v>1</v>
      </c>
      <c r="I108">
        <f>ventas_libreria[[#This Row],[precio]]*ventas_libreria[[#This Row],[cantidad]]</f>
        <v>17.489999999999998</v>
      </c>
      <c r="J108">
        <v>9</v>
      </c>
      <c r="K108" t="s">
        <v>62</v>
      </c>
      <c r="L108" s="1">
        <v>45956</v>
      </c>
      <c r="M108" t="s">
        <v>31</v>
      </c>
      <c r="N108" t="s">
        <v>22</v>
      </c>
      <c r="O108" t="s">
        <v>49</v>
      </c>
      <c r="P108" t="s">
        <v>84</v>
      </c>
      <c r="Q108">
        <v>4</v>
      </c>
      <c r="R108">
        <f>IF(ventas_libreria[[#This Row],[valoracion_cliente]]="","Sin valoración",ventas_libreria[[#This Row],[valoracion_cliente]])</f>
        <v>4</v>
      </c>
    </row>
    <row r="109" spans="1:18" x14ac:dyDescent="0.25">
      <c r="A109" t="s">
        <v>326</v>
      </c>
      <c r="B109" t="s">
        <v>327</v>
      </c>
      <c r="C109" t="s">
        <v>328</v>
      </c>
      <c r="D109" t="s">
        <v>288</v>
      </c>
      <c r="E109" t="s">
        <v>289</v>
      </c>
      <c r="F109">
        <f>ventas_libreria[[#This Row],[precio_eur]]/100</f>
        <v>2.29</v>
      </c>
      <c r="G109">
        <v>229</v>
      </c>
      <c r="H109">
        <v>1</v>
      </c>
      <c r="I109">
        <f>ventas_libreria[[#This Row],[precio]]*ventas_libreria[[#This Row],[cantidad]]</f>
        <v>2.29</v>
      </c>
      <c r="J109">
        <v>40</v>
      </c>
      <c r="K109" t="s">
        <v>62</v>
      </c>
      <c r="L109" s="1">
        <v>45253</v>
      </c>
      <c r="M109" t="s">
        <v>31</v>
      </c>
      <c r="N109" t="s">
        <v>32</v>
      </c>
      <c r="O109" t="s">
        <v>33</v>
      </c>
      <c r="P109" t="s">
        <v>24</v>
      </c>
      <c r="Q109">
        <v>5</v>
      </c>
      <c r="R109">
        <f>IF(ventas_libreria[[#This Row],[valoracion_cliente]]="","Sin valoración",ventas_libreria[[#This Row],[valoracion_cliente]])</f>
        <v>5</v>
      </c>
    </row>
    <row r="110" spans="1:18" x14ac:dyDescent="0.25">
      <c r="A110" t="s">
        <v>329</v>
      </c>
      <c r="B110" t="s">
        <v>260</v>
      </c>
      <c r="C110" t="s">
        <v>261</v>
      </c>
      <c r="D110" t="s">
        <v>262</v>
      </c>
      <c r="E110" t="s">
        <v>263</v>
      </c>
      <c r="F110">
        <f>ventas_libreria[[#This Row],[precio_eur]]/100</f>
        <v>2.19</v>
      </c>
      <c r="G110">
        <v>219</v>
      </c>
      <c r="H110">
        <v>2</v>
      </c>
      <c r="I110">
        <f>ventas_libreria[[#This Row],[precio]]*ventas_libreria[[#This Row],[cantidad]]</f>
        <v>4.38</v>
      </c>
      <c r="J110">
        <v>64</v>
      </c>
      <c r="K110" t="s">
        <v>38</v>
      </c>
      <c r="L110" s="1">
        <v>46019</v>
      </c>
      <c r="M110" t="s">
        <v>21</v>
      </c>
      <c r="N110" t="s">
        <v>22</v>
      </c>
      <c r="O110" t="s">
        <v>132</v>
      </c>
      <c r="P110" t="s">
        <v>56</v>
      </c>
      <c r="R110" t="str">
        <f>IF(ventas_libreria[[#This Row],[valoracion_cliente]]="","Sin valoración",ventas_libreria[[#This Row],[valoracion_cliente]])</f>
        <v>Sin valoración</v>
      </c>
    </row>
    <row r="111" spans="1:18" x14ac:dyDescent="0.25">
      <c r="A111" t="s">
        <v>330</v>
      </c>
      <c r="B111" t="s">
        <v>74</v>
      </c>
      <c r="C111" t="s">
        <v>75</v>
      </c>
      <c r="D111" t="s">
        <v>76</v>
      </c>
      <c r="E111" t="s">
        <v>77</v>
      </c>
      <c r="F111">
        <f>ventas_libreria[[#This Row],[precio_eur]]/100</f>
        <v>1.59</v>
      </c>
      <c r="G111">
        <v>159</v>
      </c>
      <c r="H111">
        <v>1</v>
      </c>
      <c r="I111">
        <f>ventas_libreria[[#This Row],[precio]]*ventas_libreria[[#This Row],[cantidad]]</f>
        <v>1.59</v>
      </c>
      <c r="J111">
        <v>11</v>
      </c>
      <c r="K111" t="s">
        <v>62</v>
      </c>
      <c r="L111" s="1">
        <v>44972</v>
      </c>
      <c r="M111" t="s">
        <v>31</v>
      </c>
      <c r="N111" t="s">
        <v>32</v>
      </c>
      <c r="O111" t="s">
        <v>33</v>
      </c>
      <c r="P111" t="s">
        <v>34</v>
      </c>
      <c r="R111" t="str">
        <f>IF(ventas_libreria[[#This Row],[valoracion_cliente]]="","Sin valoración",ventas_libreria[[#This Row],[valoracion_cliente]])</f>
        <v>Sin valoración</v>
      </c>
    </row>
    <row r="112" spans="1:18" x14ac:dyDescent="0.25">
      <c r="A112" t="s">
        <v>331</v>
      </c>
      <c r="B112" t="s">
        <v>332</v>
      </c>
      <c r="C112" t="s">
        <v>333</v>
      </c>
      <c r="D112" t="s">
        <v>334</v>
      </c>
      <c r="E112" t="s">
        <v>116</v>
      </c>
      <c r="F112">
        <f>ventas_libreria[[#This Row],[precio_eur]]/100</f>
        <v>1.69</v>
      </c>
      <c r="G112">
        <v>169</v>
      </c>
      <c r="H112">
        <v>1</v>
      </c>
      <c r="I112">
        <f>ventas_libreria[[#This Row],[precio]]*ventas_libreria[[#This Row],[cantidad]]</f>
        <v>1.69</v>
      </c>
      <c r="J112">
        <v>61</v>
      </c>
      <c r="K112" t="s">
        <v>20</v>
      </c>
      <c r="L112" s="1">
        <v>44945</v>
      </c>
      <c r="M112" t="s">
        <v>21</v>
      </c>
      <c r="N112" t="s">
        <v>32</v>
      </c>
      <c r="O112" t="s">
        <v>33</v>
      </c>
      <c r="P112" t="s">
        <v>24</v>
      </c>
      <c r="Q112">
        <v>5</v>
      </c>
      <c r="R112">
        <f>IF(ventas_libreria[[#This Row],[valoracion_cliente]]="","Sin valoración",ventas_libreria[[#This Row],[valoracion_cliente]])</f>
        <v>5</v>
      </c>
    </row>
    <row r="113" spans="1:18" x14ac:dyDescent="0.25">
      <c r="A113" t="s">
        <v>335</v>
      </c>
      <c r="B113" t="s">
        <v>160</v>
      </c>
      <c r="C113" t="s">
        <v>161</v>
      </c>
      <c r="D113" t="s">
        <v>162</v>
      </c>
      <c r="E113" t="s">
        <v>29</v>
      </c>
      <c r="F113">
        <f>ventas_libreria[[#This Row],[precio_eur]]/100</f>
        <v>13.52</v>
      </c>
      <c r="G113">
        <v>1352</v>
      </c>
      <c r="H113">
        <v>2</v>
      </c>
      <c r="I113">
        <f>ventas_libreria[[#This Row],[precio]]*ventas_libreria[[#This Row],[cantidad]]</f>
        <v>27.04</v>
      </c>
      <c r="J113">
        <v>55</v>
      </c>
      <c r="K113" t="s">
        <v>20</v>
      </c>
      <c r="L113" s="1">
        <v>45375</v>
      </c>
      <c r="M113" t="s">
        <v>43</v>
      </c>
      <c r="N113" t="s">
        <v>32</v>
      </c>
      <c r="O113" t="s">
        <v>33</v>
      </c>
      <c r="P113" t="s">
        <v>50</v>
      </c>
      <c r="Q113">
        <v>5</v>
      </c>
      <c r="R113">
        <f>IF(ventas_libreria[[#This Row],[valoracion_cliente]]="","Sin valoración",ventas_libreria[[#This Row],[valoracion_cliente]])</f>
        <v>5</v>
      </c>
    </row>
    <row r="114" spans="1:18" x14ac:dyDescent="0.25">
      <c r="A114" t="s">
        <v>336</v>
      </c>
      <c r="B114" t="s">
        <v>141</v>
      </c>
      <c r="C114" t="s">
        <v>142</v>
      </c>
      <c r="D114" t="s">
        <v>143</v>
      </c>
      <c r="E114" t="s">
        <v>116</v>
      </c>
      <c r="F114">
        <f>ventas_libreria[[#This Row],[precio_eur]]/100</f>
        <v>15.65</v>
      </c>
      <c r="G114">
        <v>1565</v>
      </c>
      <c r="H114">
        <v>3</v>
      </c>
      <c r="I114">
        <f>ventas_libreria[[#This Row],[precio]]*ventas_libreria[[#This Row],[cantidad]]</f>
        <v>46.95</v>
      </c>
      <c r="J114">
        <v>73</v>
      </c>
      <c r="K114" t="s">
        <v>62</v>
      </c>
      <c r="L114" s="1">
        <v>45204</v>
      </c>
      <c r="M114" t="s">
        <v>21</v>
      </c>
      <c r="N114" t="s">
        <v>32</v>
      </c>
      <c r="O114" t="s">
        <v>33</v>
      </c>
      <c r="P114" t="s">
        <v>50</v>
      </c>
      <c r="Q114">
        <v>5</v>
      </c>
      <c r="R114">
        <f>IF(ventas_libreria[[#This Row],[valoracion_cliente]]="","Sin valoración",ventas_libreria[[#This Row],[valoracion_cliente]])</f>
        <v>5</v>
      </c>
    </row>
    <row r="115" spans="1:18" x14ac:dyDescent="0.25">
      <c r="A115" t="s">
        <v>337</v>
      </c>
      <c r="B115" t="s">
        <v>338</v>
      </c>
      <c r="C115" t="s">
        <v>339</v>
      </c>
      <c r="D115" t="s">
        <v>167</v>
      </c>
      <c r="E115" t="s">
        <v>61</v>
      </c>
      <c r="F115">
        <f>ventas_libreria[[#This Row],[precio_eur]]/100</f>
        <v>18.32</v>
      </c>
      <c r="G115">
        <v>1832</v>
      </c>
      <c r="H115">
        <v>2</v>
      </c>
      <c r="I115">
        <f>ventas_libreria[[#This Row],[precio]]*ventas_libreria[[#This Row],[cantidad]]</f>
        <v>36.64</v>
      </c>
      <c r="J115">
        <v>38</v>
      </c>
      <c r="K115" t="s">
        <v>20</v>
      </c>
      <c r="L115" s="1">
        <v>45478</v>
      </c>
      <c r="M115" t="s">
        <v>21</v>
      </c>
      <c r="N115" t="s">
        <v>22</v>
      </c>
      <c r="O115" t="s">
        <v>49</v>
      </c>
      <c r="P115" t="s">
        <v>50</v>
      </c>
      <c r="Q115">
        <v>4</v>
      </c>
      <c r="R115">
        <f>IF(ventas_libreria[[#This Row],[valoracion_cliente]]="","Sin valoración",ventas_libreria[[#This Row],[valoracion_cliente]])</f>
        <v>4</v>
      </c>
    </row>
    <row r="116" spans="1:18" x14ac:dyDescent="0.25">
      <c r="A116" t="s">
        <v>340</v>
      </c>
      <c r="B116" t="s">
        <v>291</v>
      </c>
      <c r="C116" t="s">
        <v>292</v>
      </c>
      <c r="D116" t="s">
        <v>76</v>
      </c>
      <c r="E116" t="s">
        <v>77</v>
      </c>
      <c r="F116">
        <f>ventas_libreria[[#This Row],[precio_eur]]/100</f>
        <v>0.99</v>
      </c>
      <c r="G116">
        <v>99</v>
      </c>
      <c r="H116">
        <v>1</v>
      </c>
      <c r="I116">
        <f>ventas_libreria[[#This Row],[precio]]*ventas_libreria[[#This Row],[cantidad]]</f>
        <v>0.99</v>
      </c>
      <c r="J116">
        <v>5</v>
      </c>
      <c r="K116" t="s">
        <v>30</v>
      </c>
      <c r="L116" s="1">
        <v>45487</v>
      </c>
      <c r="M116" t="s">
        <v>31</v>
      </c>
      <c r="N116" t="s">
        <v>32</v>
      </c>
      <c r="O116" t="s">
        <v>33</v>
      </c>
      <c r="P116" t="s">
        <v>50</v>
      </c>
      <c r="Q116">
        <v>5</v>
      </c>
      <c r="R116">
        <f>IF(ventas_libreria[[#This Row],[valoracion_cliente]]="","Sin valoración",ventas_libreria[[#This Row],[valoracion_cliente]])</f>
        <v>5</v>
      </c>
    </row>
    <row r="117" spans="1:18" x14ac:dyDescent="0.25">
      <c r="A117" t="s">
        <v>341</v>
      </c>
      <c r="B117" t="s">
        <v>118</v>
      </c>
      <c r="C117" t="s">
        <v>119</v>
      </c>
      <c r="D117" t="s">
        <v>47</v>
      </c>
      <c r="E117" t="s">
        <v>48</v>
      </c>
      <c r="F117">
        <f>ventas_libreria[[#This Row],[precio_eur]]/100</f>
        <v>1.59</v>
      </c>
      <c r="G117">
        <v>159</v>
      </c>
      <c r="H117">
        <v>2</v>
      </c>
      <c r="I117">
        <f>ventas_libreria[[#This Row],[precio]]*ventas_libreria[[#This Row],[cantidad]]</f>
        <v>3.18</v>
      </c>
      <c r="J117">
        <v>30</v>
      </c>
      <c r="K117" t="s">
        <v>62</v>
      </c>
      <c r="L117" s="1">
        <v>44965</v>
      </c>
      <c r="M117" t="s">
        <v>21</v>
      </c>
      <c r="N117" t="s">
        <v>22</v>
      </c>
      <c r="O117" t="s">
        <v>132</v>
      </c>
      <c r="P117" t="s">
        <v>34</v>
      </c>
      <c r="Q117">
        <v>4</v>
      </c>
      <c r="R117">
        <f>IF(ventas_libreria[[#This Row],[valoracion_cliente]]="","Sin valoración",ventas_libreria[[#This Row],[valoracion_cliente]])</f>
        <v>4</v>
      </c>
    </row>
    <row r="118" spans="1:18" x14ac:dyDescent="0.25">
      <c r="A118" t="s">
        <v>342</v>
      </c>
      <c r="B118" t="s">
        <v>156</v>
      </c>
      <c r="C118" t="s">
        <v>157</v>
      </c>
      <c r="D118" t="s">
        <v>158</v>
      </c>
      <c r="E118" t="s">
        <v>149</v>
      </c>
      <c r="F118">
        <f>ventas_libreria[[#This Row],[precio_eur]]/100</f>
        <v>1.89</v>
      </c>
      <c r="G118">
        <v>189</v>
      </c>
      <c r="H118">
        <v>1</v>
      </c>
      <c r="I118">
        <f>ventas_libreria[[#This Row],[precio]]*ventas_libreria[[#This Row],[cantidad]]</f>
        <v>1.89</v>
      </c>
      <c r="J118">
        <v>36</v>
      </c>
      <c r="K118" t="s">
        <v>20</v>
      </c>
      <c r="L118" s="1">
        <v>45013</v>
      </c>
      <c r="M118" t="s">
        <v>21</v>
      </c>
      <c r="N118" t="s">
        <v>22</v>
      </c>
      <c r="O118" t="s">
        <v>23</v>
      </c>
      <c r="P118" t="s">
        <v>84</v>
      </c>
      <c r="Q118">
        <v>5</v>
      </c>
      <c r="R118">
        <f>IF(ventas_libreria[[#This Row],[valoracion_cliente]]="","Sin valoración",ventas_libreria[[#This Row],[valoracion_cliente]])</f>
        <v>5</v>
      </c>
    </row>
    <row r="119" spans="1:18" x14ac:dyDescent="0.25">
      <c r="A119" t="s">
        <v>343</v>
      </c>
      <c r="B119" t="s">
        <v>26</v>
      </c>
      <c r="C119" t="s">
        <v>27</v>
      </c>
      <c r="D119" t="s">
        <v>28</v>
      </c>
      <c r="E119" t="s">
        <v>29</v>
      </c>
      <c r="F119">
        <f>ventas_libreria[[#This Row],[precio_eur]]/100</f>
        <v>19.84</v>
      </c>
      <c r="G119">
        <v>1984</v>
      </c>
      <c r="H119">
        <v>1</v>
      </c>
      <c r="I119">
        <f>ventas_libreria[[#This Row],[precio]]*ventas_libreria[[#This Row],[cantidad]]</f>
        <v>19.84</v>
      </c>
      <c r="J119">
        <v>43</v>
      </c>
      <c r="K119" t="s">
        <v>62</v>
      </c>
      <c r="L119" s="1">
        <v>45767</v>
      </c>
      <c r="M119" t="s">
        <v>21</v>
      </c>
      <c r="N119" t="s">
        <v>22</v>
      </c>
      <c r="O119" t="s">
        <v>67</v>
      </c>
      <c r="P119" t="s">
        <v>56</v>
      </c>
      <c r="Q119">
        <v>5</v>
      </c>
      <c r="R119">
        <f>IF(ventas_libreria[[#This Row],[valoracion_cliente]]="","Sin valoración",ventas_libreria[[#This Row],[valoracion_cliente]])</f>
        <v>5</v>
      </c>
    </row>
    <row r="120" spans="1:18" x14ac:dyDescent="0.25">
      <c r="A120" t="s">
        <v>344</v>
      </c>
      <c r="B120" t="s">
        <v>104</v>
      </c>
      <c r="C120" t="s">
        <v>105</v>
      </c>
      <c r="D120" t="s">
        <v>106</v>
      </c>
      <c r="E120" t="s">
        <v>107</v>
      </c>
      <c r="F120">
        <f>ventas_libreria[[#This Row],[precio_eur]]/100</f>
        <v>1.49</v>
      </c>
      <c r="G120">
        <v>149</v>
      </c>
      <c r="H120">
        <v>2</v>
      </c>
      <c r="I120">
        <f>ventas_libreria[[#This Row],[precio]]*ventas_libreria[[#This Row],[cantidad]]</f>
        <v>2.98</v>
      </c>
      <c r="J120">
        <v>20</v>
      </c>
      <c r="K120" t="s">
        <v>62</v>
      </c>
      <c r="L120" s="1">
        <v>45532</v>
      </c>
      <c r="M120" t="s">
        <v>21</v>
      </c>
      <c r="N120" t="s">
        <v>32</v>
      </c>
      <c r="O120" t="s">
        <v>33</v>
      </c>
      <c r="P120" t="s">
        <v>50</v>
      </c>
      <c r="Q120">
        <v>5</v>
      </c>
      <c r="R120">
        <f>IF(ventas_libreria[[#This Row],[valoracion_cliente]]="","Sin valoración",ventas_libreria[[#This Row],[valoracion_cliente]])</f>
        <v>5</v>
      </c>
    </row>
    <row r="121" spans="1:18" x14ac:dyDescent="0.25">
      <c r="A121" t="s">
        <v>345</v>
      </c>
      <c r="B121" t="s">
        <v>69</v>
      </c>
      <c r="C121" t="s">
        <v>70</v>
      </c>
      <c r="D121" t="s">
        <v>71</v>
      </c>
      <c r="E121" t="s">
        <v>72</v>
      </c>
      <c r="F121">
        <f>ventas_libreria[[#This Row],[precio_eur]]/100</f>
        <v>17.75</v>
      </c>
      <c r="G121">
        <v>1775</v>
      </c>
      <c r="H121">
        <v>1</v>
      </c>
      <c r="I121">
        <f>ventas_libreria[[#This Row],[precio]]*ventas_libreria[[#This Row],[cantidad]]</f>
        <v>17.75</v>
      </c>
      <c r="J121">
        <v>32</v>
      </c>
      <c r="K121" t="s">
        <v>62</v>
      </c>
      <c r="L121" s="1">
        <v>45436</v>
      </c>
      <c r="M121" t="s">
        <v>43</v>
      </c>
      <c r="N121" t="s">
        <v>32</v>
      </c>
      <c r="O121" t="s">
        <v>33</v>
      </c>
      <c r="P121" t="s">
        <v>84</v>
      </c>
      <c r="Q121">
        <v>4</v>
      </c>
      <c r="R121">
        <f>IF(ventas_libreria[[#This Row],[valoracion_cliente]]="","Sin valoración",ventas_libreria[[#This Row],[valoracion_cliente]])</f>
        <v>4</v>
      </c>
    </row>
    <row r="122" spans="1:18" x14ac:dyDescent="0.25">
      <c r="A122" t="s">
        <v>346</v>
      </c>
      <c r="B122" t="s">
        <v>36</v>
      </c>
      <c r="C122" t="s">
        <v>37</v>
      </c>
      <c r="D122" t="s">
        <v>28</v>
      </c>
      <c r="E122" t="s">
        <v>29</v>
      </c>
      <c r="F122">
        <f>ventas_libreria[[#This Row],[precio_eur]]/100</f>
        <v>1.89</v>
      </c>
      <c r="G122">
        <v>189</v>
      </c>
      <c r="H122">
        <v>1</v>
      </c>
      <c r="I122">
        <f>ventas_libreria[[#This Row],[precio]]*ventas_libreria[[#This Row],[cantidad]]</f>
        <v>1.89</v>
      </c>
      <c r="J122">
        <v>70</v>
      </c>
      <c r="K122" t="s">
        <v>62</v>
      </c>
      <c r="L122" s="1">
        <v>45076</v>
      </c>
      <c r="M122" t="s">
        <v>21</v>
      </c>
      <c r="N122" t="s">
        <v>32</v>
      </c>
      <c r="O122" t="s">
        <v>33</v>
      </c>
      <c r="P122" t="s">
        <v>24</v>
      </c>
      <c r="Q122">
        <v>5</v>
      </c>
      <c r="R122">
        <f>IF(ventas_libreria[[#This Row],[valoracion_cliente]]="","Sin valoración",ventas_libreria[[#This Row],[valoracion_cliente]])</f>
        <v>5</v>
      </c>
    </row>
    <row r="123" spans="1:18" x14ac:dyDescent="0.25">
      <c r="A123" t="s">
        <v>347</v>
      </c>
      <c r="B123" t="s">
        <v>348</v>
      </c>
      <c r="C123" t="s">
        <v>349</v>
      </c>
      <c r="D123" t="s">
        <v>350</v>
      </c>
      <c r="E123" t="s">
        <v>116</v>
      </c>
      <c r="F123">
        <f>ventas_libreria[[#This Row],[precio_eur]]/100</f>
        <v>1.99</v>
      </c>
      <c r="G123">
        <v>199</v>
      </c>
      <c r="H123">
        <v>1</v>
      </c>
      <c r="I123">
        <f>ventas_libreria[[#This Row],[precio]]*ventas_libreria[[#This Row],[cantidad]]</f>
        <v>1.99</v>
      </c>
      <c r="J123">
        <v>17</v>
      </c>
      <c r="K123" t="s">
        <v>30</v>
      </c>
      <c r="L123" s="1">
        <v>45519</v>
      </c>
      <c r="M123" t="s">
        <v>21</v>
      </c>
      <c r="N123" t="s">
        <v>32</v>
      </c>
      <c r="O123" t="s">
        <v>33</v>
      </c>
      <c r="P123" t="s">
        <v>56</v>
      </c>
      <c r="Q123">
        <v>4</v>
      </c>
      <c r="R123">
        <f>IF(ventas_libreria[[#This Row],[valoracion_cliente]]="","Sin valoración",ventas_libreria[[#This Row],[valoracion_cliente]])</f>
        <v>4</v>
      </c>
    </row>
    <row r="124" spans="1:18" x14ac:dyDescent="0.25">
      <c r="A124" t="s">
        <v>351</v>
      </c>
      <c r="B124" t="s">
        <v>36</v>
      </c>
      <c r="C124" t="s">
        <v>37</v>
      </c>
      <c r="D124" t="s">
        <v>28</v>
      </c>
      <c r="E124" t="s">
        <v>29</v>
      </c>
      <c r="F124">
        <f>ventas_libreria[[#This Row],[precio_eur]]/100</f>
        <v>1.89</v>
      </c>
      <c r="G124">
        <v>189</v>
      </c>
      <c r="H124">
        <v>1</v>
      </c>
      <c r="I124">
        <f>ventas_libreria[[#This Row],[precio]]*ventas_libreria[[#This Row],[cantidad]]</f>
        <v>1.89</v>
      </c>
      <c r="J124">
        <v>17</v>
      </c>
      <c r="K124" t="s">
        <v>62</v>
      </c>
      <c r="L124" s="1">
        <v>45369</v>
      </c>
      <c r="M124" t="s">
        <v>31</v>
      </c>
      <c r="N124" t="s">
        <v>32</v>
      </c>
      <c r="O124" t="s">
        <v>33</v>
      </c>
      <c r="P124" t="s">
        <v>24</v>
      </c>
      <c r="Q124">
        <v>3</v>
      </c>
      <c r="R124">
        <f>IF(ventas_libreria[[#This Row],[valoracion_cliente]]="","Sin valoración",ventas_libreria[[#This Row],[valoracion_cliente]])</f>
        <v>3</v>
      </c>
    </row>
    <row r="125" spans="1:18" x14ac:dyDescent="0.25">
      <c r="A125" t="s">
        <v>352</v>
      </c>
      <c r="B125" t="s">
        <v>353</v>
      </c>
      <c r="C125" t="s">
        <v>354</v>
      </c>
      <c r="D125" t="s">
        <v>226</v>
      </c>
      <c r="E125" t="s">
        <v>116</v>
      </c>
      <c r="F125">
        <f>ventas_libreria[[#This Row],[precio_eur]]/100</f>
        <v>18.59</v>
      </c>
      <c r="G125">
        <v>1859</v>
      </c>
      <c r="H125">
        <v>1</v>
      </c>
      <c r="I125">
        <f>ventas_libreria[[#This Row],[precio]]*ventas_libreria[[#This Row],[cantidad]]</f>
        <v>18.59</v>
      </c>
      <c r="J125">
        <v>18</v>
      </c>
      <c r="K125" t="s">
        <v>62</v>
      </c>
      <c r="L125" s="1">
        <v>45673</v>
      </c>
      <c r="M125" t="s">
        <v>43</v>
      </c>
      <c r="N125" t="s">
        <v>32</v>
      </c>
      <c r="O125" t="s">
        <v>33</v>
      </c>
      <c r="P125" t="s">
        <v>50</v>
      </c>
      <c r="Q125">
        <v>5</v>
      </c>
      <c r="R125">
        <f>IF(ventas_libreria[[#This Row],[valoracion_cliente]]="","Sin valoración",ventas_libreria[[#This Row],[valoracion_cliente]])</f>
        <v>5</v>
      </c>
    </row>
    <row r="126" spans="1:18" x14ac:dyDescent="0.25">
      <c r="A126" t="s">
        <v>355</v>
      </c>
      <c r="B126" t="s">
        <v>118</v>
      </c>
      <c r="C126" t="s">
        <v>119</v>
      </c>
      <c r="D126" t="s">
        <v>47</v>
      </c>
      <c r="E126" t="s">
        <v>48</v>
      </c>
      <c r="F126">
        <f>ventas_libreria[[#This Row],[precio_eur]]/100</f>
        <v>13.52</v>
      </c>
      <c r="G126">
        <v>1352</v>
      </c>
      <c r="H126">
        <v>1</v>
      </c>
      <c r="I126">
        <f>ventas_libreria[[#This Row],[precio]]*ventas_libreria[[#This Row],[cantidad]]</f>
        <v>13.52</v>
      </c>
      <c r="J126">
        <v>68</v>
      </c>
      <c r="K126" t="s">
        <v>62</v>
      </c>
      <c r="L126" s="1">
        <v>45248</v>
      </c>
      <c r="M126" t="s">
        <v>43</v>
      </c>
      <c r="N126" t="s">
        <v>32</v>
      </c>
      <c r="O126" t="s">
        <v>33</v>
      </c>
      <c r="P126" t="s">
        <v>34</v>
      </c>
      <c r="Q126">
        <v>5</v>
      </c>
      <c r="R126">
        <f>IF(ventas_libreria[[#This Row],[valoracion_cliente]]="","Sin valoración",ventas_libreria[[#This Row],[valoracion_cliente]])</f>
        <v>5</v>
      </c>
    </row>
    <row r="127" spans="1:18" x14ac:dyDescent="0.25">
      <c r="A127" t="s">
        <v>356</v>
      </c>
      <c r="B127" t="s">
        <v>169</v>
      </c>
      <c r="C127" t="s">
        <v>170</v>
      </c>
      <c r="D127" t="s">
        <v>171</v>
      </c>
      <c r="E127" t="s">
        <v>172</v>
      </c>
      <c r="F127">
        <f>ventas_libreria[[#This Row],[precio_eur]]/100</f>
        <v>24.04</v>
      </c>
      <c r="G127">
        <v>2404</v>
      </c>
      <c r="H127">
        <v>1</v>
      </c>
      <c r="I127">
        <f>ventas_libreria[[#This Row],[precio]]*ventas_libreria[[#This Row],[cantidad]]</f>
        <v>24.04</v>
      </c>
      <c r="J127">
        <v>56</v>
      </c>
      <c r="K127" t="s">
        <v>30</v>
      </c>
      <c r="L127" s="1">
        <v>45406</v>
      </c>
      <c r="M127" t="s">
        <v>31</v>
      </c>
      <c r="N127" t="s">
        <v>32</v>
      </c>
      <c r="O127" t="s">
        <v>33</v>
      </c>
      <c r="P127" t="s">
        <v>24</v>
      </c>
      <c r="Q127">
        <v>4</v>
      </c>
      <c r="R127">
        <f>IF(ventas_libreria[[#This Row],[valoracion_cliente]]="","Sin valoración",ventas_libreria[[#This Row],[valoracion_cliente]])</f>
        <v>4</v>
      </c>
    </row>
    <row r="128" spans="1:18" x14ac:dyDescent="0.25">
      <c r="A128" t="s">
        <v>357</v>
      </c>
      <c r="B128" t="s">
        <v>52</v>
      </c>
      <c r="C128" t="s">
        <v>53</v>
      </c>
      <c r="D128" t="s">
        <v>54</v>
      </c>
      <c r="E128" t="s">
        <v>55</v>
      </c>
      <c r="F128">
        <f>ventas_libreria[[#This Row],[precio_eur]]/100</f>
        <v>13.75</v>
      </c>
      <c r="G128">
        <v>1375</v>
      </c>
      <c r="H128">
        <v>2</v>
      </c>
      <c r="I128">
        <f>ventas_libreria[[#This Row],[precio]]*ventas_libreria[[#This Row],[cantidad]]</f>
        <v>27.5</v>
      </c>
      <c r="J128">
        <v>23</v>
      </c>
      <c r="K128" t="s">
        <v>30</v>
      </c>
      <c r="L128" s="1">
        <v>45065</v>
      </c>
      <c r="M128" t="s">
        <v>31</v>
      </c>
      <c r="N128" t="s">
        <v>22</v>
      </c>
      <c r="O128" t="s">
        <v>49</v>
      </c>
      <c r="P128" t="s">
        <v>56</v>
      </c>
      <c r="Q128">
        <v>4</v>
      </c>
      <c r="R128">
        <f>IF(ventas_libreria[[#This Row],[valoracion_cliente]]="","Sin valoración",ventas_libreria[[#This Row],[valoracion_cliente]])</f>
        <v>4</v>
      </c>
    </row>
    <row r="129" spans="1:18" x14ac:dyDescent="0.25">
      <c r="A129" t="s">
        <v>358</v>
      </c>
      <c r="B129" t="s">
        <v>228</v>
      </c>
      <c r="C129" t="s">
        <v>229</v>
      </c>
      <c r="D129" t="s">
        <v>206</v>
      </c>
      <c r="E129" t="s">
        <v>116</v>
      </c>
      <c r="F129">
        <f>ventas_libreria[[#This Row],[precio_eur]]/100</f>
        <v>15.12</v>
      </c>
      <c r="G129">
        <v>1512</v>
      </c>
      <c r="H129">
        <v>3</v>
      </c>
      <c r="I129">
        <f>ventas_libreria[[#This Row],[precio]]*ventas_libreria[[#This Row],[cantidad]]</f>
        <v>45.36</v>
      </c>
      <c r="J129">
        <v>73</v>
      </c>
      <c r="K129" t="s">
        <v>62</v>
      </c>
      <c r="L129" s="1">
        <v>45501</v>
      </c>
      <c r="M129" t="s">
        <v>21</v>
      </c>
      <c r="N129" t="s">
        <v>32</v>
      </c>
      <c r="O129" t="s">
        <v>33</v>
      </c>
      <c r="P129" t="s">
        <v>50</v>
      </c>
      <c r="Q129">
        <v>5</v>
      </c>
      <c r="R129">
        <f>IF(ventas_libreria[[#This Row],[valoracion_cliente]]="","Sin valoración",ventas_libreria[[#This Row],[valoracion_cliente]])</f>
        <v>5</v>
      </c>
    </row>
    <row r="130" spans="1:18" x14ac:dyDescent="0.25">
      <c r="A130" t="s">
        <v>359</v>
      </c>
      <c r="B130" t="s">
        <v>254</v>
      </c>
      <c r="C130" t="s">
        <v>255</v>
      </c>
      <c r="D130" t="s">
        <v>139</v>
      </c>
      <c r="E130" t="s">
        <v>116</v>
      </c>
      <c r="F130">
        <f>ventas_libreria[[#This Row],[precio_eur]]/100</f>
        <v>13.41</v>
      </c>
      <c r="G130">
        <v>1341</v>
      </c>
      <c r="H130">
        <v>2</v>
      </c>
      <c r="I130">
        <f>ventas_libreria[[#This Row],[precio]]*ventas_libreria[[#This Row],[cantidad]]</f>
        <v>26.82</v>
      </c>
      <c r="J130">
        <v>21</v>
      </c>
      <c r="K130" t="s">
        <v>38</v>
      </c>
      <c r="L130" s="1">
        <v>45124</v>
      </c>
      <c r="M130" t="s">
        <v>21</v>
      </c>
      <c r="N130" t="s">
        <v>22</v>
      </c>
      <c r="O130" t="s">
        <v>23</v>
      </c>
      <c r="P130" t="s">
        <v>34</v>
      </c>
      <c r="Q130">
        <v>5</v>
      </c>
      <c r="R130">
        <f>IF(ventas_libreria[[#This Row],[valoracion_cliente]]="","Sin valoración",ventas_libreria[[#This Row],[valoracion_cliente]])</f>
        <v>5</v>
      </c>
    </row>
    <row r="131" spans="1:18" x14ac:dyDescent="0.25">
      <c r="A131" t="s">
        <v>360</v>
      </c>
      <c r="B131" t="s">
        <v>301</v>
      </c>
      <c r="C131" t="s">
        <v>302</v>
      </c>
      <c r="D131" t="s">
        <v>245</v>
      </c>
      <c r="E131" t="s">
        <v>48</v>
      </c>
      <c r="F131">
        <f>ventas_libreria[[#This Row],[precio_eur]]/100</f>
        <v>27.39</v>
      </c>
      <c r="G131">
        <v>2739</v>
      </c>
      <c r="H131">
        <v>1</v>
      </c>
      <c r="I131">
        <f>ventas_libreria[[#This Row],[precio]]*ventas_libreria[[#This Row],[cantidad]]</f>
        <v>27.39</v>
      </c>
      <c r="J131">
        <v>27</v>
      </c>
      <c r="K131" t="s">
        <v>30</v>
      </c>
      <c r="L131" s="1">
        <v>45492</v>
      </c>
      <c r="M131" t="s">
        <v>21</v>
      </c>
      <c r="N131" t="s">
        <v>32</v>
      </c>
      <c r="O131" t="s">
        <v>33</v>
      </c>
      <c r="P131" t="s">
        <v>56</v>
      </c>
      <c r="Q131">
        <v>3</v>
      </c>
      <c r="R131">
        <f>IF(ventas_libreria[[#This Row],[valoracion_cliente]]="","Sin valoración",ventas_libreria[[#This Row],[valoracion_cliente]])</f>
        <v>3</v>
      </c>
    </row>
    <row r="132" spans="1:18" x14ac:dyDescent="0.25">
      <c r="A132" t="s">
        <v>361</v>
      </c>
      <c r="B132" t="s">
        <v>362</v>
      </c>
      <c r="C132" t="s">
        <v>363</v>
      </c>
      <c r="D132" t="s">
        <v>249</v>
      </c>
      <c r="E132" t="s">
        <v>172</v>
      </c>
      <c r="F132">
        <f>ventas_libreria[[#This Row],[precio_eur]]/100</f>
        <v>1.52</v>
      </c>
      <c r="G132">
        <v>152</v>
      </c>
      <c r="H132">
        <v>1</v>
      </c>
      <c r="I132">
        <f>ventas_libreria[[#This Row],[precio]]*ventas_libreria[[#This Row],[cantidad]]</f>
        <v>1.52</v>
      </c>
      <c r="J132">
        <v>28</v>
      </c>
      <c r="K132" t="s">
        <v>20</v>
      </c>
      <c r="L132" s="1">
        <v>45908</v>
      </c>
      <c r="M132" t="s">
        <v>21</v>
      </c>
      <c r="N132" t="s">
        <v>22</v>
      </c>
      <c r="O132" t="s">
        <v>67</v>
      </c>
      <c r="P132" t="s">
        <v>24</v>
      </c>
      <c r="Q132">
        <v>3</v>
      </c>
      <c r="R132">
        <f>IF(ventas_libreria[[#This Row],[valoracion_cliente]]="","Sin valoración",ventas_libreria[[#This Row],[valoracion_cliente]])</f>
        <v>3</v>
      </c>
    </row>
    <row r="133" spans="1:18" x14ac:dyDescent="0.25">
      <c r="A133" t="s">
        <v>364</v>
      </c>
      <c r="B133" t="s">
        <v>365</v>
      </c>
      <c r="C133" t="s">
        <v>366</v>
      </c>
      <c r="D133" t="s">
        <v>367</v>
      </c>
      <c r="E133" t="s">
        <v>19</v>
      </c>
      <c r="F133">
        <f>ventas_libreria[[#This Row],[precio_eur]]/100</f>
        <v>1.89</v>
      </c>
      <c r="G133">
        <v>189</v>
      </c>
      <c r="H133">
        <v>1</v>
      </c>
      <c r="I133">
        <f>ventas_libreria[[#This Row],[precio]]*ventas_libreria[[#This Row],[cantidad]]</f>
        <v>1.89</v>
      </c>
      <c r="J133">
        <v>21</v>
      </c>
      <c r="K133" t="s">
        <v>38</v>
      </c>
      <c r="L133" s="1">
        <v>45422</v>
      </c>
      <c r="M133" t="s">
        <v>31</v>
      </c>
      <c r="N133" t="s">
        <v>32</v>
      </c>
      <c r="O133" t="s">
        <v>33</v>
      </c>
      <c r="P133" t="s">
        <v>56</v>
      </c>
      <c r="Q133">
        <v>5</v>
      </c>
      <c r="R133">
        <f>IF(ventas_libreria[[#This Row],[valoracion_cliente]]="","Sin valoración",ventas_libreria[[#This Row],[valoracion_cliente]])</f>
        <v>5</v>
      </c>
    </row>
    <row r="134" spans="1:18" x14ac:dyDescent="0.25">
      <c r="A134" t="s">
        <v>368</v>
      </c>
      <c r="B134" t="s">
        <v>165</v>
      </c>
      <c r="C134" t="s">
        <v>166</v>
      </c>
      <c r="D134" t="s">
        <v>167</v>
      </c>
      <c r="E134" t="s">
        <v>61</v>
      </c>
      <c r="F134">
        <f>ventas_libreria[[#This Row],[precio_eur]]/100</f>
        <v>1.49</v>
      </c>
      <c r="G134">
        <v>149</v>
      </c>
      <c r="H134">
        <v>2</v>
      </c>
      <c r="I134">
        <f>ventas_libreria[[#This Row],[precio]]*ventas_libreria[[#This Row],[cantidad]]</f>
        <v>2.98</v>
      </c>
      <c r="J134">
        <v>53</v>
      </c>
      <c r="K134" t="s">
        <v>62</v>
      </c>
      <c r="L134" s="1">
        <v>45776</v>
      </c>
      <c r="M134" t="s">
        <v>21</v>
      </c>
      <c r="N134" t="s">
        <v>22</v>
      </c>
      <c r="O134" t="s">
        <v>132</v>
      </c>
      <c r="P134" t="s">
        <v>56</v>
      </c>
      <c r="R134" t="str">
        <f>IF(ventas_libreria[[#This Row],[valoracion_cliente]]="","Sin valoración",ventas_libreria[[#This Row],[valoracion_cliente]])</f>
        <v>Sin valoración</v>
      </c>
    </row>
    <row r="135" spans="1:18" x14ac:dyDescent="0.25">
      <c r="A135" t="s">
        <v>369</v>
      </c>
      <c r="B135" t="s">
        <v>80</v>
      </c>
      <c r="C135" t="s">
        <v>81</v>
      </c>
      <c r="D135" t="s">
        <v>82</v>
      </c>
      <c r="E135" t="s">
        <v>83</v>
      </c>
      <c r="F135">
        <f>ventas_libreria[[#This Row],[precio_eur]]/100</f>
        <v>7.92</v>
      </c>
      <c r="G135">
        <v>792</v>
      </c>
      <c r="H135">
        <v>4</v>
      </c>
      <c r="I135">
        <f>ventas_libreria[[#This Row],[precio]]*ventas_libreria[[#This Row],[cantidad]]</f>
        <v>31.68</v>
      </c>
      <c r="J135">
        <v>44</v>
      </c>
      <c r="K135" t="s">
        <v>30</v>
      </c>
      <c r="L135" s="1">
        <v>45154</v>
      </c>
      <c r="M135" t="s">
        <v>31</v>
      </c>
      <c r="N135" t="s">
        <v>22</v>
      </c>
      <c r="O135" t="s">
        <v>23</v>
      </c>
      <c r="P135" t="s">
        <v>34</v>
      </c>
      <c r="Q135">
        <v>5</v>
      </c>
      <c r="R135">
        <f>IF(ventas_libreria[[#This Row],[valoracion_cliente]]="","Sin valoración",ventas_libreria[[#This Row],[valoracion_cliente]])</f>
        <v>5</v>
      </c>
    </row>
    <row r="136" spans="1:18" x14ac:dyDescent="0.25">
      <c r="A136" t="s">
        <v>370</v>
      </c>
      <c r="B136" t="s">
        <v>156</v>
      </c>
      <c r="C136" t="s">
        <v>157</v>
      </c>
      <c r="D136" t="s">
        <v>158</v>
      </c>
      <c r="E136" t="s">
        <v>149</v>
      </c>
      <c r="F136">
        <f>ventas_libreria[[#This Row],[precio_eur]]/100</f>
        <v>17.010000000000002</v>
      </c>
      <c r="G136">
        <v>1701</v>
      </c>
      <c r="H136">
        <v>1</v>
      </c>
      <c r="I136">
        <f>ventas_libreria[[#This Row],[precio]]*ventas_libreria[[#This Row],[cantidad]]</f>
        <v>17.010000000000002</v>
      </c>
      <c r="J136">
        <v>56</v>
      </c>
      <c r="K136" t="s">
        <v>30</v>
      </c>
      <c r="L136" s="1">
        <v>45525</v>
      </c>
      <c r="M136" t="s">
        <v>43</v>
      </c>
      <c r="N136" t="s">
        <v>32</v>
      </c>
      <c r="O136" t="s">
        <v>33</v>
      </c>
      <c r="P136" t="s">
        <v>24</v>
      </c>
      <c r="R136" t="str">
        <f>IF(ventas_libreria[[#This Row],[valoracion_cliente]]="","Sin valoración",ventas_libreria[[#This Row],[valoracion_cliente]])</f>
        <v>Sin valoración</v>
      </c>
    </row>
    <row r="137" spans="1:18" x14ac:dyDescent="0.25">
      <c r="A137" t="s">
        <v>371</v>
      </c>
      <c r="B137" t="s">
        <v>247</v>
      </c>
      <c r="C137" t="s">
        <v>248</v>
      </c>
      <c r="D137" t="s">
        <v>249</v>
      </c>
      <c r="E137" t="s">
        <v>172</v>
      </c>
      <c r="F137">
        <f>ventas_libreria[[#This Row],[precio_eur]]/100</f>
        <v>11.81</v>
      </c>
      <c r="G137">
        <v>1181</v>
      </c>
      <c r="H137">
        <v>2</v>
      </c>
      <c r="I137">
        <f>ventas_libreria[[#This Row],[precio]]*ventas_libreria[[#This Row],[cantidad]]</f>
        <v>23.62</v>
      </c>
      <c r="J137">
        <v>33</v>
      </c>
      <c r="K137" t="s">
        <v>62</v>
      </c>
      <c r="L137" s="1">
        <v>45542</v>
      </c>
      <c r="M137" t="s">
        <v>43</v>
      </c>
      <c r="N137" t="s">
        <v>32</v>
      </c>
      <c r="O137" t="s">
        <v>33</v>
      </c>
      <c r="P137" t="s">
        <v>34</v>
      </c>
      <c r="Q137">
        <v>4</v>
      </c>
      <c r="R137">
        <f>IF(ventas_libreria[[#This Row],[valoracion_cliente]]="","Sin valoración",ventas_libreria[[#This Row],[valoracion_cliente]])</f>
        <v>4</v>
      </c>
    </row>
    <row r="138" spans="1:18" x14ac:dyDescent="0.25">
      <c r="A138" t="s">
        <v>372</v>
      </c>
      <c r="B138" t="s">
        <v>240</v>
      </c>
      <c r="C138" t="s">
        <v>241</v>
      </c>
      <c r="D138" t="s">
        <v>54</v>
      </c>
      <c r="E138" t="s">
        <v>172</v>
      </c>
      <c r="F138">
        <f>ventas_libreria[[#This Row],[precio_eur]]/100</f>
        <v>15.65</v>
      </c>
      <c r="G138">
        <v>1565</v>
      </c>
      <c r="H138">
        <v>1</v>
      </c>
      <c r="I138">
        <f>ventas_libreria[[#This Row],[precio]]*ventas_libreria[[#This Row],[cantidad]]</f>
        <v>15.65</v>
      </c>
      <c r="J138">
        <v>21</v>
      </c>
      <c r="K138" t="s">
        <v>30</v>
      </c>
      <c r="L138" s="1">
        <v>45649</v>
      </c>
      <c r="M138" t="s">
        <v>43</v>
      </c>
      <c r="N138" t="s">
        <v>32</v>
      </c>
      <c r="O138" t="s">
        <v>33</v>
      </c>
      <c r="P138" t="s">
        <v>24</v>
      </c>
      <c r="Q138">
        <v>4</v>
      </c>
      <c r="R138">
        <f>IF(ventas_libreria[[#This Row],[valoracion_cliente]]="","Sin valoración",ventas_libreria[[#This Row],[valoracion_cliente]])</f>
        <v>4</v>
      </c>
    </row>
    <row r="139" spans="1:18" x14ac:dyDescent="0.25">
      <c r="A139" t="s">
        <v>373</v>
      </c>
      <c r="B139" t="s">
        <v>301</v>
      </c>
      <c r="C139" t="s">
        <v>302</v>
      </c>
      <c r="D139" t="s">
        <v>245</v>
      </c>
      <c r="E139" t="s">
        <v>48</v>
      </c>
      <c r="F139">
        <f>ventas_libreria[[#This Row],[precio_eur]]/100</f>
        <v>26.14</v>
      </c>
      <c r="G139">
        <v>2614</v>
      </c>
      <c r="H139">
        <v>1</v>
      </c>
      <c r="I139">
        <f>ventas_libreria[[#This Row],[precio]]*ventas_libreria[[#This Row],[cantidad]]</f>
        <v>26.14</v>
      </c>
      <c r="J139">
        <v>58</v>
      </c>
      <c r="K139" t="s">
        <v>30</v>
      </c>
      <c r="L139" s="1">
        <v>45664</v>
      </c>
      <c r="M139" t="s">
        <v>43</v>
      </c>
      <c r="N139" t="s">
        <v>32</v>
      </c>
      <c r="O139" t="s">
        <v>33</v>
      </c>
      <c r="P139" t="s">
        <v>50</v>
      </c>
      <c r="Q139">
        <v>4</v>
      </c>
      <c r="R139">
        <f>IF(ventas_libreria[[#This Row],[valoracion_cliente]]="","Sin valoración",ventas_libreria[[#This Row],[valoracion_cliente]])</f>
        <v>4</v>
      </c>
    </row>
    <row r="140" spans="1:18" x14ac:dyDescent="0.25">
      <c r="A140" t="s">
        <v>374</v>
      </c>
      <c r="B140" t="s">
        <v>375</v>
      </c>
      <c r="C140" t="s">
        <v>376</v>
      </c>
      <c r="D140" t="s">
        <v>377</v>
      </c>
      <c r="E140" t="s">
        <v>29</v>
      </c>
      <c r="F140">
        <f>ventas_libreria[[#This Row],[precio_eur]]/100</f>
        <v>14.31</v>
      </c>
      <c r="G140">
        <v>1431</v>
      </c>
      <c r="H140">
        <v>1</v>
      </c>
      <c r="I140">
        <f>ventas_libreria[[#This Row],[precio]]*ventas_libreria[[#This Row],[cantidad]]</f>
        <v>14.31</v>
      </c>
      <c r="J140">
        <v>36</v>
      </c>
      <c r="K140" t="s">
        <v>62</v>
      </c>
      <c r="L140" s="1">
        <v>45916</v>
      </c>
      <c r="M140" t="s">
        <v>31</v>
      </c>
      <c r="N140" t="s">
        <v>22</v>
      </c>
      <c r="O140" t="s">
        <v>23</v>
      </c>
      <c r="P140" t="s">
        <v>24</v>
      </c>
      <c r="Q140">
        <v>2</v>
      </c>
      <c r="R140">
        <f>IF(ventas_libreria[[#This Row],[valoracion_cliente]]="","Sin valoración",ventas_libreria[[#This Row],[valoracion_cliente]])</f>
        <v>2</v>
      </c>
    </row>
    <row r="141" spans="1:18" x14ac:dyDescent="0.25">
      <c r="A141" t="s">
        <v>378</v>
      </c>
      <c r="B141" t="s">
        <v>362</v>
      </c>
      <c r="C141" t="s">
        <v>363</v>
      </c>
      <c r="D141" t="s">
        <v>249</v>
      </c>
      <c r="E141" t="s">
        <v>172</v>
      </c>
      <c r="F141">
        <f>ventas_libreria[[#This Row],[precio_eur]]/100</f>
        <v>1.52</v>
      </c>
      <c r="G141">
        <v>152</v>
      </c>
      <c r="H141">
        <v>1</v>
      </c>
      <c r="I141">
        <f>ventas_libreria[[#This Row],[precio]]*ventas_libreria[[#This Row],[cantidad]]</f>
        <v>1.52</v>
      </c>
      <c r="J141">
        <v>65</v>
      </c>
      <c r="K141" t="s">
        <v>38</v>
      </c>
      <c r="L141" s="1">
        <v>45980</v>
      </c>
      <c r="M141" t="s">
        <v>21</v>
      </c>
      <c r="N141" t="s">
        <v>32</v>
      </c>
      <c r="O141" t="s">
        <v>33</v>
      </c>
      <c r="P141" t="s">
        <v>50</v>
      </c>
      <c r="Q141">
        <v>3</v>
      </c>
      <c r="R141">
        <f>IF(ventas_libreria[[#This Row],[valoracion_cliente]]="","Sin valoración",ventas_libreria[[#This Row],[valoracion_cliente]])</f>
        <v>3</v>
      </c>
    </row>
    <row r="142" spans="1:18" x14ac:dyDescent="0.25">
      <c r="A142" t="s">
        <v>379</v>
      </c>
      <c r="B142" t="s">
        <v>156</v>
      </c>
      <c r="C142" t="s">
        <v>157</v>
      </c>
      <c r="D142" t="s">
        <v>158</v>
      </c>
      <c r="E142" t="s">
        <v>149</v>
      </c>
      <c r="F142">
        <f>ventas_libreria[[#This Row],[precio_eur]]/100</f>
        <v>1.89</v>
      </c>
      <c r="G142">
        <v>189</v>
      </c>
      <c r="H142">
        <v>1</v>
      </c>
      <c r="I142">
        <f>ventas_libreria[[#This Row],[precio]]*ventas_libreria[[#This Row],[cantidad]]</f>
        <v>1.89</v>
      </c>
      <c r="J142">
        <v>57</v>
      </c>
      <c r="K142" t="s">
        <v>62</v>
      </c>
      <c r="L142" s="1">
        <v>45279</v>
      </c>
      <c r="M142" t="s">
        <v>43</v>
      </c>
      <c r="N142" t="s">
        <v>32</v>
      </c>
      <c r="O142" t="s">
        <v>33</v>
      </c>
      <c r="P142" t="s">
        <v>56</v>
      </c>
      <c r="Q142">
        <v>4</v>
      </c>
      <c r="R142">
        <f>IF(ventas_libreria[[#This Row],[valoracion_cliente]]="","Sin valoración",ventas_libreria[[#This Row],[valoracion_cliente]])</f>
        <v>4</v>
      </c>
    </row>
    <row r="143" spans="1:18" x14ac:dyDescent="0.25">
      <c r="A143" t="s">
        <v>380</v>
      </c>
      <c r="B143" t="s">
        <v>80</v>
      </c>
      <c r="C143" t="s">
        <v>81</v>
      </c>
      <c r="D143" t="s">
        <v>82</v>
      </c>
      <c r="E143" t="s">
        <v>83</v>
      </c>
      <c r="F143">
        <f>ventas_libreria[[#This Row],[precio_eur]]/100</f>
        <v>0.99</v>
      </c>
      <c r="G143">
        <v>99</v>
      </c>
      <c r="H143">
        <v>1</v>
      </c>
      <c r="I143">
        <f>ventas_libreria[[#This Row],[precio]]*ventas_libreria[[#This Row],[cantidad]]</f>
        <v>0.99</v>
      </c>
      <c r="J143">
        <v>37</v>
      </c>
      <c r="K143" t="s">
        <v>38</v>
      </c>
      <c r="L143" s="1">
        <v>45407</v>
      </c>
      <c r="M143" t="s">
        <v>31</v>
      </c>
      <c r="N143" t="s">
        <v>22</v>
      </c>
      <c r="O143" t="s">
        <v>23</v>
      </c>
      <c r="P143" t="s">
        <v>24</v>
      </c>
      <c r="Q143">
        <v>5</v>
      </c>
      <c r="R143">
        <f>IF(ventas_libreria[[#This Row],[valoracion_cliente]]="","Sin valoración",ventas_libreria[[#This Row],[valoracion_cliente]])</f>
        <v>5</v>
      </c>
    </row>
    <row r="144" spans="1:18" x14ac:dyDescent="0.25">
      <c r="A144" t="s">
        <v>381</v>
      </c>
      <c r="B144" t="s">
        <v>104</v>
      </c>
      <c r="C144" t="s">
        <v>105</v>
      </c>
      <c r="D144" t="s">
        <v>106</v>
      </c>
      <c r="E144" t="s">
        <v>107</v>
      </c>
      <c r="F144">
        <f>ventas_libreria[[#This Row],[precio_eur]]/100</f>
        <v>15.65</v>
      </c>
      <c r="G144">
        <v>1565</v>
      </c>
      <c r="H144">
        <v>1</v>
      </c>
      <c r="I144">
        <f>ventas_libreria[[#This Row],[precio]]*ventas_libreria[[#This Row],[cantidad]]</f>
        <v>15.65</v>
      </c>
      <c r="J144">
        <v>12</v>
      </c>
      <c r="K144" t="s">
        <v>38</v>
      </c>
      <c r="L144" s="1">
        <v>45593</v>
      </c>
      <c r="M144" t="s">
        <v>21</v>
      </c>
      <c r="N144" t="s">
        <v>32</v>
      </c>
      <c r="O144" t="s">
        <v>33</v>
      </c>
      <c r="P144" t="s">
        <v>50</v>
      </c>
      <c r="Q144">
        <v>5</v>
      </c>
      <c r="R144">
        <f>IF(ventas_libreria[[#This Row],[valoracion_cliente]]="","Sin valoración",ventas_libreria[[#This Row],[valoracion_cliente]])</f>
        <v>5</v>
      </c>
    </row>
    <row r="145" spans="1:18" x14ac:dyDescent="0.25">
      <c r="A145" t="s">
        <v>382</v>
      </c>
      <c r="B145" t="s">
        <v>265</v>
      </c>
      <c r="C145" t="s">
        <v>266</v>
      </c>
      <c r="D145" t="s">
        <v>162</v>
      </c>
      <c r="E145" t="s">
        <v>29</v>
      </c>
      <c r="F145">
        <f>ventas_libreria[[#This Row],[precio_eur]]/100</f>
        <v>1.69</v>
      </c>
      <c r="G145">
        <v>169</v>
      </c>
      <c r="H145">
        <v>3</v>
      </c>
      <c r="I145">
        <f>ventas_libreria[[#This Row],[precio]]*ventas_libreria[[#This Row],[cantidad]]</f>
        <v>5.07</v>
      </c>
      <c r="J145">
        <v>57</v>
      </c>
      <c r="K145" t="s">
        <v>38</v>
      </c>
      <c r="L145" s="1">
        <v>45965</v>
      </c>
      <c r="M145" t="s">
        <v>31</v>
      </c>
      <c r="N145" t="s">
        <v>22</v>
      </c>
      <c r="O145" t="s">
        <v>23</v>
      </c>
      <c r="P145" t="s">
        <v>50</v>
      </c>
      <c r="Q145">
        <v>5</v>
      </c>
      <c r="R145">
        <f>IF(ventas_libreria[[#This Row],[valoracion_cliente]]="","Sin valoración",ventas_libreria[[#This Row],[valoracion_cliente]])</f>
        <v>5</v>
      </c>
    </row>
    <row r="146" spans="1:18" x14ac:dyDescent="0.25">
      <c r="A146" t="s">
        <v>383</v>
      </c>
      <c r="B146" t="s">
        <v>384</v>
      </c>
      <c r="C146" t="s">
        <v>385</v>
      </c>
      <c r="D146" t="s">
        <v>158</v>
      </c>
      <c r="E146" t="s">
        <v>149</v>
      </c>
      <c r="F146">
        <f>ventas_libreria[[#This Row],[precio_eur]]/100</f>
        <v>2.2999999999999998</v>
      </c>
      <c r="G146">
        <v>230</v>
      </c>
      <c r="H146">
        <v>2</v>
      </c>
      <c r="I146">
        <f>ventas_libreria[[#This Row],[precio]]*ventas_libreria[[#This Row],[cantidad]]</f>
        <v>4.5999999999999996</v>
      </c>
      <c r="J146">
        <v>29</v>
      </c>
      <c r="K146" t="s">
        <v>20</v>
      </c>
      <c r="L146" s="1">
        <v>45157</v>
      </c>
      <c r="M146" t="s">
        <v>21</v>
      </c>
      <c r="N146" t="s">
        <v>22</v>
      </c>
      <c r="O146" t="s">
        <v>49</v>
      </c>
      <c r="P146" t="s">
        <v>56</v>
      </c>
      <c r="Q146">
        <v>5</v>
      </c>
      <c r="R146">
        <f>IF(ventas_libreria[[#This Row],[valoracion_cliente]]="","Sin valoración",ventas_libreria[[#This Row],[valoracion_cliente]])</f>
        <v>5</v>
      </c>
    </row>
    <row r="147" spans="1:18" x14ac:dyDescent="0.25">
      <c r="A147" t="s">
        <v>386</v>
      </c>
      <c r="B147" t="s">
        <v>240</v>
      </c>
      <c r="C147" t="s">
        <v>241</v>
      </c>
      <c r="D147" t="s">
        <v>54</v>
      </c>
      <c r="E147" t="s">
        <v>172</v>
      </c>
      <c r="F147">
        <f>ventas_libreria[[#This Row],[precio_eur]]/100</f>
        <v>13.41</v>
      </c>
      <c r="G147">
        <v>1341</v>
      </c>
      <c r="H147">
        <v>1</v>
      </c>
      <c r="I147">
        <f>ventas_libreria[[#This Row],[precio]]*ventas_libreria[[#This Row],[cantidad]]</f>
        <v>13.41</v>
      </c>
      <c r="J147">
        <v>59</v>
      </c>
      <c r="K147" t="s">
        <v>20</v>
      </c>
      <c r="L147" s="1">
        <v>45788</v>
      </c>
      <c r="M147" t="s">
        <v>31</v>
      </c>
      <c r="N147" t="s">
        <v>32</v>
      </c>
      <c r="O147" t="s">
        <v>33</v>
      </c>
      <c r="P147" t="s">
        <v>24</v>
      </c>
      <c r="Q147">
        <v>3</v>
      </c>
      <c r="R147">
        <f>IF(ventas_libreria[[#This Row],[valoracion_cliente]]="","Sin valoración",ventas_libreria[[#This Row],[valoracion_cliente]])</f>
        <v>3</v>
      </c>
    </row>
    <row r="148" spans="1:18" x14ac:dyDescent="0.25">
      <c r="A148" t="s">
        <v>387</v>
      </c>
      <c r="B148" t="s">
        <v>201</v>
      </c>
      <c r="C148" t="s">
        <v>202</v>
      </c>
      <c r="D148" t="s">
        <v>47</v>
      </c>
      <c r="E148" t="s">
        <v>107</v>
      </c>
      <c r="F148">
        <f>ventas_libreria[[#This Row],[precio_eur]]/100</f>
        <v>12.51</v>
      </c>
      <c r="G148">
        <v>1251</v>
      </c>
      <c r="H148">
        <v>1</v>
      </c>
      <c r="I148">
        <f>ventas_libreria[[#This Row],[precio]]*ventas_libreria[[#This Row],[cantidad]]</f>
        <v>12.51</v>
      </c>
      <c r="J148">
        <v>10</v>
      </c>
      <c r="K148" t="s">
        <v>38</v>
      </c>
      <c r="L148" s="1">
        <v>45251</v>
      </c>
      <c r="M148" t="s">
        <v>43</v>
      </c>
      <c r="N148" t="s">
        <v>32</v>
      </c>
      <c r="O148" t="s">
        <v>33</v>
      </c>
      <c r="P148" t="s">
        <v>34</v>
      </c>
      <c r="Q148">
        <v>3</v>
      </c>
      <c r="R148">
        <f>IF(ventas_libreria[[#This Row],[valoracion_cliente]]="","Sin valoración",ventas_libreria[[#This Row],[valoracion_cliente]])</f>
        <v>3</v>
      </c>
    </row>
    <row r="149" spans="1:18" x14ac:dyDescent="0.25">
      <c r="A149" t="s">
        <v>388</v>
      </c>
      <c r="B149" t="s">
        <v>204</v>
      </c>
      <c r="C149" t="s">
        <v>205</v>
      </c>
      <c r="D149" t="s">
        <v>206</v>
      </c>
      <c r="E149" t="s">
        <v>116</v>
      </c>
      <c r="F149">
        <f>ventas_libreria[[#This Row],[precio_eur]]/100</f>
        <v>14.19</v>
      </c>
      <c r="G149">
        <v>1419</v>
      </c>
      <c r="H149">
        <v>1</v>
      </c>
      <c r="I149">
        <f>ventas_libreria[[#This Row],[precio]]*ventas_libreria[[#This Row],[cantidad]]</f>
        <v>14.19</v>
      </c>
      <c r="J149">
        <v>47</v>
      </c>
      <c r="K149" t="s">
        <v>62</v>
      </c>
      <c r="L149" s="1">
        <v>44967</v>
      </c>
      <c r="M149" t="s">
        <v>43</v>
      </c>
      <c r="N149" t="s">
        <v>32</v>
      </c>
      <c r="O149" t="s">
        <v>33</v>
      </c>
      <c r="P149" t="s">
        <v>56</v>
      </c>
      <c r="Q149">
        <v>5</v>
      </c>
      <c r="R149">
        <f>IF(ventas_libreria[[#This Row],[valoracion_cliente]]="","Sin valoración",ventas_libreria[[#This Row],[valoracion_cliente]])</f>
        <v>5</v>
      </c>
    </row>
    <row r="150" spans="1:18" x14ac:dyDescent="0.25">
      <c r="A150" t="s">
        <v>389</v>
      </c>
      <c r="B150" t="s">
        <v>69</v>
      </c>
      <c r="C150" t="s">
        <v>70</v>
      </c>
      <c r="D150" t="s">
        <v>71</v>
      </c>
      <c r="E150" t="s">
        <v>72</v>
      </c>
      <c r="F150">
        <f>ventas_libreria[[#This Row],[precio_eur]]/100</f>
        <v>15.21</v>
      </c>
      <c r="G150">
        <v>1521</v>
      </c>
      <c r="H150">
        <v>1</v>
      </c>
      <c r="I150">
        <f>ventas_libreria[[#This Row],[precio]]*ventas_libreria[[#This Row],[cantidad]]</f>
        <v>15.21</v>
      </c>
      <c r="J150">
        <v>61</v>
      </c>
      <c r="K150" t="s">
        <v>62</v>
      </c>
      <c r="L150" s="1">
        <v>45793</v>
      </c>
      <c r="M150" t="s">
        <v>43</v>
      </c>
      <c r="N150" t="s">
        <v>32</v>
      </c>
      <c r="O150" t="s">
        <v>33</v>
      </c>
      <c r="P150" t="s">
        <v>24</v>
      </c>
      <c r="Q150">
        <v>2</v>
      </c>
      <c r="R150">
        <f>IF(ventas_libreria[[#This Row],[valoracion_cliente]]="","Sin valoración",ventas_libreria[[#This Row],[valoracion_cliente]])</f>
        <v>2</v>
      </c>
    </row>
    <row r="151" spans="1:18" x14ac:dyDescent="0.25">
      <c r="A151" t="s">
        <v>390</v>
      </c>
      <c r="B151" t="s">
        <v>64</v>
      </c>
      <c r="C151" t="s">
        <v>65</v>
      </c>
      <c r="D151" t="s">
        <v>66</v>
      </c>
      <c r="E151" t="s">
        <v>29</v>
      </c>
      <c r="F151">
        <f>ventas_libreria[[#This Row],[precio_eur]]/100</f>
        <v>14.03</v>
      </c>
      <c r="G151">
        <v>1403</v>
      </c>
      <c r="H151">
        <v>2</v>
      </c>
      <c r="I151">
        <f>ventas_libreria[[#This Row],[precio]]*ventas_libreria[[#This Row],[cantidad]]</f>
        <v>28.06</v>
      </c>
      <c r="J151">
        <v>62</v>
      </c>
      <c r="K151" t="s">
        <v>62</v>
      </c>
      <c r="L151" s="1">
        <v>45109</v>
      </c>
      <c r="M151" t="s">
        <v>21</v>
      </c>
      <c r="N151" t="s">
        <v>32</v>
      </c>
      <c r="O151" t="s">
        <v>33</v>
      </c>
      <c r="P151" t="s">
        <v>50</v>
      </c>
      <c r="Q151">
        <v>5</v>
      </c>
      <c r="R151">
        <f>IF(ventas_libreria[[#This Row],[valoracion_cliente]]="","Sin valoración",ventas_libreria[[#This Row],[valoracion_cliente]])</f>
        <v>5</v>
      </c>
    </row>
    <row r="152" spans="1:18" x14ac:dyDescent="0.25">
      <c r="A152" t="s">
        <v>391</v>
      </c>
      <c r="B152" t="s">
        <v>215</v>
      </c>
      <c r="C152" t="s">
        <v>216</v>
      </c>
      <c r="D152" t="s">
        <v>217</v>
      </c>
      <c r="E152" t="s">
        <v>55</v>
      </c>
      <c r="F152">
        <f>ventas_libreria[[#This Row],[precio_eur]]/100</f>
        <v>16.649999999999999</v>
      </c>
      <c r="G152">
        <v>1665</v>
      </c>
      <c r="H152">
        <v>3</v>
      </c>
      <c r="I152">
        <f>ventas_libreria[[#This Row],[precio]]*ventas_libreria[[#This Row],[cantidad]]</f>
        <v>49.949999999999996</v>
      </c>
      <c r="J152">
        <v>64</v>
      </c>
      <c r="K152" t="s">
        <v>20</v>
      </c>
      <c r="L152" s="1">
        <v>45807</v>
      </c>
      <c r="M152" t="s">
        <v>31</v>
      </c>
      <c r="N152" t="s">
        <v>32</v>
      </c>
      <c r="O152" t="s">
        <v>33</v>
      </c>
      <c r="P152" t="s">
        <v>84</v>
      </c>
      <c r="Q152">
        <v>3</v>
      </c>
      <c r="R152">
        <f>IF(ventas_libreria[[#This Row],[valoracion_cliente]]="","Sin valoración",ventas_libreria[[#This Row],[valoracion_cliente]])</f>
        <v>3</v>
      </c>
    </row>
    <row r="153" spans="1:18" x14ac:dyDescent="0.25">
      <c r="A153" t="s">
        <v>392</v>
      </c>
      <c r="B153" t="s">
        <v>118</v>
      </c>
      <c r="C153" t="s">
        <v>119</v>
      </c>
      <c r="D153" t="s">
        <v>47</v>
      </c>
      <c r="E153" t="s">
        <v>48</v>
      </c>
      <c r="F153">
        <f>ventas_libreria[[#This Row],[precio_eur]]/100</f>
        <v>12.72</v>
      </c>
      <c r="G153">
        <v>1272</v>
      </c>
      <c r="H153">
        <v>1</v>
      </c>
      <c r="I153">
        <f>ventas_libreria[[#This Row],[precio]]*ventas_libreria[[#This Row],[cantidad]]</f>
        <v>12.72</v>
      </c>
      <c r="J153">
        <v>66</v>
      </c>
      <c r="K153" t="s">
        <v>38</v>
      </c>
      <c r="L153" s="1">
        <v>45568</v>
      </c>
      <c r="M153" t="s">
        <v>43</v>
      </c>
      <c r="N153" t="s">
        <v>32</v>
      </c>
      <c r="O153" t="s">
        <v>33</v>
      </c>
      <c r="P153" t="s">
        <v>50</v>
      </c>
      <c r="Q153">
        <v>4</v>
      </c>
      <c r="R153">
        <f>IF(ventas_libreria[[#This Row],[valoracion_cliente]]="","Sin valoración",ventas_libreria[[#This Row],[valoracion_cliente]])</f>
        <v>4</v>
      </c>
    </row>
    <row r="154" spans="1:18" x14ac:dyDescent="0.25">
      <c r="A154" t="s">
        <v>393</v>
      </c>
      <c r="B154" t="s">
        <v>273</v>
      </c>
      <c r="C154" t="s">
        <v>274</v>
      </c>
      <c r="D154" t="s">
        <v>262</v>
      </c>
      <c r="E154" t="s">
        <v>263</v>
      </c>
      <c r="F154">
        <f>ventas_libreria[[#This Row],[precio_eur]]/100</f>
        <v>2.19</v>
      </c>
      <c r="G154">
        <v>219</v>
      </c>
      <c r="H154">
        <v>1</v>
      </c>
      <c r="I154">
        <f>ventas_libreria[[#This Row],[precio]]*ventas_libreria[[#This Row],[cantidad]]</f>
        <v>2.19</v>
      </c>
      <c r="J154">
        <v>63</v>
      </c>
      <c r="K154" t="s">
        <v>20</v>
      </c>
      <c r="L154" s="1">
        <v>45079</v>
      </c>
      <c r="M154" t="s">
        <v>31</v>
      </c>
      <c r="N154" t="s">
        <v>32</v>
      </c>
      <c r="O154" t="s">
        <v>33</v>
      </c>
      <c r="P154" t="s">
        <v>34</v>
      </c>
      <c r="Q154">
        <v>5</v>
      </c>
      <c r="R154">
        <f>IF(ventas_libreria[[#This Row],[valoracion_cliente]]="","Sin valoración",ventas_libreria[[#This Row],[valoracion_cliente]])</f>
        <v>5</v>
      </c>
    </row>
    <row r="155" spans="1:18" x14ac:dyDescent="0.25">
      <c r="A155" t="s">
        <v>394</v>
      </c>
      <c r="B155" t="s">
        <v>86</v>
      </c>
      <c r="C155" t="s">
        <v>87</v>
      </c>
      <c r="D155" t="s">
        <v>88</v>
      </c>
      <c r="E155" t="s">
        <v>77</v>
      </c>
      <c r="F155">
        <f>ventas_libreria[[#This Row],[precio_eur]]/100</f>
        <v>1.19</v>
      </c>
      <c r="G155">
        <v>119</v>
      </c>
      <c r="H155">
        <v>1</v>
      </c>
      <c r="I155">
        <f>ventas_libreria[[#This Row],[precio]]*ventas_libreria[[#This Row],[cantidad]]</f>
        <v>1.19</v>
      </c>
      <c r="J155">
        <v>8</v>
      </c>
      <c r="K155" t="s">
        <v>62</v>
      </c>
      <c r="L155" s="1">
        <v>45351</v>
      </c>
      <c r="M155" t="s">
        <v>31</v>
      </c>
      <c r="N155" t="s">
        <v>32</v>
      </c>
      <c r="O155" t="s">
        <v>33</v>
      </c>
      <c r="P155" t="s">
        <v>56</v>
      </c>
      <c r="Q155">
        <v>5</v>
      </c>
      <c r="R155">
        <f>IF(ventas_libreria[[#This Row],[valoracion_cliente]]="","Sin valoración",ventas_libreria[[#This Row],[valoracion_cliente]])</f>
        <v>5</v>
      </c>
    </row>
    <row r="156" spans="1:18" x14ac:dyDescent="0.25">
      <c r="A156" t="s">
        <v>395</v>
      </c>
      <c r="B156" t="s">
        <v>224</v>
      </c>
      <c r="C156" t="s">
        <v>225</v>
      </c>
      <c r="D156" t="s">
        <v>226</v>
      </c>
      <c r="E156" t="s">
        <v>116</v>
      </c>
      <c r="F156">
        <f>ventas_libreria[[#This Row],[precio_eur]]/100</f>
        <v>2.4900000000000002</v>
      </c>
      <c r="G156">
        <v>249</v>
      </c>
      <c r="H156">
        <v>2</v>
      </c>
      <c r="I156">
        <f>ventas_libreria[[#This Row],[precio]]*ventas_libreria[[#This Row],[cantidad]]</f>
        <v>4.9800000000000004</v>
      </c>
      <c r="J156">
        <v>47</v>
      </c>
      <c r="K156" t="s">
        <v>30</v>
      </c>
      <c r="L156" s="1">
        <v>45214</v>
      </c>
      <c r="M156" t="s">
        <v>21</v>
      </c>
      <c r="N156" t="s">
        <v>22</v>
      </c>
      <c r="O156" t="s">
        <v>98</v>
      </c>
      <c r="P156" t="s">
        <v>24</v>
      </c>
      <c r="R156" t="str">
        <f>IF(ventas_libreria[[#This Row],[valoracion_cliente]]="","Sin valoración",ventas_libreria[[#This Row],[valoracion_cliente]])</f>
        <v>Sin valoración</v>
      </c>
    </row>
    <row r="157" spans="1:18" x14ac:dyDescent="0.25">
      <c r="A157" t="s">
        <v>396</v>
      </c>
      <c r="B157" t="s">
        <v>273</v>
      </c>
      <c r="C157" t="s">
        <v>274</v>
      </c>
      <c r="D157" t="s">
        <v>262</v>
      </c>
      <c r="E157" t="s">
        <v>263</v>
      </c>
      <c r="F157">
        <f>ventas_libreria[[#This Row],[precio_eur]]/100</f>
        <v>19.71</v>
      </c>
      <c r="G157">
        <v>1971</v>
      </c>
      <c r="H157">
        <v>2</v>
      </c>
      <c r="I157">
        <f>ventas_libreria[[#This Row],[precio]]*ventas_libreria[[#This Row],[cantidad]]</f>
        <v>39.42</v>
      </c>
      <c r="J157">
        <v>26</v>
      </c>
      <c r="K157" t="s">
        <v>38</v>
      </c>
      <c r="L157" s="1">
        <v>45434</v>
      </c>
      <c r="M157" t="s">
        <v>43</v>
      </c>
      <c r="N157" t="s">
        <v>32</v>
      </c>
      <c r="O157" t="s">
        <v>33</v>
      </c>
      <c r="P157" t="s">
        <v>24</v>
      </c>
      <c r="R157" t="str">
        <f>IF(ventas_libreria[[#This Row],[valoracion_cliente]]="","Sin valoración",ventas_libreria[[#This Row],[valoracion_cliente]])</f>
        <v>Sin valoración</v>
      </c>
    </row>
    <row r="158" spans="1:18" x14ac:dyDescent="0.25">
      <c r="A158" t="s">
        <v>397</v>
      </c>
      <c r="B158" t="s">
        <v>398</v>
      </c>
      <c r="C158" t="s">
        <v>399</v>
      </c>
      <c r="D158" t="s">
        <v>167</v>
      </c>
      <c r="E158" t="s">
        <v>61</v>
      </c>
      <c r="F158">
        <f>ventas_libreria[[#This Row],[precio_eur]]/100</f>
        <v>17.75</v>
      </c>
      <c r="G158">
        <v>1775</v>
      </c>
      <c r="H158">
        <v>1</v>
      </c>
      <c r="I158">
        <f>ventas_libreria[[#This Row],[precio]]*ventas_libreria[[#This Row],[cantidad]]</f>
        <v>17.75</v>
      </c>
      <c r="J158">
        <v>53</v>
      </c>
      <c r="K158" t="s">
        <v>20</v>
      </c>
      <c r="L158" s="1">
        <v>45757</v>
      </c>
      <c r="M158" t="s">
        <v>31</v>
      </c>
      <c r="N158" t="s">
        <v>32</v>
      </c>
      <c r="O158" t="s">
        <v>33</v>
      </c>
      <c r="P158" t="s">
        <v>56</v>
      </c>
      <c r="Q158">
        <v>3</v>
      </c>
      <c r="R158">
        <f>IF(ventas_libreria[[#This Row],[valoracion_cliente]]="","Sin valoración",ventas_libreria[[#This Row],[valoracion_cliente]])</f>
        <v>3</v>
      </c>
    </row>
    <row r="159" spans="1:18" x14ac:dyDescent="0.25">
      <c r="A159" t="s">
        <v>400</v>
      </c>
      <c r="B159" t="s">
        <v>254</v>
      </c>
      <c r="C159" t="s">
        <v>255</v>
      </c>
      <c r="D159" t="s">
        <v>139</v>
      </c>
      <c r="E159" t="s">
        <v>116</v>
      </c>
      <c r="F159">
        <f>ventas_libreria[[#This Row],[precio_eur]]/100</f>
        <v>12.66</v>
      </c>
      <c r="G159">
        <v>1266</v>
      </c>
      <c r="H159">
        <v>1</v>
      </c>
      <c r="I159">
        <f>ventas_libreria[[#This Row],[precio]]*ventas_libreria[[#This Row],[cantidad]]</f>
        <v>12.66</v>
      </c>
      <c r="J159">
        <v>23</v>
      </c>
      <c r="K159" t="s">
        <v>62</v>
      </c>
      <c r="L159" s="1">
        <v>45170</v>
      </c>
      <c r="M159" t="s">
        <v>31</v>
      </c>
      <c r="N159" t="s">
        <v>32</v>
      </c>
      <c r="O159" t="s">
        <v>33</v>
      </c>
      <c r="P159" t="s">
        <v>84</v>
      </c>
      <c r="Q159">
        <v>4</v>
      </c>
      <c r="R159">
        <f>IF(ventas_libreria[[#This Row],[valoracion_cliente]]="","Sin valoración",ventas_libreria[[#This Row],[valoracion_cliente]])</f>
        <v>4</v>
      </c>
    </row>
    <row r="160" spans="1:18" x14ac:dyDescent="0.25">
      <c r="A160" t="s">
        <v>401</v>
      </c>
      <c r="B160" t="s">
        <v>169</v>
      </c>
      <c r="C160" t="s">
        <v>170</v>
      </c>
      <c r="D160" t="s">
        <v>171</v>
      </c>
      <c r="E160" t="s">
        <v>172</v>
      </c>
      <c r="F160">
        <f>ventas_libreria[[#This Row],[precio_eur]]/100</f>
        <v>24.04</v>
      </c>
      <c r="G160">
        <v>2404</v>
      </c>
      <c r="H160">
        <v>1</v>
      </c>
      <c r="I160">
        <f>ventas_libreria[[#This Row],[precio]]*ventas_libreria[[#This Row],[cantidad]]</f>
        <v>24.04</v>
      </c>
      <c r="J160">
        <v>69</v>
      </c>
      <c r="K160" t="s">
        <v>62</v>
      </c>
      <c r="L160" s="1">
        <v>45968</v>
      </c>
      <c r="M160" t="s">
        <v>43</v>
      </c>
      <c r="N160" t="s">
        <v>32</v>
      </c>
      <c r="O160" t="s">
        <v>33</v>
      </c>
      <c r="P160" t="s">
        <v>84</v>
      </c>
      <c r="Q160">
        <v>5</v>
      </c>
      <c r="R160">
        <f>IF(ventas_libreria[[#This Row],[valoracion_cliente]]="","Sin valoración",ventas_libreria[[#This Row],[valoracion_cliente]])</f>
        <v>5</v>
      </c>
    </row>
    <row r="161" spans="1:18" x14ac:dyDescent="0.25">
      <c r="A161" t="s">
        <v>402</v>
      </c>
      <c r="B161" t="s">
        <v>403</v>
      </c>
      <c r="C161" t="s">
        <v>404</v>
      </c>
      <c r="D161" t="s">
        <v>123</v>
      </c>
      <c r="E161" t="s">
        <v>48</v>
      </c>
      <c r="F161">
        <f>ventas_libreria[[#This Row],[precio_eur]]/100</f>
        <v>32.89</v>
      </c>
      <c r="G161">
        <v>3289</v>
      </c>
      <c r="H161">
        <v>2</v>
      </c>
      <c r="I161">
        <f>ventas_libreria[[#This Row],[precio]]*ventas_libreria[[#This Row],[cantidad]]</f>
        <v>65.78</v>
      </c>
      <c r="J161">
        <v>50</v>
      </c>
      <c r="K161" t="s">
        <v>30</v>
      </c>
      <c r="L161" s="1">
        <v>45141</v>
      </c>
      <c r="M161" t="s">
        <v>43</v>
      </c>
      <c r="N161" t="s">
        <v>32</v>
      </c>
      <c r="O161" t="s">
        <v>33</v>
      </c>
      <c r="P161" t="s">
        <v>34</v>
      </c>
      <c r="Q161">
        <v>5</v>
      </c>
      <c r="R161">
        <f>IF(ventas_libreria[[#This Row],[valoracion_cliente]]="","Sin valoración",ventas_libreria[[#This Row],[valoracion_cliente]])</f>
        <v>5</v>
      </c>
    </row>
    <row r="162" spans="1:18" x14ac:dyDescent="0.25">
      <c r="A162" t="s">
        <v>405</v>
      </c>
      <c r="B162" t="s">
        <v>406</v>
      </c>
      <c r="C162" t="s">
        <v>407</v>
      </c>
      <c r="D162" t="s">
        <v>88</v>
      </c>
      <c r="E162" t="s">
        <v>77</v>
      </c>
      <c r="F162">
        <f>ventas_libreria[[#This Row],[precio_eur]]/100</f>
        <v>9.52</v>
      </c>
      <c r="G162">
        <v>952</v>
      </c>
      <c r="H162">
        <v>2</v>
      </c>
      <c r="I162">
        <f>ventas_libreria[[#This Row],[precio]]*ventas_libreria[[#This Row],[cantidad]]</f>
        <v>19.04</v>
      </c>
      <c r="J162">
        <v>5</v>
      </c>
      <c r="K162" t="s">
        <v>30</v>
      </c>
      <c r="L162" s="1">
        <v>45524</v>
      </c>
      <c r="M162" t="s">
        <v>31</v>
      </c>
      <c r="N162" t="s">
        <v>22</v>
      </c>
      <c r="O162" t="s">
        <v>98</v>
      </c>
      <c r="P162" t="s">
        <v>56</v>
      </c>
      <c r="Q162">
        <v>3</v>
      </c>
      <c r="R162">
        <f>IF(ventas_libreria[[#This Row],[valoracion_cliente]]="","Sin valoración",ventas_libreria[[#This Row],[valoracion_cliente]])</f>
        <v>3</v>
      </c>
    </row>
    <row r="163" spans="1:18" x14ac:dyDescent="0.25">
      <c r="A163" t="s">
        <v>408</v>
      </c>
      <c r="B163" t="s">
        <v>186</v>
      </c>
      <c r="C163" t="s">
        <v>187</v>
      </c>
      <c r="D163" t="s">
        <v>188</v>
      </c>
      <c r="E163" t="s">
        <v>189</v>
      </c>
      <c r="F163">
        <f>ventas_libreria[[#This Row],[precio_eur]]/100</f>
        <v>1.99</v>
      </c>
      <c r="G163">
        <v>199</v>
      </c>
      <c r="H163">
        <v>1</v>
      </c>
      <c r="I163">
        <f>ventas_libreria[[#This Row],[precio]]*ventas_libreria[[#This Row],[cantidad]]</f>
        <v>1.99</v>
      </c>
      <c r="J163">
        <v>59</v>
      </c>
      <c r="K163" t="s">
        <v>38</v>
      </c>
      <c r="L163" s="1">
        <v>45060</v>
      </c>
      <c r="M163" t="s">
        <v>21</v>
      </c>
      <c r="N163" t="s">
        <v>32</v>
      </c>
      <c r="O163" t="s">
        <v>33</v>
      </c>
      <c r="P163" t="s">
        <v>24</v>
      </c>
      <c r="Q163">
        <v>3</v>
      </c>
      <c r="R163">
        <f>IF(ventas_libreria[[#This Row],[valoracion_cliente]]="","Sin valoración",ventas_libreria[[#This Row],[valoracion_cliente]])</f>
        <v>3</v>
      </c>
    </row>
    <row r="164" spans="1:18" x14ac:dyDescent="0.25">
      <c r="A164" t="s">
        <v>409</v>
      </c>
      <c r="B164" t="s">
        <v>134</v>
      </c>
      <c r="C164" t="s">
        <v>135</v>
      </c>
      <c r="D164" t="s">
        <v>106</v>
      </c>
      <c r="E164" t="s">
        <v>107</v>
      </c>
      <c r="F164">
        <f>ventas_libreria[[#This Row],[precio_eur]]/100</f>
        <v>1.49</v>
      </c>
      <c r="G164">
        <v>149</v>
      </c>
      <c r="H164">
        <v>1</v>
      </c>
      <c r="I164">
        <f>ventas_libreria[[#This Row],[precio]]*ventas_libreria[[#This Row],[cantidad]]</f>
        <v>1.49</v>
      </c>
      <c r="J164">
        <v>22</v>
      </c>
      <c r="K164" t="s">
        <v>30</v>
      </c>
      <c r="L164" s="1">
        <v>45443</v>
      </c>
      <c r="M164" t="s">
        <v>21</v>
      </c>
      <c r="N164" t="s">
        <v>32</v>
      </c>
      <c r="O164" t="s">
        <v>33</v>
      </c>
      <c r="P164" t="s">
        <v>34</v>
      </c>
      <c r="Q164">
        <v>3</v>
      </c>
      <c r="R164">
        <f>IF(ventas_libreria[[#This Row],[valoracion_cliente]]="","Sin valoración",ventas_libreria[[#This Row],[valoracion_cliente]])</f>
        <v>3</v>
      </c>
    </row>
    <row r="165" spans="1:18" x14ac:dyDescent="0.25">
      <c r="A165" t="s">
        <v>410</v>
      </c>
      <c r="B165" t="s">
        <v>247</v>
      </c>
      <c r="C165" t="s">
        <v>248</v>
      </c>
      <c r="D165" t="s">
        <v>249</v>
      </c>
      <c r="E165" t="s">
        <v>172</v>
      </c>
      <c r="F165">
        <f>ventas_libreria[[#This Row],[precio_eur]]/100</f>
        <v>15.29</v>
      </c>
      <c r="G165">
        <v>1529</v>
      </c>
      <c r="H165">
        <v>2</v>
      </c>
      <c r="I165">
        <f>ventas_libreria[[#This Row],[precio]]*ventas_libreria[[#This Row],[cantidad]]</f>
        <v>30.58</v>
      </c>
      <c r="J165">
        <v>36</v>
      </c>
      <c r="K165" t="s">
        <v>30</v>
      </c>
      <c r="L165" s="1">
        <v>44990</v>
      </c>
      <c r="M165" t="s">
        <v>21</v>
      </c>
      <c r="N165" t="s">
        <v>32</v>
      </c>
      <c r="O165" t="s">
        <v>33</v>
      </c>
      <c r="P165" t="s">
        <v>50</v>
      </c>
      <c r="Q165">
        <v>5</v>
      </c>
      <c r="R165">
        <f>IF(ventas_libreria[[#This Row],[valoracion_cliente]]="","Sin valoración",ventas_libreria[[#This Row],[valoracion_cliente]])</f>
        <v>5</v>
      </c>
    </row>
    <row r="166" spans="1:18" x14ac:dyDescent="0.25">
      <c r="A166" t="s">
        <v>411</v>
      </c>
      <c r="B166" t="s">
        <v>211</v>
      </c>
      <c r="C166" t="s">
        <v>212</v>
      </c>
      <c r="D166" t="s">
        <v>131</v>
      </c>
      <c r="E166" t="s">
        <v>107</v>
      </c>
      <c r="F166">
        <f>ventas_libreria[[#This Row],[precio_eur]]/100</f>
        <v>18.59</v>
      </c>
      <c r="G166">
        <v>1859</v>
      </c>
      <c r="H166">
        <v>1</v>
      </c>
      <c r="I166">
        <f>ventas_libreria[[#This Row],[precio]]*ventas_libreria[[#This Row],[cantidad]]</f>
        <v>18.59</v>
      </c>
      <c r="J166">
        <v>10</v>
      </c>
      <c r="K166" t="s">
        <v>30</v>
      </c>
      <c r="L166" s="1">
        <v>45514</v>
      </c>
      <c r="M166" t="s">
        <v>31</v>
      </c>
      <c r="N166" t="s">
        <v>22</v>
      </c>
      <c r="O166" t="s">
        <v>49</v>
      </c>
      <c r="P166" t="s">
        <v>50</v>
      </c>
      <c r="Q166">
        <v>5</v>
      </c>
      <c r="R166">
        <f>IF(ventas_libreria[[#This Row],[valoracion_cliente]]="","Sin valoración",ventas_libreria[[#This Row],[valoracion_cliente]])</f>
        <v>5</v>
      </c>
    </row>
    <row r="167" spans="1:18" x14ac:dyDescent="0.25">
      <c r="A167" t="s">
        <v>412</v>
      </c>
      <c r="B167" t="s">
        <v>413</v>
      </c>
      <c r="C167" t="s">
        <v>414</v>
      </c>
      <c r="D167" t="s">
        <v>270</v>
      </c>
      <c r="E167" t="s">
        <v>415</v>
      </c>
      <c r="F167">
        <f>ventas_libreria[[#This Row],[precio_eur]]/100</f>
        <v>7.92</v>
      </c>
      <c r="G167">
        <v>792</v>
      </c>
      <c r="H167">
        <v>2</v>
      </c>
      <c r="I167">
        <f>ventas_libreria[[#This Row],[precio]]*ventas_libreria[[#This Row],[cantidad]]</f>
        <v>15.84</v>
      </c>
      <c r="J167">
        <v>75</v>
      </c>
      <c r="K167" t="s">
        <v>20</v>
      </c>
      <c r="L167" s="1">
        <v>45943</v>
      </c>
      <c r="M167" t="s">
        <v>31</v>
      </c>
      <c r="N167" t="s">
        <v>22</v>
      </c>
      <c r="O167" t="s">
        <v>132</v>
      </c>
      <c r="P167" t="s">
        <v>56</v>
      </c>
      <c r="Q167">
        <v>4</v>
      </c>
      <c r="R167">
        <f>IF(ventas_libreria[[#This Row],[valoracion_cliente]]="","Sin valoración",ventas_libreria[[#This Row],[valoracion_cliente]])</f>
        <v>4</v>
      </c>
    </row>
    <row r="168" spans="1:18" x14ac:dyDescent="0.25">
      <c r="A168" t="s">
        <v>416</v>
      </c>
      <c r="B168" t="s">
        <v>236</v>
      </c>
      <c r="C168" t="s">
        <v>237</v>
      </c>
      <c r="D168" t="s">
        <v>238</v>
      </c>
      <c r="E168" t="s">
        <v>29</v>
      </c>
      <c r="F168">
        <f>ventas_libreria[[#This Row],[precio_eur]]/100</f>
        <v>1.79</v>
      </c>
      <c r="G168">
        <v>179</v>
      </c>
      <c r="H168">
        <v>1</v>
      </c>
      <c r="I168">
        <f>ventas_libreria[[#This Row],[precio]]*ventas_libreria[[#This Row],[cantidad]]</f>
        <v>1.79</v>
      </c>
      <c r="J168">
        <v>28</v>
      </c>
      <c r="K168" t="s">
        <v>20</v>
      </c>
      <c r="L168" s="1">
        <v>45807</v>
      </c>
      <c r="M168" t="s">
        <v>43</v>
      </c>
      <c r="N168" t="s">
        <v>32</v>
      </c>
      <c r="O168" t="s">
        <v>33</v>
      </c>
      <c r="P168" t="s">
        <v>50</v>
      </c>
      <c r="Q168">
        <v>5</v>
      </c>
      <c r="R168">
        <f>IF(ventas_libreria[[#This Row],[valoracion_cliente]]="","Sin valoración",ventas_libreria[[#This Row],[valoracion_cliente]])</f>
        <v>5</v>
      </c>
    </row>
    <row r="169" spans="1:18" x14ac:dyDescent="0.25">
      <c r="A169" t="s">
        <v>417</v>
      </c>
      <c r="B169" t="s">
        <v>418</v>
      </c>
      <c r="C169" t="s">
        <v>419</v>
      </c>
      <c r="D169" t="s">
        <v>420</v>
      </c>
      <c r="E169" t="s">
        <v>149</v>
      </c>
      <c r="F169">
        <f>ventas_libreria[[#This Row],[precio_eur]]/100</f>
        <v>13.52</v>
      </c>
      <c r="G169">
        <v>1352</v>
      </c>
      <c r="H169">
        <v>1</v>
      </c>
      <c r="I169">
        <f>ventas_libreria[[#This Row],[precio]]*ventas_libreria[[#This Row],[cantidad]]</f>
        <v>13.52</v>
      </c>
      <c r="J169">
        <v>40</v>
      </c>
      <c r="K169" t="s">
        <v>38</v>
      </c>
      <c r="L169" s="1">
        <v>45569</v>
      </c>
      <c r="M169" t="s">
        <v>43</v>
      </c>
      <c r="N169" t="s">
        <v>32</v>
      </c>
      <c r="O169" t="s">
        <v>33</v>
      </c>
      <c r="P169" t="s">
        <v>24</v>
      </c>
      <c r="Q169">
        <v>4</v>
      </c>
      <c r="R169">
        <f>IF(ventas_libreria[[#This Row],[valoracion_cliente]]="","Sin valoración",ventas_libreria[[#This Row],[valoracion_cliente]])</f>
        <v>4</v>
      </c>
    </row>
    <row r="170" spans="1:18" x14ac:dyDescent="0.25">
      <c r="A170" t="s">
        <v>421</v>
      </c>
      <c r="B170" t="s">
        <v>307</v>
      </c>
      <c r="C170" t="s">
        <v>308</v>
      </c>
      <c r="D170" t="s">
        <v>88</v>
      </c>
      <c r="E170" t="s">
        <v>77</v>
      </c>
      <c r="F170">
        <f>ventas_libreria[[#This Row],[precio_eur]]/100</f>
        <v>1.0900000000000001</v>
      </c>
      <c r="G170">
        <v>109</v>
      </c>
      <c r="H170">
        <v>1</v>
      </c>
      <c r="I170">
        <f>ventas_libreria[[#This Row],[precio]]*ventas_libreria[[#This Row],[cantidad]]</f>
        <v>1.0900000000000001</v>
      </c>
      <c r="J170">
        <v>12</v>
      </c>
      <c r="K170" t="s">
        <v>38</v>
      </c>
      <c r="L170" s="1">
        <v>45831</v>
      </c>
      <c r="M170" t="s">
        <v>31</v>
      </c>
      <c r="N170" t="s">
        <v>22</v>
      </c>
      <c r="O170" t="s">
        <v>132</v>
      </c>
      <c r="P170" t="s">
        <v>50</v>
      </c>
      <c r="Q170">
        <v>5</v>
      </c>
      <c r="R170">
        <f>IF(ventas_libreria[[#This Row],[valoracion_cliente]]="","Sin valoración",ventas_libreria[[#This Row],[valoracion_cliente]])</f>
        <v>5</v>
      </c>
    </row>
    <row r="171" spans="1:18" x14ac:dyDescent="0.25">
      <c r="A171" t="s">
        <v>422</v>
      </c>
      <c r="B171" t="s">
        <v>86</v>
      </c>
      <c r="C171" t="s">
        <v>87</v>
      </c>
      <c r="D171" t="s">
        <v>88</v>
      </c>
      <c r="E171" t="s">
        <v>77</v>
      </c>
      <c r="F171">
        <f>ventas_libreria[[#This Row],[precio_eur]]/100</f>
        <v>9.52</v>
      </c>
      <c r="G171">
        <v>952</v>
      </c>
      <c r="H171">
        <v>1</v>
      </c>
      <c r="I171">
        <f>ventas_libreria[[#This Row],[precio]]*ventas_libreria[[#This Row],[cantidad]]</f>
        <v>9.52</v>
      </c>
      <c r="J171">
        <v>5</v>
      </c>
      <c r="K171" t="s">
        <v>38</v>
      </c>
      <c r="L171" s="1">
        <v>45078</v>
      </c>
      <c r="M171" t="s">
        <v>31</v>
      </c>
      <c r="N171" t="s">
        <v>22</v>
      </c>
      <c r="O171" t="s">
        <v>49</v>
      </c>
      <c r="P171" t="s">
        <v>24</v>
      </c>
      <c r="Q171">
        <v>3</v>
      </c>
      <c r="R171">
        <f>IF(ventas_libreria[[#This Row],[valoracion_cliente]]="","Sin valoración",ventas_libreria[[#This Row],[valoracion_cliente]])</f>
        <v>3</v>
      </c>
    </row>
    <row r="172" spans="1:18" x14ac:dyDescent="0.25">
      <c r="A172" t="s">
        <v>423</v>
      </c>
      <c r="B172" t="s">
        <v>424</v>
      </c>
      <c r="C172" t="s">
        <v>425</v>
      </c>
      <c r="D172" t="s">
        <v>426</v>
      </c>
      <c r="E172" t="s">
        <v>55</v>
      </c>
      <c r="F172">
        <f>ventas_libreria[[#This Row],[precio_eur]]/100</f>
        <v>16.059999999999999</v>
      </c>
      <c r="G172">
        <v>1606</v>
      </c>
      <c r="H172">
        <v>1</v>
      </c>
      <c r="I172">
        <f>ventas_libreria[[#This Row],[precio]]*ventas_libreria[[#This Row],[cantidad]]</f>
        <v>16.059999999999999</v>
      </c>
      <c r="J172">
        <v>65</v>
      </c>
      <c r="K172" t="s">
        <v>30</v>
      </c>
      <c r="L172" s="1">
        <v>45542</v>
      </c>
      <c r="M172" t="s">
        <v>43</v>
      </c>
      <c r="N172" t="s">
        <v>32</v>
      </c>
      <c r="O172" t="s">
        <v>33</v>
      </c>
      <c r="P172" t="s">
        <v>50</v>
      </c>
      <c r="Q172">
        <v>3</v>
      </c>
      <c r="R172">
        <f>IF(ventas_libreria[[#This Row],[valoracion_cliente]]="","Sin valoración",ventas_libreria[[#This Row],[valoracion_cliente]])</f>
        <v>3</v>
      </c>
    </row>
    <row r="173" spans="1:18" x14ac:dyDescent="0.25">
      <c r="A173" t="s">
        <v>427</v>
      </c>
      <c r="B173" t="s">
        <v>118</v>
      </c>
      <c r="C173" t="s">
        <v>119</v>
      </c>
      <c r="D173" t="s">
        <v>47</v>
      </c>
      <c r="E173" t="s">
        <v>48</v>
      </c>
      <c r="F173">
        <f>ventas_libreria[[#This Row],[precio_eur]]/100</f>
        <v>1.59</v>
      </c>
      <c r="G173">
        <v>159</v>
      </c>
      <c r="H173">
        <v>2</v>
      </c>
      <c r="I173">
        <f>ventas_libreria[[#This Row],[precio]]*ventas_libreria[[#This Row],[cantidad]]</f>
        <v>3.18</v>
      </c>
      <c r="J173">
        <v>38</v>
      </c>
      <c r="K173" t="s">
        <v>62</v>
      </c>
      <c r="L173" s="1">
        <v>45373</v>
      </c>
      <c r="M173" t="s">
        <v>31</v>
      </c>
      <c r="N173" t="s">
        <v>22</v>
      </c>
      <c r="O173" t="s">
        <v>23</v>
      </c>
      <c r="P173" t="s">
        <v>34</v>
      </c>
      <c r="Q173">
        <v>5</v>
      </c>
      <c r="R173">
        <f>IF(ventas_libreria[[#This Row],[valoracion_cliente]]="","Sin valoración",ventas_libreria[[#This Row],[valoracion_cliente]])</f>
        <v>5</v>
      </c>
    </row>
    <row r="174" spans="1:18" x14ac:dyDescent="0.25">
      <c r="A174" t="s">
        <v>428</v>
      </c>
      <c r="B174" t="s">
        <v>134</v>
      </c>
      <c r="C174" t="s">
        <v>135</v>
      </c>
      <c r="D174" t="s">
        <v>106</v>
      </c>
      <c r="E174" t="s">
        <v>107</v>
      </c>
      <c r="F174">
        <f>ventas_libreria[[#This Row],[precio_eur]]/100</f>
        <v>1.49</v>
      </c>
      <c r="G174">
        <v>149</v>
      </c>
      <c r="H174">
        <v>2</v>
      </c>
      <c r="I174">
        <f>ventas_libreria[[#This Row],[precio]]*ventas_libreria[[#This Row],[cantidad]]</f>
        <v>2.98</v>
      </c>
      <c r="J174">
        <v>11</v>
      </c>
      <c r="K174" t="s">
        <v>62</v>
      </c>
      <c r="L174" s="1">
        <v>45664</v>
      </c>
      <c r="M174" t="s">
        <v>31</v>
      </c>
      <c r="N174" t="s">
        <v>22</v>
      </c>
      <c r="O174" t="s">
        <v>23</v>
      </c>
      <c r="P174" t="s">
        <v>56</v>
      </c>
      <c r="Q174">
        <v>5</v>
      </c>
      <c r="R174">
        <f>IF(ventas_libreria[[#This Row],[valoracion_cliente]]="","Sin valoración",ventas_libreria[[#This Row],[valoracion_cliente]])</f>
        <v>5</v>
      </c>
    </row>
    <row r="175" spans="1:18" x14ac:dyDescent="0.25">
      <c r="A175" t="s">
        <v>429</v>
      </c>
      <c r="B175" t="s">
        <v>296</v>
      </c>
      <c r="C175" t="s">
        <v>297</v>
      </c>
      <c r="D175" t="s">
        <v>298</v>
      </c>
      <c r="E175" t="s">
        <v>154</v>
      </c>
      <c r="F175">
        <f>ventas_libreria[[#This Row],[precio_eur]]/100</f>
        <v>1.79</v>
      </c>
      <c r="G175">
        <v>179</v>
      </c>
      <c r="H175">
        <v>1</v>
      </c>
      <c r="I175">
        <f>ventas_libreria[[#This Row],[precio]]*ventas_libreria[[#This Row],[cantidad]]</f>
        <v>1.79</v>
      </c>
      <c r="J175">
        <v>19</v>
      </c>
      <c r="K175" t="s">
        <v>30</v>
      </c>
      <c r="L175" s="1">
        <v>45425</v>
      </c>
      <c r="M175" t="s">
        <v>43</v>
      </c>
      <c r="N175" t="s">
        <v>32</v>
      </c>
      <c r="O175" t="s">
        <v>33</v>
      </c>
      <c r="P175" t="s">
        <v>56</v>
      </c>
      <c r="Q175">
        <v>5</v>
      </c>
      <c r="R175">
        <f>IF(ventas_libreria[[#This Row],[valoracion_cliente]]="","Sin valoración",ventas_libreria[[#This Row],[valoracion_cliente]])</f>
        <v>5</v>
      </c>
    </row>
    <row r="176" spans="1:18" x14ac:dyDescent="0.25">
      <c r="A176" t="s">
        <v>430</v>
      </c>
      <c r="B176" t="s">
        <v>169</v>
      </c>
      <c r="C176" t="s">
        <v>170</v>
      </c>
      <c r="D176" t="s">
        <v>171</v>
      </c>
      <c r="E176" t="s">
        <v>172</v>
      </c>
      <c r="F176">
        <f>ventas_libreria[[#This Row],[precio_eur]]/100</f>
        <v>24.04</v>
      </c>
      <c r="G176">
        <v>2404</v>
      </c>
      <c r="H176">
        <v>2</v>
      </c>
      <c r="I176">
        <f>ventas_libreria[[#This Row],[precio]]*ventas_libreria[[#This Row],[cantidad]]</f>
        <v>48.08</v>
      </c>
      <c r="J176">
        <v>32</v>
      </c>
      <c r="K176" t="s">
        <v>62</v>
      </c>
      <c r="L176" s="1">
        <v>45330</v>
      </c>
      <c r="M176" t="s">
        <v>21</v>
      </c>
      <c r="N176" t="s">
        <v>22</v>
      </c>
      <c r="O176" t="s">
        <v>23</v>
      </c>
      <c r="P176" t="s">
        <v>34</v>
      </c>
      <c r="Q176">
        <v>5</v>
      </c>
      <c r="R176">
        <f>IF(ventas_libreria[[#This Row],[valoracion_cliente]]="","Sin valoración",ventas_libreria[[#This Row],[valoracion_cliente]])</f>
        <v>5</v>
      </c>
    </row>
    <row r="177" spans="1:18" x14ac:dyDescent="0.25">
      <c r="A177" t="s">
        <v>431</v>
      </c>
      <c r="B177" t="s">
        <v>327</v>
      </c>
      <c r="C177" t="s">
        <v>328</v>
      </c>
      <c r="D177" t="s">
        <v>288</v>
      </c>
      <c r="E177" t="s">
        <v>289</v>
      </c>
      <c r="F177">
        <f>ventas_libreria[[#This Row],[precio_eur]]/100</f>
        <v>19.46</v>
      </c>
      <c r="G177">
        <v>1946</v>
      </c>
      <c r="H177">
        <v>3</v>
      </c>
      <c r="I177">
        <f>ventas_libreria[[#This Row],[precio]]*ventas_libreria[[#This Row],[cantidad]]</f>
        <v>58.38</v>
      </c>
      <c r="J177">
        <v>30</v>
      </c>
      <c r="K177" t="s">
        <v>20</v>
      </c>
      <c r="L177" s="1">
        <v>45923</v>
      </c>
      <c r="M177" t="s">
        <v>31</v>
      </c>
      <c r="N177" t="s">
        <v>32</v>
      </c>
      <c r="O177" t="s">
        <v>33</v>
      </c>
      <c r="P177" t="s">
        <v>50</v>
      </c>
      <c r="Q177">
        <v>3</v>
      </c>
      <c r="R177">
        <f>IF(ventas_libreria[[#This Row],[valoracion_cliente]]="","Sin valoración",ventas_libreria[[#This Row],[valoracion_cliente]])</f>
        <v>3</v>
      </c>
    </row>
    <row r="178" spans="1:18" x14ac:dyDescent="0.25">
      <c r="A178" t="s">
        <v>432</v>
      </c>
      <c r="B178" t="s">
        <v>109</v>
      </c>
      <c r="C178" t="s">
        <v>110</v>
      </c>
      <c r="D178" t="s">
        <v>111</v>
      </c>
      <c r="E178" t="s">
        <v>55</v>
      </c>
      <c r="F178">
        <f>ventas_libreria[[#This Row],[precio_eur]]/100</f>
        <v>1.99</v>
      </c>
      <c r="G178">
        <v>199</v>
      </c>
      <c r="H178">
        <v>2</v>
      </c>
      <c r="I178">
        <f>ventas_libreria[[#This Row],[precio]]*ventas_libreria[[#This Row],[cantidad]]</f>
        <v>3.98</v>
      </c>
      <c r="J178">
        <v>54</v>
      </c>
      <c r="K178" t="s">
        <v>30</v>
      </c>
      <c r="L178" s="1">
        <v>45003</v>
      </c>
      <c r="M178" t="s">
        <v>43</v>
      </c>
      <c r="N178" t="s">
        <v>32</v>
      </c>
      <c r="O178" t="s">
        <v>33</v>
      </c>
      <c r="P178" t="s">
        <v>24</v>
      </c>
      <c r="R178" t="str">
        <f>IF(ventas_libreria[[#This Row],[valoracion_cliente]]="","Sin valoración",ventas_libreria[[#This Row],[valoracion_cliente]])</f>
        <v>Sin valoración</v>
      </c>
    </row>
    <row r="179" spans="1:18" x14ac:dyDescent="0.25">
      <c r="A179" t="s">
        <v>433</v>
      </c>
      <c r="B179" t="s">
        <v>160</v>
      </c>
      <c r="C179" t="s">
        <v>161</v>
      </c>
      <c r="D179" t="s">
        <v>162</v>
      </c>
      <c r="E179" t="s">
        <v>29</v>
      </c>
      <c r="F179">
        <f>ventas_libreria[[#This Row],[precio_eur]]/100</f>
        <v>15.21</v>
      </c>
      <c r="G179">
        <v>1521</v>
      </c>
      <c r="H179">
        <v>2</v>
      </c>
      <c r="I179">
        <f>ventas_libreria[[#This Row],[precio]]*ventas_libreria[[#This Row],[cantidad]]</f>
        <v>30.42</v>
      </c>
      <c r="J179">
        <v>29</v>
      </c>
      <c r="K179" t="s">
        <v>20</v>
      </c>
      <c r="L179" s="1">
        <v>45354</v>
      </c>
      <c r="M179" t="s">
        <v>43</v>
      </c>
      <c r="N179" t="s">
        <v>32</v>
      </c>
      <c r="O179" t="s">
        <v>33</v>
      </c>
      <c r="P179" t="s">
        <v>56</v>
      </c>
      <c r="Q179">
        <v>4</v>
      </c>
      <c r="R179">
        <f>IF(ventas_libreria[[#This Row],[valoracion_cliente]]="","Sin valoración",ventas_libreria[[#This Row],[valoracion_cliente]])</f>
        <v>4</v>
      </c>
    </row>
    <row r="180" spans="1:18" x14ac:dyDescent="0.25">
      <c r="A180" t="s">
        <v>434</v>
      </c>
      <c r="B180" t="s">
        <v>362</v>
      </c>
      <c r="C180" t="s">
        <v>363</v>
      </c>
      <c r="D180" t="s">
        <v>249</v>
      </c>
      <c r="E180" t="s">
        <v>172</v>
      </c>
      <c r="F180">
        <f>ventas_libreria[[#This Row],[precio_eur]]/100</f>
        <v>15.96</v>
      </c>
      <c r="G180">
        <v>1596</v>
      </c>
      <c r="H180">
        <v>1</v>
      </c>
      <c r="I180">
        <f>ventas_libreria[[#This Row],[precio]]*ventas_libreria[[#This Row],[cantidad]]</f>
        <v>15.96</v>
      </c>
      <c r="J180">
        <v>60</v>
      </c>
      <c r="K180" t="s">
        <v>62</v>
      </c>
      <c r="L180" s="1">
        <v>45438</v>
      </c>
      <c r="M180" t="s">
        <v>21</v>
      </c>
      <c r="N180" t="s">
        <v>22</v>
      </c>
      <c r="O180" t="s">
        <v>132</v>
      </c>
      <c r="P180" t="s">
        <v>24</v>
      </c>
      <c r="Q180">
        <v>5</v>
      </c>
      <c r="R180">
        <f>IF(ventas_libreria[[#This Row],[valoracion_cliente]]="","Sin valoración",ventas_libreria[[#This Row],[valoracion_cliente]])</f>
        <v>5</v>
      </c>
    </row>
    <row r="181" spans="1:18" x14ac:dyDescent="0.25">
      <c r="A181" t="s">
        <v>435</v>
      </c>
      <c r="B181" t="s">
        <v>332</v>
      </c>
      <c r="C181" t="s">
        <v>333</v>
      </c>
      <c r="D181" t="s">
        <v>334</v>
      </c>
      <c r="E181" t="s">
        <v>116</v>
      </c>
      <c r="F181">
        <f>ventas_libreria[[#This Row],[precio_eur]]/100</f>
        <v>13.52</v>
      </c>
      <c r="G181">
        <v>1352</v>
      </c>
      <c r="H181">
        <v>1</v>
      </c>
      <c r="I181">
        <f>ventas_libreria[[#This Row],[precio]]*ventas_libreria[[#This Row],[cantidad]]</f>
        <v>13.52</v>
      </c>
      <c r="J181">
        <v>26</v>
      </c>
      <c r="K181" t="s">
        <v>38</v>
      </c>
      <c r="L181" s="1">
        <v>45101</v>
      </c>
      <c r="M181" t="s">
        <v>31</v>
      </c>
      <c r="N181" t="s">
        <v>32</v>
      </c>
      <c r="O181" t="s">
        <v>33</v>
      </c>
      <c r="P181" t="s">
        <v>84</v>
      </c>
      <c r="Q181">
        <v>4</v>
      </c>
      <c r="R181">
        <f>IF(ventas_libreria[[#This Row],[valoracion_cliente]]="","Sin valoración",ventas_libreria[[#This Row],[valoracion_cliente]])</f>
        <v>4</v>
      </c>
    </row>
    <row r="182" spans="1:18" x14ac:dyDescent="0.25">
      <c r="A182" t="s">
        <v>436</v>
      </c>
      <c r="B182" t="s">
        <v>437</v>
      </c>
      <c r="C182" t="s">
        <v>438</v>
      </c>
      <c r="D182" t="s">
        <v>178</v>
      </c>
      <c r="E182" t="s">
        <v>55</v>
      </c>
      <c r="F182">
        <f>ventas_libreria[[#This Row],[precio_eur]]/100</f>
        <v>1.79</v>
      </c>
      <c r="G182">
        <v>179</v>
      </c>
      <c r="H182">
        <v>2</v>
      </c>
      <c r="I182">
        <f>ventas_libreria[[#This Row],[precio]]*ventas_libreria[[#This Row],[cantidad]]</f>
        <v>3.58</v>
      </c>
      <c r="J182">
        <v>75</v>
      </c>
      <c r="K182" t="s">
        <v>62</v>
      </c>
      <c r="L182" s="1">
        <v>45368</v>
      </c>
      <c r="M182" t="s">
        <v>31</v>
      </c>
      <c r="N182" t="s">
        <v>22</v>
      </c>
      <c r="O182" t="s">
        <v>67</v>
      </c>
      <c r="P182" t="s">
        <v>24</v>
      </c>
      <c r="Q182">
        <v>2</v>
      </c>
      <c r="R182">
        <f>IF(ventas_libreria[[#This Row],[valoracion_cliente]]="","Sin valoración",ventas_libreria[[#This Row],[valoracion_cliente]])</f>
        <v>2</v>
      </c>
    </row>
    <row r="183" spans="1:18" x14ac:dyDescent="0.25">
      <c r="A183" t="s">
        <v>439</v>
      </c>
      <c r="B183" t="s">
        <v>100</v>
      </c>
      <c r="C183" t="s">
        <v>101</v>
      </c>
      <c r="D183" t="s">
        <v>102</v>
      </c>
      <c r="E183" t="s">
        <v>61</v>
      </c>
      <c r="F183">
        <f>ventas_libreria[[#This Row],[precio_eur]]/100</f>
        <v>13.09</v>
      </c>
      <c r="G183">
        <v>1309</v>
      </c>
      <c r="H183">
        <v>1</v>
      </c>
      <c r="I183">
        <f>ventas_libreria[[#This Row],[precio]]*ventas_libreria[[#This Row],[cantidad]]</f>
        <v>13.09</v>
      </c>
      <c r="J183">
        <v>18</v>
      </c>
      <c r="K183" t="s">
        <v>62</v>
      </c>
      <c r="L183" s="1">
        <v>45065</v>
      </c>
      <c r="M183" t="s">
        <v>31</v>
      </c>
      <c r="N183" t="s">
        <v>32</v>
      </c>
      <c r="O183" t="s">
        <v>33</v>
      </c>
      <c r="P183" t="s">
        <v>84</v>
      </c>
      <c r="R183" t="str">
        <f>IF(ventas_libreria[[#This Row],[valoracion_cliente]]="","Sin valoración",ventas_libreria[[#This Row],[valoracion_cliente]])</f>
        <v>Sin valoración</v>
      </c>
    </row>
    <row r="184" spans="1:18" x14ac:dyDescent="0.25">
      <c r="A184" t="s">
        <v>440</v>
      </c>
      <c r="B184" t="s">
        <v>348</v>
      </c>
      <c r="C184" t="s">
        <v>349</v>
      </c>
      <c r="D184" t="s">
        <v>350</v>
      </c>
      <c r="E184" t="s">
        <v>116</v>
      </c>
      <c r="F184">
        <f>ventas_libreria[[#This Row],[precio_eur]]/100</f>
        <v>17.91</v>
      </c>
      <c r="G184">
        <v>1791</v>
      </c>
      <c r="H184">
        <v>1</v>
      </c>
      <c r="I184">
        <f>ventas_libreria[[#This Row],[precio]]*ventas_libreria[[#This Row],[cantidad]]</f>
        <v>17.91</v>
      </c>
      <c r="J184">
        <v>68</v>
      </c>
      <c r="K184" t="s">
        <v>38</v>
      </c>
      <c r="L184" s="1">
        <v>44987</v>
      </c>
      <c r="M184" t="s">
        <v>31</v>
      </c>
      <c r="N184" t="s">
        <v>32</v>
      </c>
      <c r="O184" t="s">
        <v>33</v>
      </c>
      <c r="P184" t="s">
        <v>50</v>
      </c>
      <c r="Q184">
        <v>3</v>
      </c>
      <c r="R184">
        <f>IF(ventas_libreria[[#This Row],[valoracion_cliente]]="","Sin valoración",ventas_libreria[[#This Row],[valoracion_cliente]])</f>
        <v>3</v>
      </c>
    </row>
    <row r="185" spans="1:18" x14ac:dyDescent="0.25">
      <c r="A185" t="s">
        <v>441</v>
      </c>
      <c r="B185" t="s">
        <v>141</v>
      </c>
      <c r="C185" t="s">
        <v>142</v>
      </c>
      <c r="D185" t="s">
        <v>143</v>
      </c>
      <c r="E185" t="s">
        <v>116</v>
      </c>
      <c r="F185">
        <f>ventas_libreria[[#This Row],[precio_eur]]/100</f>
        <v>1.49</v>
      </c>
      <c r="G185">
        <v>149</v>
      </c>
      <c r="H185">
        <v>1</v>
      </c>
      <c r="I185">
        <f>ventas_libreria[[#This Row],[precio]]*ventas_libreria[[#This Row],[cantidad]]</f>
        <v>1.49</v>
      </c>
      <c r="J185">
        <v>41</v>
      </c>
      <c r="K185" t="s">
        <v>30</v>
      </c>
      <c r="L185" s="1">
        <v>44950</v>
      </c>
      <c r="M185" t="s">
        <v>31</v>
      </c>
      <c r="N185" t="s">
        <v>32</v>
      </c>
      <c r="O185" t="s">
        <v>33</v>
      </c>
      <c r="P185" t="s">
        <v>34</v>
      </c>
      <c r="Q185">
        <v>5</v>
      </c>
      <c r="R185">
        <f>IF(ventas_libreria[[#This Row],[valoracion_cliente]]="","Sin valoración",ventas_libreria[[#This Row],[valoracion_cliente]])</f>
        <v>5</v>
      </c>
    </row>
    <row r="186" spans="1:18" x14ac:dyDescent="0.25">
      <c r="A186" t="s">
        <v>442</v>
      </c>
      <c r="B186" t="s">
        <v>240</v>
      </c>
      <c r="C186" t="s">
        <v>241</v>
      </c>
      <c r="D186" t="s">
        <v>54</v>
      </c>
      <c r="E186" t="s">
        <v>172</v>
      </c>
      <c r="F186">
        <f>ventas_libreria[[#This Row],[precio_eur]]/100</f>
        <v>1.49</v>
      </c>
      <c r="G186">
        <v>149</v>
      </c>
      <c r="H186">
        <v>1</v>
      </c>
      <c r="I186">
        <f>ventas_libreria[[#This Row],[precio]]*ventas_libreria[[#This Row],[cantidad]]</f>
        <v>1.49</v>
      </c>
      <c r="J186">
        <v>32</v>
      </c>
      <c r="K186" t="s">
        <v>38</v>
      </c>
      <c r="L186" s="1">
        <v>45276</v>
      </c>
      <c r="M186" t="s">
        <v>43</v>
      </c>
      <c r="N186" t="s">
        <v>32</v>
      </c>
      <c r="O186" t="s">
        <v>33</v>
      </c>
      <c r="P186" t="s">
        <v>84</v>
      </c>
      <c r="Q186">
        <v>4</v>
      </c>
      <c r="R186">
        <f>IF(ventas_libreria[[#This Row],[valoracion_cliente]]="","Sin valoración",ventas_libreria[[#This Row],[valoracion_cliente]])</f>
        <v>4</v>
      </c>
    </row>
    <row r="187" spans="1:18" x14ac:dyDescent="0.25">
      <c r="A187" t="s">
        <v>443</v>
      </c>
      <c r="B187" t="s">
        <v>224</v>
      </c>
      <c r="C187" t="s">
        <v>225</v>
      </c>
      <c r="D187" t="s">
        <v>226</v>
      </c>
      <c r="E187" t="s">
        <v>116</v>
      </c>
      <c r="F187">
        <f>ventas_libreria[[#This Row],[precio_eur]]/100</f>
        <v>27.39</v>
      </c>
      <c r="G187">
        <v>2739</v>
      </c>
      <c r="H187">
        <v>1</v>
      </c>
      <c r="I187">
        <f>ventas_libreria[[#This Row],[precio]]*ventas_libreria[[#This Row],[cantidad]]</f>
        <v>27.39</v>
      </c>
      <c r="J187">
        <v>43</v>
      </c>
      <c r="K187" t="s">
        <v>30</v>
      </c>
      <c r="L187" s="1">
        <v>45289</v>
      </c>
      <c r="M187" t="s">
        <v>31</v>
      </c>
      <c r="N187" t="s">
        <v>32</v>
      </c>
      <c r="O187" t="s">
        <v>33</v>
      </c>
      <c r="P187" t="s">
        <v>50</v>
      </c>
      <c r="Q187">
        <v>5</v>
      </c>
      <c r="R187">
        <f>IF(ventas_libreria[[#This Row],[valoracion_cliente]]="","Sin valoración",ventas_libreria[[#This Row],[valoracion_cliente]])</f>
        <v>5</v>
      </c>
    </row>
    <row r="188" spans="1:18" x14ac:dyDescent="0.25">
      <c r="A188" t="s">
        <v>444</v>
      </c>
      <c r="B188" t="s">
        <v>353</v>
      </c>
      <c r="C188" t="s">
        <v>354</v>
      </c>
      <c r="D188" t="s">
        <v>226</v>
      </c>
      <c r="E188" t="s">
        <v>116</v>
      </c>
      <c r="F188">
        <f>ventas_libreria[[#This Row],[precio_eur]]/100</f>
        <v>15.21</v>
      </c>
      <c r="G188">
        <v>1521</v>
      </c>
      <c r="H188">
        <v>1</v>
      </c>
      <c r="I188">
        <f>ventas_libreria[[#This Row],[precio]]*ventas_libreria[[#This Row],[cantidad]]</f>
        <v>15.21</v>
      </c>
      <c r="J188">
        <v>56</v>
      </c>
      <c r="K188" t="s">
        <v>62</v>
      </c>
      <c r="L188" s="1">
        <v>45667</v>
      </c>
      <c r="M188" t="s">
        <v>43</v>
      </c>
      <c r="N188" t="s">
        <v>32</v>
      </c>
      <c r="O188" t="s">
        <v>33</v>
      </c>
      <c r="P188" t="s">
        <v>50</v>
      </c>
      <c r="Q188">
        <v>4</v>
      </c>
      <c r="R188">
        <f>IF(ventas_libreria[[#This Row],[valoracion_cliente]]="","Sin valoración",ventas_libreria[[#This Row],[valoracion_cliente]])</f>
        <v>4</v>
      </c>
    </row>
    <row r="189" spans="1:18" x14ac:dyDescent="0.25">
      <c r="A189" t="s">
        <v>445</v>
      </c>
      <c r="B189" t="s">
        <v>446</v>
      </c>
      <c r="C189" t="s">
        <v>447</v>
      </c>
      <c r="D189" t="s">
        <v>262</v>
      </c>
      <c r="E189" t="s">
        <v>263</v>
      </c>
      <c r="F189">
        <f>ventas_libreria[[#This Row],[precio_eur]]/100</f>
        <v>1.99</v>
      </c>
      <c r="G189">
        <v>199</v>
      </c>
      <c r="H189">
        <v>1</v>
      </c>
      <c r="I189">
        <f>ventas_libreria[[#This Row],[precio]]*ventas_libreria[[#This Row],[cantidad]]</f>
        <v>1.99</v>
      </c>
      <c r="J189">
        <v>68</v>
      </c>
      <c r="K189" t="s">
        <v>62</v>
      </c>
      <c r="L189" s="1">
        <v>45998</v>
      </c>
      <c r="M189" t="s">
        <v>43</v>
      </c>
      <c r="N189" t="s">
        <v>32</v>
      </c>
      <c r="O189" t="s">
        <v>33</v>
      </c>
      <c r="P189" t="s">
        <v>34</v>
      </c>
      <c r="Q189">
        <v>5</v>
      </c>
      <c r="R189">
        <f>IF(ventas_libreria[[#This Row],[valoracion_cliente]]="","Sin valoración",ventas_libreria[[#This Row],[valoracion_cliente]])</f>
        <v>5</v>
      </c>
    </row>
    <row r="190" spans="1:18" x14ac:dyDescent="0.25">
      <c r="A190" t="s">
        <v>448</v>
      </c>
      <c r="B190" t="s">
        <v>446</v>
      </c>
      <c r="C190" t="s">
        <v>447</v>
      </c>
      <c r="D190" t="s">
        <v>262</v>
      </c>
      <c r="E190" t="s">
        <v>263</v>
      </c>
      <c r="F190">
        <f>ventas_libreria[[#This Row],[precio_eur]]/100</f>
        <v>1.99</v>
      </c>
      <c r="G190">
        <v>199</v>
      </c>
      <c r="H190">
        <v>1</v>
      </c>
      <c r="I190">
        <f>ventas_libreria[[#This Row],[precio]]*ventas_libreria[[#This Row],[cantidad]]</f>
        <v>1.99</v>
      </c>
      <c r="J190">
        <v>56</v>
      </c>
      <c r="K190" t="s">
        <v>38</v>
      </c>
      <c r="L190" s="1">
        <v>45084</v>
      </c>
      <c r="M190" t="s">
        <v>21</v>
      </c>
      <c r="N190" t="s">
        <v>32</v>
      </c>
      <c r="O190" t="s">
        <v>33</v>
      </c>
      <c r="P190" t="s">
        <v>56</v>
      </c>
      <c r="Q190">
        <v>3</v>
      </c>
      <c r="R190">
        <f>IF(ventas_libreria[[#This Row],[valoracion_cliente]]="","Sin valoración",ventas_libreria[[#This Row],[valoracion_cliente]])</f>
        <v>3</v>
      </c>
    </row>
    <row r="191" spans="1:18" x14ac:dyDescent="0.25">
      <c r="A191" t="s">
        <v>449</v>
      </c>
      <c r="B191" t="s">
        <v>418</v>
      </c>
      <c r="C191" t="s">
        <v>419</v>
      </c>
      <c r="D191" t="s">
        <v>420</v>
      </c>
      <c r="E191" t="s">
        <v>149</v>
      </c>
      <c r="F191">
        <f>ventas_libreria[[#This Row],[precio_eur]]/100</f>
        <v>14.36</v>
      </c>
      <c r="G191">
        <v>1436</v>
      </c>
      <c r="H191">
        <v>1</v>
      </c>
      <c r="I191">
        <f>ventas_libreria[[#This Row],[precio]]*ventas_libreria[[#This Row],[cantidad]]</f>
        <v>14.36</v>
      </c>
      <c r="J191">
        <v>21</v>
      </c>
      <c r="K191" t="s">
        <v>20</v>
      </c>
      <c r="L191" s="1">
        <v>45846</v>
      </c>
      <c r="M191" t="s">
        <v>31</v>
      </c>
      <c r="N191" t="s">
        <v>32</v>
      </c>
      <c r="O191" t="s">
        <v>33</v>
      </c>
      <c r="P191" t="s">
        <v>50</v>
      </c>
      <c r="Q191">
        <v>5</v>
      </c>
      <c r="R191">
        <f>IF(ventas_libreria[[#This Row],[valoracion_cliente]]="","Sin valoración",ventas_libreria[[#This Row],[valoracion_cliente]])</f>
        <v>5</v>
      </c>
    </row>
    <row r="192" spans="1:18" x14ac:dyDescent="0.25">
      <c r="A192" t="s">
        <v>450</v>
      </c>
      <c r="B192" t="s">
        <v>160</v>
      </c>
      <c r="C192" t="s">
        <v>161</v>
      </c>
      <c r="D192" t="s">
        <v>162</v>
      </c>
      <c r="E192" t="s">
        <v>29</v>
      </c>
      <c r="F192">
        <f>ventas_libreria[[#This Row],[precio_eur]]/100</f>
        <v>17.75</v>
      </c>
      <c r="G192">
        <v>1775</v>
      </c>
      <c r="H192">
        <v>2</v>
      </c>
      <c r="I192">
        <f>ventas_libreria[[#This Row],[precio]]*ventas_libreria[[#This Row],[cantidad]]</f>
        <v>35.5</v>
      </c>
      <c r="J192">
        <v>19</v>
      </c>
      <c r="K192" t="s">
        <v>30</v>
      </c>
      <c r="L192" s="1">
        <v>45239</v>
      </c>
      <c r="M192" t="s">
        <v>43</v>
      </c>
      <c r="N192" t="s">
        <v>32</v>
      </c>
      <c r="O192" t="s">
        <v>33</v>
      </c>
      <c r="P192" t="s">
        <v>56</v>
      </c>
      <c r="Q192">
        <v>2</v>
      </c>
      <c r="R192">
        <f>IF(ventas_libreria[[#This Row],[valoracion_cliente]]="","Sin valoración",ventas_libreria[[#This Row],[valoracion_cliente]])</f>
        <v>2</v>
      </c>
    </row>
    <row r="193" spans="1:18" x14ac:dyDescent="0.25">
      <c r="A193" t="s">
        <v>451</v>
      </c>
      <c r="B193" t="s">
        <v>52</v>
      </c>
      <c r="C193" t="s">
        <v>53</v>
      </c>
      <c r="D193" t="s">
        <v>54</v>
      </c>
      <c r="E193" t="s">
        <v>55</v>
      </c>
      <c r="F193">
        <f>ventas_libreria[[#This Row],[precio_eur]]/100</f>
        <v>1.25</v>
      </c>
      <c r="G193">
        <v>125</v>
      </c>
      <c r="H193">
        <v>2</v>
      </c>
      <c r="I193">
        <f>ventas_libreria[[#This Row],[precio]]*ventas_libreria[[#This Row],[cantidad]]</f>
        <v>2.5</v>
      </c>
      <c r="J193">
        <v>70</v>
      </c>
      <c r="K193" t="s">
        <v>38</v>
      </c>
      <c r="L193" s="1">
        <v>45488</v>
      </c>
      <c r="M193" t="s">
        <v>43</v>
      </c>
      <c r="N193" t="s">
        <v>32</v>
      </c>
      <c r="O193" t="s">
        <v>33</v>
      </c>
      <c r="P193" t="s">
        <v>50</v>
      </c>
      <c r="R193" t="str">
        <f>IF(ventas_libreria[[#This Row],[valoracion_cliente]]="","Sin valoración",ventas_libreria[[#This Row],[valoracion_cliente]])</f>
        <v>Sin valoración</v>
      </c>
    </row>
    <row r="194" spans="1:18" x14ac:dyDescent="0.25">
      <c r="A194" t="s">
        <v>452</v>
      </c>
      <c r="B194" t="s">
        <v>129</v>
      </c>
      <c r="C194" t="s">
        <v>130</v>
      </c>
      <c r="D194" t="s">
        <v>131</v>
      </c>
      <c r="E194" t="s">
        <v>107</v>
      </c>
      <c r="F194">
        <f>ventas_libreria[[#This Row],[precio_eur]]/100</f>
        <v>1.59</v>
      </c>
      <c r="G194">
        <v>159</v>
      </c>
      <c r="H194">
        <v>1</v>
      </c>
      <c r="I194">
        <f>ventas_libreria[[#This Row],[precio]]*ventas_libreria[[#This Row],[cantidad]]</f>
        <v>1.59</v>
      </c>
      <c r="J194">
        <v>20</v>
      </c>
      <c r="K194" t="s">
        <v>20</v>
      </c>
      <c r="L194" s="1">
        <v>45153</v>
      </c>
      <c r="M194" t="s">
        <v>43</v>
      </c>
      <c r="N194" t="s">
        <v>32</v>
      </c>
      <c r="O194" t="s">
        <v>33</v>
      </c>
      <c r="P194" t="s">
        <v>24</v>
      </c>
      <c r="Q194">
        <v>4</v>
      </c>
      <c r="R194">
        <f>IF(ventas_libreria[[#This Row],[valoracion_cliente]]="","Sin valoración",ventas_libreria[[#This Row],[valoracion_cliente]])</f>
        <v>4</v>
      </c>
    </row>
    <row r="195" spans="1:18" x14ac:dyDescent="0.25">
      <c r="A195" t="s">
        <v>453</v>
      </c>
      <c r="B195" t="s">
        <v>169</v>
      </c>
      <c r="C195" t="s">
        <v>170</v>
      </c>
      <c r="D195" t="s">
        <v>171</v>
      </c>
      <c r="E195" t="s">
        <v>172</v>
      </c>
      <c r="F195">
        <f>ventas_libreria[[#This Row],[precio_eur]]/100</f>
        <v>18.32</v>
      </c>
      <c r="G195">
        <v>1832</v>
      </c>
      <c r="H195">
        <v>1</v>
      </c>
      <c r="I195">
        <f>ventas_libreria[[#This Row],[precio]]*ventas_libreria[[#This Row],[cantidad]]</f>
        <v>18.32</v>
      </c>
      <c r="J195">
        <v>35</v>
      </c>
      <c r="K195" t="s">
        <v>20</v>
      </c>
      <c r="L195" s="1">
        <v>45695</v>
      </c>
      <c r="M195" t="s">
        <v>43</v>
      </c>
      <c r="N195" t="s">
        <v>32</v>
      </c>
      <c r="O195" t="s">
        <v>33</v>
      </c>
      <c r="P195" t="s">
        <v>24</v>
      </c>
      <c r="Q195">
        <v>2</v>
      </c>
      <c r="R195">
        <f>IF(ventas_libreria[[#This Row],[valoracion_cliente]]="","Sin valoración",ventas_libreria[[#This Row],[valoracion_cliente]])</f>
        <v>2</v>
      </c>
    </row>
    <row r="196" spans="1:18" x14ac:dyDescent="0.25">
      <c r="A196" t="s">
        <v>454</v>
      </c>
      <c r="B196" t="s">
        <v>286</v>
      </c>
      <c r="C196" t="s">
        <v>287</v>
      </c>
      <c r="D196" t="s">
        <v>288</v>
      </c>
      <c r="E196" t="s">
        <v>289</v>
      </c>
      <c r="F196">
        <f>ventas_libreria[[#This Row],[precio_eur]]/100</f>
        <v>2.19</v>
      </c>
      <c r="G196">
        <v>219</v>
      </c>
      <c r="H196">
        <v>1</v>
      </c>
      <c r="I196">
        <f>ventas_libreria[[#This Row],[precio]]*ventas_libreria[[#This Row],[cantidad]]</f>
        <v>2.19</v>
      </c>
      <c r="J196">
        <v>64</v>
      </c>
      <c r="K196" t="s">
        <v>38</v>
      </c>
      <c r="L196" s="1">
        <v>45808</v>
      </c>
      <c r="M196" t="s">
        <v>43</v>
      </c>
      <c r="N196" t="s">
        <v>32</v>
      </c>
      <c r="O196" t="s">
        <v>33</v>
      </c>
      <c r="P196" t="s">
        <v>50</v>
      </c>
      <c r="Q196">
        <v>4</v>
      </c>
      <c r="R196">
        <f>IF(ventas_libreria[[#This Row],[valoracion_cliente]]="","Sin valoración",ventas_libreria[[#This Row],[valoracion_cliente]])</f>
        <v>4</v>
      </c>
    </row>
    <row r="197" spans="1:18" x14ac:dyDescent="0.25">
      <c r="A197" t="s">
        <v>455</v>
      </c>
      <c r="B197" t="s">
        <v>45</v>
      </c>
      <c r="C197" t="s">
        <v>46</v>
      </c>
      <c r="D197" t="s">
        <v>47</v>
      </c>
      <c r="E197" t="s">
        <v>48</v>
      </c>
      <c r="F197">
        <f>ventas_libreria[[#This Row],[precio_eur]]/100</f>
        <v>1.99</v>
      </c>
      <c r="G197">
        <v>199</v>
      </c>
      <c r="H197">
        <v>1</v>
      </c>
      <c r="I197">
        <f>ventas_libreria[[#This Row],[precio]]*ventas_libreria[[#This Row],[cantidad]]</f>
        <v>1.99</v>
      </c>
      <c r="J197">
        <v>25</v>
      </c>
      <c r="K197" t="s">
        <v>30</v>
      </c>
      <c r="L197" s="1">
        <v>45317</v>
      </c>
      <c r="M197" t="s">
        <v>31</v>
      </c>
      <c r="N197" t="s">
        <v>32</v>
      </c>
      <c r="O197" t="s">
        <v>33</v>
      </c>
      <c r="P197" t="s">
        <v>34</v>
      </c>
      <c r="Q197">
        <v>4</v>
      </c>
      <c r="R197">
        <f>IF(ventas_libreria[[#This Row],[valoracion_cliente]]="","Sin valoración",ventas_libreria[[#This Row],[valoracion_cliente]])</f>
        <v>4</v>
      </c>
    </row>
    <row r="198" spans="1:18" x14ac:dyDescent="0.25">
      <c r="A198" t="s">
        <v>456</v>
      </c>
      <c r="B198" t="s">
        <v>276</v>
      </c>
      <c r="C198" t="s">
        <v>277</v>
      </c>
      <c r="D198" t="s">
        <v>278</v>
      </c>
      <c r="E198" t="s">
        <v>189</v>
      </c>
      <c r="F198">
        <f>ventas_libreria[[#This Row],[precio_eur]]/100</f>
        <v>19.690000000000001</v>
      </c>
      <c r="G198">
        <v>1969</v>
      </c>
      <c r="H198">
        <v>2</v>
      </c>
      <c r="I198">
        <f>ventas_libreria[[#This Row],[precio]]*ventas_libreria[[#This Row],[cantidad]]</f>
        <v>39.380000000000003</v>
      </c>
      <c r="J198">
        <v>34</v>
      </c>
      <c r="K198" t="s">
        <v>20</v>
      </c>
      <c r="L198" s="1">
        <v>45190</v>
      </c>
      <c r="M198" t="s">
        <v>31</v>
      </c>
      <c r="N198" t="s">
        <v>32</v>
      </c>
      <c r="O198" t="s">
        <v>33</v>
      </c>
      <c r="P198" t="s">
        <v>24</v>
      </c>
      <c r="Q198">
        <v>5</v>
      </c>
      <c r="R198">
        <f>IF(ventas_libreria[[#This Row],[valoracion_cliente]]="","Sin valoración",ventas_libreria[[#This Row],[valoracion_cliente]])</f>
        <v>5</v>
      </c>
    </row>
    <row r="199" spans="1:18" x14ac:dyDescent="0.25">
      <c r="A199" t="s">
        <v>457</v>
      </c>
      <c r="B199" t="s">
        <v>318</v>
      </c>
      <c r="C199" t="s">
        <v>319</v>
      </c>
      <c r="D199" t="s">
        <v>167</v>
      </c>
      <c r="E199" t="s">
        <v>61</v>
      </c>
      <c r="F199">
        <f>ventas_libreria[[#This Row],[precio_eur]]/100</f>
        <v>17.010000000000002</v>
      </c>
      <c r="G199">
        <v>1701</v>
      </c>
      <c r="H199">
        <v>1</v>
      </c>
      <c r="I199">
        <f>ventas_libreria[[#This Row],[precio]]*ventas_libreria[[#This Row],[cantidad]]</f>
        <v>17.010000000000002</v>
      </c>
      <c r="J199">
        <v>70</v>
      </c>
      <c r="K199" t="s">
        <v>38</v>
      </c>
      <c r="L199" s="1">
        <v>45644</v>
      </c>
      <c r="M199" t="s">
        <v>43</v>
      </c>
      <c r="N199" t="s">
        <v>32</v>
      </c>
      <c r="O199" t="s">
        <v>33</v>
      </c>
      <c r="P199" t="s">
        <v>34</v>
      </c>
      <c r="Q199">
        <v>5</v>
      </c>
      <c r="R199">
        <f>IF(ventas_libreria[[#This Row],[valoracion_cliente]]="","Sin valoración",ventas_libreria[[#This Row],[valoracion_cliente]])</f>
        <v>5</v>
      </c>
    </row>
    <row r="200" spans="1:18" x14ac:dyDescent="0.25">
      <c r="A200" t="s">
        <v>458</v>
      </c>
      <c r="B200" t="s">
        <v>100</v>
      </c>
      <c r="C200" t="s">
        <v>101</v>
      </c>
      <c r="D200" t="s">
        <v>102</v>
      </c>
      <c r="E200" t="s">
        <v>61</v>
      </c>
      <c r="F200">
        <f>ventas_libreria[[#This Row],[precio_eur]]/100</f>
        <v>1.19</v>
      </c>
      <c r="G200">
        <v>119</v>
      </c>
      <c r="H200">
        <v>1</v>
      </c>
      <c r="I200">
        <f>ventas_libreria[[#This Row],[precio]]*ventas_libreria[[#This Row],[cantidad]]</f>
        <v>1.19</v>
      </c>
      <c r="J200">
        <v>26</v>
      </c>
      <c r="K200" t="s">
        <v>62</v>
      </c>
      <c r="L200" s="1">
        <v>45259</v>
      </c>
      <c r="M200" t="s">
        <v>21</v>
      </c>
      <c r="N200" t="s">
        <v>32</v>
      </c>
      <c r="O200" t="s">
        <v>33</v>
      </c>
      <c r="P200" t="s">
        <v>56</v>
      </c>
      <c r="Q200">
        <v>5</v>
      </c>
      <c r="R200">
        <f>IF(ventas_libreria[[#This Row],[valoracion_cliente]]="","Sin valoración",ventas_libreria[[#This Row],[valoracion_cliente]])</f>
        <v>5</v>
      </c>
    </row>
    <row r="201" spans="1:18" x14ac:dyDescent="0.25">
      <c r="A201" t="s">
        <v>459</v>
      </c>
      <c r="B201" t="s">
        <v>268</v>
      </c>
      <c r="C201" t="s">
        <v>269</v>
      </c>
      <c r="D201" t="s">
        <v>270</v>
      </c>
      <c r="E201" t="s">
        <v>83</v>
      </c>
      <c r="F201">
        <f>ventas_libreria[[#This Row],[precio_eur]]/100</f>
        <v>9.81</v>
      </c>
      <c r="G201">
        <v>981</v>
      </c>
      <c r="H201">
        <v>1</v>
      </c>
      <c r="I201">
        <f>ventas_libreria[[#This Row],[precio]]*ventas_libreria[[#This Row],[cantidad]]</f>
        <v>9.81</v>
      </c>
      <c r="J201">
        <v>75</v>
      </c>
      <c r="K201" t="s">
        <v>30</v>
      </c>
      <c r="L201" s="1">
        <v>45893</v>
      </c>
      <c r="M201" t="s">
        <v>43</v>
      </c>
      <c r="N201" t="s">
        <v>32</v>
      </c>
      <c r="O201" t="s">
        <v>33</v>
      </c>
      <c r="P201" t="s">
        <v>34</v>
      </c>
      <c r="Q201">
        <v>4</v>
      </c>
      <c r="R201">
        <f>IF(ventas_libreria[[#This Row],[valoracion_cliente]]="","Sin valoración",ventas_libreria[[#This Row],[valoracion_cliente]])</f>
        <v>4</v>
      </c>
    </row>
    <row r="202" spans="1:18" x14ac:dyDescent="0.25">
      <c r="A202" t="s">
        <v>460</v>
      </c>
      <c r="B202" t="s">
        <v>461</v>
      </c>
      <c r="C202" t="s">
        <v>462</v>
      </c>
      <c r="D202" t="s">
        <v>143</v>
      </c>
      <c r="E202" t="s">
        <v>116</v>
      </c>
      <c r="F202">
        <f>ventas_libreria[[#This Row],[precio_eur]]/100</f>
        <v>1.39</v>
      </c>
      <c r="G202">
        <v>139</v>
      </c>
      <c r="H202">
        <v>1</v>
      </c>
      <c r="I202">
        <f>ventas_libreria[[#This Row],[precio]]*ventas_libreria[[#This Row],[cantidad]]</f>
        <v>1.39</v>
      </c>
      <c r="J202">
        <v>25</v>
      </c>
      <c r="K202" t="s">
        <v>38</v>
      </c>
      <c r="L202" s="1">
        <v>45522</v>
      </c>
      <c r="M202" t="s">
        <v>31</v>
      </c>
      <c r="N202" t="s">
        <v>22</v>
      </c>
      <c r="O202" t="s">
        <v>23</v>
      </c>
      <c r="P202" t="s">
        <v>56</v>
      </c>
      <c r="Q202">
        <v>4</v>
      </c>
      <c r="R202">
        <f>IF(ventas_libreria[[#This Row],[valoracion_cliente]]="","Sin valoración",ventas_libreria[[#This Row],[valoracion_cliente]])</f>
        <v>4</v>
      </c>
    </row>
    <row r="203" spans="1:18" x14ac:dyDescent="0.25">
      <c r="A203" t="s">
        <v>463</v>
      </c>
      <c r="B203" t="s">
        <v>215</v>
      </c>
      <c r="C203" t="s">
        <v>216</v>
      </c>
      <c r="D203" t="s">
        <v>217</v>
      </c>
      <c r="E203" t="s">
        <v>55</v>
      </c>
      <c r="F203">
        <f>ventas_libreria[[#This Row],[precio_eur]]/100</f>
        <v>16.649999999999999</v>
      </c>
      <c r="G203">
        <v>1665</v>
      </c>
      <c r="H203">
        <v>1</v>
      </c>
      <c r="I203">
        <f>ventas_libreria[[#This Row],[precio]]*ventas_libreria[[#This Row],[cantidad]]</f>
        <v>16.649999999999999</v>
      </c>
      <c r="J203">
        <v>59</v>
      </c>
      <c r="K203" t="s">
        <v>38</v>
      </c>
      <c r="L203" s="1">
        <v>45685</v>
      </c>
      <c r="M203" t="s">
        <v>43</v>
      </c>
      <c r="N203" t="s">
        <v>32</v>
      </c>
      <c r="O203" t="s">
        <v>33</v>
      </c>
      <c r="P203" t="s">
        <v>34</v>
      </c>
      <c r="Q203">
        <v>5</v>
      </c>
      <c r="R203">
        <f>IF(ventas_libreria[[#This Row],[valoracion_cliente]]="","Sin valoración",ventas_libreria[[#This Row],[valoracion_cliente]])</f>
        <v>5</v>
      </c>
    </row>
    <row r="204" spans="1:18" x14ac:dyDescent="0.25">
      <c r="A204" t="s">
        <v>464</v>
      </c>
      <c r="B204" t="s">
        <v>247</v>
      </c>
      <c r="C204" t="s">
        <v>248</v>
      </c>
      <c r="D204" t="s">
        <v>249</v>
      </c>
      <c r="E204" t="s">
        <v>172</v>
      </c>
      <c r="F204">
        <f>ventas_libreria[[#This Row],[precio_eur]]/100</f>
        <v>11.12</v>
      </c>
      <c r="G204">
        <v>1112</v>
      </c>
      <c r="H204">
        <v>1</v>
      </c>
      <c r="I204">
        <f>ventas_libreria[[#This Row],[precio]]*ventas_libreria[[#This Row],[cantidad]]</f>
        <v>11.12</v>
      </c>
      <c r="J204">
        <v>75</v>
      </c>
      <c r="K204" t="s">
        <v>38</v>
      </c>
      <c r="L204" s="1">
        <v>45615</v>
      </c>
      <c r="M204" t="s">
        <v>43</v>
      </c>
      <c r="N204" t="s">
        <v>32</v>
      </c>
      <c r="O204" t="s">
        <v>33</v>
      </c>
      <c r="P204" t="s">
        <v>84</v>
      </c>
      <c r="Q204">
        <v>1</v>
      </c>
      <c r="R204">
        <f>IF(ventas_libreria[[#This Row],[valoracion_cliente]]="","Sin valoración",ventas_libreria[[#This Row],[valoracion_cliente]])</f>
        <v>1</v>
      </c>
    </row>
    <row r="205" spans="1:18" x14ac:dyDescent="0.25">
      <c r="A205" t="s">
        <v>465</v>
      </c>
      <c r="B205" t="s">
        <v>466</v>
      </c>
      <c r="C205" t="s">
        <v>467</v>
      </c>
      <c r="D205" t="s">
        <v>468</v>
      </c>
      <c r="E205" t="s">
        <v>154</v>
      </c>
      <c r="F205">
        <f>ventas_libreria[[#This Row],[precio_eur]]/100</f>
        <v>17.010000000000002</v>
      </c>
      <c r="G205">
        <v>1701</v>
      </c>
      <c r="H205">
        <v>1</v>
      </c>
      <c r="I205">
        <f>ventas_libreria[[#This Row],[precio]]*ventas_libreria[[#This Row],[cantidad]]</f>
        <v>17.010000000000002</v>
      </c>
      <c r="J205">
        <v>18</v>
      </c>
      <c r="K205" t="s">
        <v>30</v>
      </c>
      <c r="L205" s="1">
        <v>45321</v>
      </c>
      <c r="M205" t="s">
        <v>31</v>
      </c>
      <c r="N205" t="s">
        <v>32</v>
      </c>
      <c r="O205" t="s">
        <v>33</v>
      </c>
      <c r="P205" t="s">
        <v>84</v>
      </c>
      <c r="Q205">
        <v>3</v>
      </c>
      <c r="R205">
        <f>IF(ventas_libreria[[#This Row],[valoracion_cliente]]="","Sin valoración",ventas_libreria[[#This Row],[valoracion_cliente]])</f>
        <v>3</v>
      </c>
    </row>
    <row r="206" spans="1:18" x14ac:dyDescent="0.25">
      <c r="A206" t="s">
        <v>469</v>
      </c>
      <c r="B206" t="s">
        <v>151</v>
      </c>
      <c r="C206" t="s">
        <v>152</v>
      </c>
      <c r="D206" t="s">
        <v>153</v>
      </c>
      <c r="E206" t="s">
        <v>154</v>
      </c>
      <c r="F206">
        <f>ventas_libreria[[#This Row],[precio_eur]]/100</f>
        <v>1.69</v>
      </c>
      <c r="G206">
        <v>169</v>
      </c>
      <c r="H206">
        <v>1</v>
      </c>
      <c r="I206">
        <f>ventas_libreria[[#This Row],[precio]]*ventas_libreria[[#This Row],[cantidad]]</f>
        <v>1.69</v>
      </c>
      <c r="J206">
        <v>74</v>
      </c>
      <c r="K206" t="s">
        <v>62</v>
      </c>
      <c r="L206" s="1">
        <v>45833</v>
      </c>
      <c r="M206" t="s">
        <v>43</v>
      </c>
      <c r="N206" t="s">
        <v>32</v>
      </c>
      <c r="O206" t="s">
        <v>33</v>
      </c>
      <c r="P206" t="s">
        <v>24</v>
      </c>
      <c r="Q206">
        <v>3</v>
      </c>
      <c r="R206">
        <f>IF(ventas_libreria[[#This Row],[valoracion_cliente]]="","Sin valoración",ventas_libreria[[#This Row],[valoracion_cliente]])</f>
        <v>3</v>
      </c>
    </row>
    <row r="207" spans="1:18" x14ac:dyDescent="0.25">
      <c r="A207" t="s">
        <v>470</v>
      </c>
      <c r="B207" t="s">
        <v>137</v>
      </c>
      <c r="C207" t="s">
        <v>138</v>
      </c>
      <c r="D207" t="s">
        <v>139</v>
      </c>
      <c r="E207" t="s">
        <v>116</v>
      </c>
      <c r="F207">
        <f>ventas_libreria[[#This Row],[precio_eur]]/100</f>
        <v>10.32</v>
      </c>
      <c r="G207">
        <v>1032</v>
      </c>
      <c r="H207">
        <v>1</v>
      </c>
      <c r="I207">
        <f>ventas_libreria[[#This Row],[precio]]*ventas_libreria[[#This Row],[cantidad]]</f>
        <v>10.32</v>
      </c>
      <c r="J207">
        <v>55</v>
      </c>
      <c r="K207" t="s">
        <v>62</v>
      </c>
      <c r="L207" s="1">
        <v>45832</v>
      </c>
      <c r="M207" t="s">
        <v>43</v>
      </c>
      <c r="N207" t="s">
        <v>32</v>
      </c>
      <c r="O207" t="s">
        <v>33</v>
      </c>
      <c r="P207" t="s">
        <v>84</v>
      </c>
      <c r="Q207">
        <v>4</v>
      </c>
      <c r="R207">
        <f>IF(ventas_libreria[[#This Row],[valoracion_cliente]]="","Sin valoración",ventas_libreria[[#This Row],[valoracion_cliente]])</f>
        <v>4</v>
      </c>
    </row>
    <row r="208" spans="1:18" x14ac:dyDescent="0.25">
      <c r="A208" t="s">
        <v>471</v>
      </c>
      <c r="B208" t="s">
        <v>204</v>
      </c>
      <c r="C208" t="s">
        <v>205</v>
      </c>
      <c r="D208" t="s">
        <v>206</v>
      </c>
      <c r="E208" t="s">
        <v>116</v>
      </c>
      <c r="F208">
        <f>ventas_libreria[[#This Row],[precio_eur]]/100</f>
        <v>1.29</v>
      </c>
      <c r="G208">
        <v>129</v>
      </c>
      <c r="H208">
        <v>1</v>
      </c>
      <c r="I208">
        <f>ventas_libreria[[#This Row],[precio]]*ventas_libreria[[#This Row],[cantidad]]</f>
        <v>1.29</v>
      </c>
      <c r="J208">
        <v>36</v>
      </c>
      <c r="K208" t="s">
        <v>20</v>
      </c>
      <c r="L208" s="1">
        <v>45938</v>
      </c>
      <c r="M208" t="s">
        <v>43</v>
      </c>
      <c r="N208" t="s">
        <v>32</v>
      </c>
      <c r="O208" t="s">
        <v>33</v>
      </c>
      <c r="P208" t="s">
        <v>84</v>
      </c>
      <c r="Q208">
        <v>5</v>
      </c>
      <c r="R208">
        <f>IF(ventas_libreria[[#This Row],[valoracion_cliente]]="","Sin valoración",ventas_libreria[[#This Row],[valoracion_cliente]])</f>
        <v>5</v>
      </c>
    </row>
    <row r="209" spans="1:18" x14ac:dyDescent="0.25">
      <c r="A209" t="s">
        <v>472</v>
      </c>
      <c r="B209" t="s">
        <v>291</v>
      </c>
      <c r="C209" t="s">
        <v>292</v>
      </c>
      <c r="D209" t="s">
        <v>76</v>
      </c>
      <c r="E209" t="s">
        <v>77</v>
      </c>
      <c r="F209">
        <f>ventas_libreria[[#This Row],[precio_eur]]/100</f>
        <v>0.99</v>
      </c>
      <c r="G209">
        <v>99</v>
      </c>
      <c r="H209">
        <v>1</v>
      </c>
      <c r="I209">
        <f>ventas_libreria[[#This Row],[precio]]*ventas_libreria[[#This Row],[cantidad]]</f>
        <v>0.99</v>
      </c>
      <c r="J209">
        <v>6</v>
      </c>
      <c r="K209" t="s">
        <v>38</v>
      </c>
      <c r="L209" s="1">
        <v>45797</v>
      </c>
      <c r="M209" t="s">
        <v>43</v>
      </c>
      <c r="N209" t="s">
        <v>32</v>
      </c>
      <c r="O209" t="s">
        <v>33</v>
      </c>
      <c r="P209" t="s">
        <v>50</v>
      </c>
      <c r="Q209">
        <v>5</v>
      </c>
      <c r="R209">
        <f>IF(ventas_libreria[[#This Row],[valoracion_cliente]]="","Sin valoración",ventas_libreria[[#This Row],[valoracion_cliente]])</f>
        <v>5</v>
      </c>
    </row>
    <row r="210" spans="1:18" x14ac:dyDescent="0.25">
      <c r="A210" t="s">
        <v>473</v>
      </c>
      <c r="B210" t="s">
        <v>58</v>
      </c>
      <c r="C210" t="s">
        <v>59</v>
      </c>
      <c r="D210" t="s">
        <v>60</v>
      </c>
      <c r="E210" t="s">
        <v>61</v>
      </c>
      <c r="F210">
        <f>ventas_libreria[[#This Row],[precio_eur]]/100</f>
        <v>10.96</v>
      </c>
      <c r="G210">
        <v>1096</v>
      </c>
      <c r="H210">
        <v>1</v>
      </c>
      <c r="I210">
        <f>ventas_libreria[[#This Row],[precio]]*ventas_libreria[[#This Row],[cantidad]]</f>
        <v>10.96</v>
      </c>
      <c r="J210">
        <v>50</v>
      </c>
      <c r="K210" t="s">
        <v>62</v>
      </c>
      <c r="L210" s="1">
        <v>45049</v>
      </c>
      <c r="M210" t="s">
        <v>21</v>
      </c>
      <c r="N210" t="s">
        <v>22</v>
      </c>
      <c r="O210" t="s">
        <v>98</v>
      </c>
      <c r="P210" t="s">
        <v>24</v>
      </c>
      <c r="Q210">
        <v>5</v>
      </c>
      <c r="R210">
        <f>IF(ventas_libreria[[#This Row],[valoracion_cliente]]="","Sin valoración",ventas_libreria[[#This Row],[valoracion_cliente]])</f>
        <v>5</v>
      </c>
    </row>
    <row r="211" spans="1:18" x14ac:dyDescent="0.25">
      <c r="A211" t="s">
        <v>474</v>
      </c>
      <c r="B211" t="s">
        <v>384</v>
      </c>
      <c r="C211" t="s">
        <v>385</v>
      </c>
      <c r="D211" t="s">
        <v>158</v>
      </c>
      <c r="E211" t="s">
        <v>149</v>
      </c>
      <c r="F211">
        <f>ventas_libreria[[#This Row],[precio_eur]]/100</f>
        <v>19.71</v>
      </c>
      <c r="G211">
        <v>1971</v>
      </c>
      <c r="H211">
        <v>1</v>
      </c>
      <c r="I211">
        <f>ventas_libreria[[#This Row],[precio]]*ventas_libreria[[#This Row],[cantidad]]</f>
        <v>19.71</v>
      </c>
      <c r="J211">
        <v>43</v>
      </c>
      <c r="K211" t="s">
        <v>20</v>
      </c>
      <c r="L211" s="1">
        <v>45103</v>
      </c>
      <c r="M211" t="s">
        <v>31</v>
      </c>
      <c r="N211" t="s">
        <v>32</v>
      </c>
      <c r="O211" t="s">
        <v>33</v>
      </c>
      <c r="P211" t="s">
        <v>50</v>
      </c>
      <c r="Q211">
        <v>3</v>
      </c>
      <c r="R211">
        <f>IF(ventas_libreria[[#This Row],[valoracion_cliente]]="","Sin valoración",ventas_libreria[[#This Row],[valoracion_cliente]])</f>
        <v>3</v>
      </c>
    </row>
    <row r="212" spans="1:18" x14ac:dyDescent="0.25">
      <c r="A212" t="s">
        <v>475</v>
      </c>
      <c r="B212" t="s">
        <v>16</v>
      </c>
      <c r="C212" t="s">
        <v>17</v>
      </c>
      <c r="D212" t="s">
        <v>18</v>
      </c>
      <c r="E212" t="s">
        <v>19</v>
      </c>
      <c r="F212">
        <f>ventas_libreria[[#This Row],[precio_eur]]/100</f>
        <v>1.49</v>
      </c>
      <c r="G212">
        <v>149</v>
      </c>
      <c r="H212">
        <v>2</v>
      </c>
      <c r="I212">
        <f>ventas_libreria[[#This Row],[precio]]*ventas_libreria[[#This Row],[cantidad]]</f>
        <v>2.98</v>
      </c>
      <c r="J212">
        <v>73</v>
      </c>
      <c r="K212" t="s">
        <v>38</v>
      </c>
      <c r="L212" s="1">
        <v>45294</v>
      </c>
      <c r="M212" t="s">
        <v>21</v>
      </c>
      <c r="N212" t="s">
        <v>32</v>
      </c>
      <c r="O212" t="s">
        <v>33</v>
      </c>
      <c r="P212" t="s">
        <v>34</v>
      </c>
      <c r="Q212">
        <v>3</v>
      </c>
      <c r="R212">
        <f>IF(ventas_libreria[[#This Row],[valoracion_cliente]]="","Sin valoración",ventas_libreria[[#This Row],[valoracion_cliente]])</f>
        <v>3</v>
      </c>
    </row>
    <row r="213" spans="1:18" x14ac:dyDescent="0.25">
      <c r="A213" t="s">
        <v>476</v>
      </c>
      <c r="B213" t="s">
        <v>365</v>
      </c>
      <c r="C213" t="s">
        <v>366</v>
      </c>
      <c r="D213" t="s">
        <v>367</v>
      </c>
      <c r="E213" t="s">
        <v>19</v>
      </c>
      <c r="F213">
        <f>ventas_libreria[[#This Row],[precio_eur]]/100</f>
        <v>20.79</v>
      </c>
      <c r="G213">
        <v>2079</v>
      </c>
      <c r="H213">
        <v>1</v>
      </c>
      <c r="I213">
        <f>ventas_libreria[[#This Row],[precio]]*ventas_libreria[[#This Row],[cantidad]]</f>
        <v>20.79</v>
      </c>
      <c r="J213">
        <v>67</v>
      </c>
      <c r="K213" t="s">
        <v>62</v>
      </c>
      <c r="L213" s="1">
        <v>45268</v>
      </c>
      <c r="M213" t="s">
        <v>21</v>
      </c>
      <c r="N213" t="s">
        <v>22</v>
      </c>
      <c r="O213" t="s">
        <v>23</v>
      </c>
      <c r="P213" t="s">
        <v>56</v>
      </c>
      <c r="R213" t="str">
        <f>IF(ventas_libreria[[#This Row],[valoracion_cliente]]="","Sin valoración",ventas_libreria[[#This Row],[valoracion_cliente]])</f>
        <v>Sin valoración</v>
      </c>
    </row>
    <row r="214" spans="1:18" x14ac:dyDescent="0.25">
      <c r="A214" t="s">
        <v>477</v>
      </c>
      <c r="B214" t="s">
        <v>362</v>
      </c>
      <c r="C214" t="s">
        <v>363</v>
      </c>
      <c r="D214" t="s">
        <v>249</v>
      </c>
      <c r="E214" t="s">
        <v>172</v>
      </c>
      <c r="F214">
        <f>ventas_libreria[[#This Row],[precio_eur]]/100</f>
        <v>16.72</v>
      </c>
      <c r="G214">
        <v>1672</v>
      </c>
      <c r="H214">
        <v>3</v>
      </c>
      <c r="I214">
        <f>ventas_libreria[[#This Row],[precio]]*ventas_libreria[[#This Row],[cantidad]]</f>
        <v>50.16</v>
      </c>
      <c r="J214">
        <v>74</v>
      </c>
      <c r="K214" t="s">
        <v>20</v>
      </c>
      <c r="L214" s="1">
        <v>45911</v>
      </c>
      <c r="M214" t="s">
        <v>31</v>
      </c>
      <c r="N214" t="s">
        <v>32</v>
      </c>
      <c r="O214" t="s">
        <v>33</v>
      </c>
      <c r="P214" t="s">
        <v>24</v>
      </c>
      <c r="Q214">
        <v>5</v>
      </c>
      <c r="R214">
        <f>IF(ventas_libreria[[#This Row],[valoracion_cliente]]="","Sin valoración",ventas_libreria[[#This Row],[valoracion_cliente]])</f>
        <v>5</v>
      </c>
    </row>
    <row r="215" spans="1:18" x14ac:dyDescent="0.25">
      <c r="A215" t="s">
        <v>478</v>
      </c>
      <c r="B215" t="s">
        <v>403</v>
      </c>
      <c r="C215" t="s">
        <v>404</v>
      </c>
      <c r="D215" t="s">
        <v>123</v>
      </c>
      <c r="E215" t="s">
        <v>48</v>
      </c>
      <c r="F215">
        <f>ventas_libreria[[#This Row],[precio_eur]]/100</f>
        <v>2.99</v>
      </c>
      <c r="G215">
        <v>299</v>
      </c>
      <c r="H215">
        <v>1</v>
      </c>
      <c r="I215">
        <f>ventas_libreria[[#This Row],[precio]]*ventas_libreria[[#This Row],[cantidad]]</f>
        <v>2.99</v>
      </c>
      <c r="J215">
        <v>31</v>
      </c>
      <c r="K215" t="s">
        <v>38</v>
      </c>
      <c r="L215" s="1">
        <v>45312</v>
      </c>
      <c r="M215" t="s">
        <v>21</v>
      </c>
      <c r="N215" t="s">
        <v>22</v>
      </c>
      <c r="O215" t="s">
        <v>49</v>
      </c>
      <c r="P215" t="s">
        <v>56</v>
      </c>
      <c r="Q215">
        <v>4</v>
      </c>
      <c r="R215">
        <f>IF(ventas_libreria[[#This Row],[valoracion_cliente]]="","Sin valoración",ventas_libreria[[#This Row],[valoracion_cliente]])</f>
        <v>4</v>
      </c>
    </row>
    <row r="216" spans="1:18" x14ac:dyDescent="0.25">
      <c r="A216" t="s">
        <v>479</v>
      </c>
      <c r="B216" t="s">
        <v>301</v>
      </c>
      <c r="C216" t="s">
        <v>302</v>
      </c>
      <c r="D216" t="s">
        <v>245</v>
      </c>
      <c r="E216" t="s">
        <v>48</v>
      </c>
      <c r="F216">
        <f>ventas_libreria[[#This Row],[precio_eur]]/100</f>
        <v>22.41</v>
      </c>
      <c r="G216">
        <v>2241</v>
      </c>
      <c r="H216">
        <v>1</v>
      </c>
      <c r="I216">
        <f>ventas_libreria[[#This Row],[precio]]*ventas_libreria[[#This Row],[cantidad]]</f>
        <v>22.41</v>
      </c>
      <c r="J216">
        <v>68</v>
      </c>
      <c r="K216" t="s">
        <v>20</v>
      </c>
      <c r="L216" s="1">
        <v>45473</v>
      </c>
      <c r="M216" t="s">
        <v>21</v>
      </c>
      <c r="N216" t="s">
        <v>32</v>
      </c>
      <c r="O216" t="s">
        <v>33</v>
      </c>
      <c r="P216" t="s">
        <v>34</v>
      </c>
      <c r="Q216">
        <v>5</v>
      </c>
      <c r="R216">
        <f>IF(ventas_libreria[[#This Row],[valoracion_cliente]]="","Sin valoración",ventas_libreria[[#This Row],[valoracion_cliente]])</f>
        <v>5</v>
      </c>
    </row>
    <row r="217" spans="1:18" x14ac:dyDescent="0.25">
      <c r="A217" t="s">
        <v>480</v>
      </c>
      <c r="B217" t="s">
        <v>338</v>
      </c>
      <c r="C217" t="s">
        <v>339</v>
      </c>
      <c r="D217" t="s">
        <v>167</v>
      </c>
      <c r="E217" t="s">
        <v>61</v>
      </c>
      <c r="F217">
        <f>ventas_libreria[[#This Row],[precio_eur]]/100</f>
        <v>18.32</v>
      </c>
      <c r="G217">
        <v>1832</v>
      </c>
      <c r="H217">
        <v>2</v>
      </c>
      <c r="I217">
        <f>ventas_libreria[[#This Row],[precio]]*ventas_libreria[[#This Row],[cantidad]]</f>
        <v>36.64</v>
      </c>
      <c r="J217">
        <v>70</v>
      </c>
      <c r="K217" t="s">
        <v>30</v>
      </c>
      <c r="L217" s="1">
        <v>45131</v>
      </c>
      <c r="M217" t="s">
        <v>31</v>
      </c>
      <c r="N217" t="s">
        <v>32</v>
      </c>
      <c r="O217" t="s">
        <v>33</v>
      </c>
      <c r="P217" t="s">
        <v>24</v>
      </c>
      <c r="Q217">
        <v>4</v>
      </c>
      <c r="R217">
        <f>IF(ventas_libreria[[#This Row],[valoracion_cliente]]="","Sin valoración",ventas_libreria[[#This Row],[valoracion_cliente]])</f>
        <v>4</v>
      </c>
    </row>
    <row r="218" spans="1:18" x14ac:dyDescent="0.25">
      <c r="A218" t="s">
        <v>481</v>
      </c>
      <c r="B218" t="s">
        <v>52</v>
      </c>
      <c r="C218" t="s">
        <v>53</v>
      </c>
      <c r="D218" t="s">
        <v>54</v>
      </c>
      <c r="E218" t="s">
        <v>55</v>
      </c>
      <c r="F218">
        <f>ventas_libreria[[#This Row],[precio_eur]]/100</f>
        <v>13.75</v>
      </c>
      <c r="G218">
        <v>1375</v>
      </c>
      <c r="H218">
        <v>1</v>
      </c>
      <c r="I218">
        <f>ventas_libreria[[#This Row],[precio]]*ventas_libreria[[#This Row],[cantidad]]</f>
        <v>13.75</v>
      </c>
      <c r="J218">
        <v>70</v>
      </c>
      <c r="K218" t="s">
        <v>30</v>
      </c>
      <c r="L218" s="1">
        <v>45661</v>
      </c>
      <c r="M218" t="s">
        <v>43</v>
      </c>
      <c r="N218" t="s">
        <v>32</v>
      </c>
      <c r="O218" t="s">
        <v>33</v>
      </c>
      <c r="P218" t="s">
        <v>56</v>
      </c>
      <c r="Q218">
        <v>5</v>
      </c>
      <c r="R218">
        <f>IF(ventas_libreria[[#This Row],[valoracion_cliente]]="","Sin valoración",ventas_libreria[[#This Row],[valoracion_cliente]])</f>
        <v>5</v>
      </c>
    </row>
    <row r="219" spans="1:18" x14ac:dyDescent="0.25">
      <c r="A219" t="s">
        <v>482</v>
      </c>
      <c r="B219" t="s">
        <v>160</v>
      </c>
      <c r="C219" t="s">
        <v>161</v>
      </c>
      <c r="D219" t="s">
        <v>162</v>
      </c>
      <c r="E219" t="s">
        <v>29</v>
      </c>
      <c r="F219">
        <f>ventas_libreria[[#This Row],[precio_eur]]/100</f>
        <v>14.36</v>
      </c>
      <c r="G219">
        <v>1436</v>
      </c>
      <c r="H219">
        <v>1</v>
      </c>
      <c r="I219">
        <f>ventas_libreria[[#This Row],[precio]]*ventas_libreria[[#This Row],[cantidad]]</f>
        <v>14.36</v>
      </c>
      <c r="J219">
        <v>48</v>
      </c>
      <c r="K219" t="s">
        <v>20</v>
      </c>
      <c r="L219" s="1">
        <v>45764</v>
      </c>
      <c r="M219" t="s">
        <v>21</v>
      </c>
      <c r="N219" t="s">
        <v>22</v>
      </c>
      <c r="O219" t="s">
        <v>67</v>
      </c>
      <c r="P219" t="s">
        <v>34</v>
      </c>
      <c r="Q219">
        <v>5</v>
      </c>
      <c r="R219">
        <f>IF(ventas_libreria[[#This Row],[valoracion_cliente]]="","Sin valoración",ventas_libreria[[#This Row],[valoracion_cliente]])</f>
        <v>5</v>
      </c>
    </row>
    <row r="220" spans="1:18" x14ac:dyDescent="0.25">
      <c r="A220" t="s">
        <v>483</v>
      </c>
      <c r="B220" t="s">
        <v>156</v>
      </c>
      <c r="C220" t="s">
        <v>157</v>
      </c>
      <c r="D220" t="s">
        <v>158</v>
      </c>
      <c r="E220" t="s">
        <v>149</v>
      </c>
      <c r="F220">
        <f>ventas_libreria[[#This Row],[precio_eur]]/100</f>
        <v>1.89</v>
      </c>
      <c r="G220">
        <v>189</v>
      </c>
      <c r="H220">
        <v>1</v>
      </c>
      <c r="I220">
        <f>ventas_libreria[[#This Row],[precio]]*ventas_libreria[[#This Row],[cantidad]]</f>
        <v>1.89</v>
      </c>
      <c r="J220">
        <v>18</v>
      </c>
      <c r="K220" t="s">
        <v>20</v>
      </c>
      <c r="L220" s="1">
        <v>45326</v>
      </c>
      <c r="M220" t="s">
        <v>31</v>
      </c>
      <c r="N220" t="s">
        <v>32</v>
      </c>
      <c r="O220" t="s">
        <v>33</v>
      </c>
      <c r="P220" t="s">
        <v>34</v>
      </c>
      <c r="Q220">
        <v>5</v>
      </c>
      <c r="R220">
        <f>IF(ventas_libreria[[#This Row],[valoracion_cliente]]="","Sin valoración",ventas_libreria[[#This Row],[valoracion_cliente]])</f>
        <v>5</v>
      </c>
    </row>
    <row r="221" spans="1:18" x14ac:dyDescent="0.25">
      <c r="A221" t="s">
        <v>484</v>
      </c>
      <c r="B221" t="s">
        <v>16</v>
      </c>
      <c r="C221" t="s">
        <v>17</v>
      </c>
      <c r="D221" t="s">
        <v>18</v>
      </c>
      <c r="E221" t="s">
        <v>19</v>
      </c>
      <c r="F221">
        <f>ventas_libreria[[#This Row],[precio_eur]]/100</f>
        <v>15.65</v>
      </c>
      <c r="G221">
        <v>1565</v>
      </c>
      <c r="H221">
        <v>2</v>
      </c>
      <c r="I221">
        <f>ventas_libreria[[#This Row],[precio]]*ventas_libreria[[#This Row],[cantidad]]</f>
        <v>31.3</v>
      </c>
      <c r="J221">
        <v>64</v>
      </c>
      <c r="K221" t="s">
        <v>62</v>
      </c>
      <c r="L221" s="1">
        <v>45589</v>
      </c>
      <c r="M221" t="s">
        <v>31</v>
      </c>
      <c r="N221" t="s">
        <v>22</v>
      </c>
      <c r="O221" t="s">
        <v>49</v>
      </c>
      <c r="P221" t="s">
        <v>50</v>
      </c>
      <c r="R221" t="str">
        <f>IF(ventas_libreria[[#This Row],[valoracion_cliente]]="","Sin valoración",ventas_libreria[[#This Row],[valoracion_cliente]])</f>
        <v>Sin valoración</v>
      </c>
    </row>
    <row r="222" spans="1:18" x14ac:dyDescent="0.25">
      <c r="A222" t="s">
        <v>485</v>
      </c>
      <c r="B222" t="s">
        <v>156</v>
      </c>
      <c r="C222" t="s">
        <v>157</v>
      </c>
      <c r="D222" t="s">
        <v>158</v>
      </c>
      <c r="E222" t="s">
        <v>149</v>
      </c>
      <c r="F222">
        <f>ventas_libreria[[#This Row],[precio_eur]]/100</f>
        <v>20.79</v>
      </c>
      <c r="G222">
        <v>2079</v>
      </c>
      <c r="H222">
        <v>1</v>
      </c>
      <c r="I222">
        <f>ventas_libreria[[#This Row],[precio]]*ventas_libreria[[#This Row],[cantidad]]</f>
        <v>20.79</v>
      </c>
      <c r="J222">
        <v>25</v>
      </c>
      <c r="K222" t="s">
        <v>38</v>
      </c>
      <c r="L222" s="1">
        <v>45974</v>
      </c>
      <c r="M222" t="s">
        <v>21</v>
      </c>
      <c r="N222" t="s">
        <v>22</v>
      </c>
      <c r="O222" t="s">
        <v>67</v>
      </c>
      <c r="P222" t="s">
        <v>56</v>
      </c>
      <c r="R222" t="str">
        <f>IF(ventas_libreria[[#This Row],[valoracion_cliente]]="","Sin valoración",ventas_libreria[[#This Row],[valoracion_cliente]])</f>
        <v>Sin valoración</v>
      </c>
    </row>
    <row r="223" spans="1:18" x14ac:dyDescent="0.25">
      <c r="A223" t="s">
        <v>486</v>
      </c>
      <c r="B223" t="s">
        <v>80</v>
      </c>
      <c r="C223" t="s">
        <v>81</v>
      </c>
      <c r="D223" t="s">
        <v>82</v>
      </c>
      <c r="E223" t="s">
        <v>83</v>
      </c>
      <c r="F223">
        <f>ventas_libreria[[#This Row],[precio_eur]]/100</f>
        <v>1.04</v>
      </c>
      <c r="G223">
        <v>104</v>
      </c>
      <c r="H223">
        <v>1</v>
      </c>
      <c r="I223">
        <f>ventas_libreria[[#This Row],[precio]]*ventas_libreria[[#This Row],[cantidad]]</f>
        <v>1.04</v>
      </c>
      <c r="J223">
        <v>35</v>
      </c>
      <c r="K223" t="s">
        <v>62</v>
      </c>
      <c r="L223" s="1">
        <v>45084</v>
      </c>
      <c r="M223" t="s">
        <v>31</v>
      </c>
      <c r="N223" t="s">
        <v>22</v>
      </c>
      <c r="O223" t="s">
        <v>132</v>
      </c>
      <c r="P223" t="s">
        <v>84</v>
      </c>
      <c r="Q223">
        <v>4</v>
      </c>
      <c r="R223">
        <f>IF(ventas_libreria[[#This Row],[valoracion_cliente]]="","Sin valoración",ventas_libreria[[#This Row],[valoracion_cliente]])</f>
        <v>4</v>
      </c>
    </row>
    <row r="224" spans="1:18" x14ac:dyDescent="0.25">
      <c r="A224" t="s">
        <v>487</v>
      </c>
      <c r="B224" t="s">
        <v>384</v>
      </c>
      <c r="C224" t="s">
        <v>385</v>
      </c>
      <c r="D224" t="s">
        <v>158</v>
      </c>
      <c r="E224" t="s">
        <v>149</v>
      </c>
      <c r="F224">
        <f>ventas_libreria[[#This Row],[precio_eur]]/100</f>
        <v>2.19</v>
      </c>
      <c r="G224">
        <v>219</v>
      </c>
      <c r="H224">
        <v>1</v>
      </c>
      <c r="I224">
        <f>ventas_libreria[[#This Row],[precio]]*ventas_libreria[[#This Row],[cantidad]]</f>
        <v>2.19</v>
      </c>
      <c r="J224">
        <v>70</v>
      </c>
      <c r="K224" t="s">
        <v>62</v>
      </c>
      <c r="L224" s="1">
        <v>45581</v>
      </c>
      <c r="M224" t="s">
        <v>31</v>
      </c>
      <c r="N224" t="s">
        <v>22</v>
      </c>
      <c r="O224" t="s">
        <v>49</v>
      </c>
      <c r="P224" t="s">
        <v>34</v>
      </c>
      <c r="Q224">
        <v>5</v>
      </c>
      <c r="R224">
        <f>IF(ventas_libreria[[#This Row],[valoracion_cliente]]="","Sin valoración",ventas_libreria[[#This Row],[valoracion_cliente]])</f>
        <v>5</v>
      </c>
    </row>
    <row r="225" spans="1:18" x14ac:dyDescent="0.25">
      <c r="A225" t="s">
        <v>488</v>
      </c>
      <c r="B225" t="s">
        <v>204</v>
      </c>
      <c r="C225" t="s">
        <v>205</v>
      </c>
      <c r="D225" t="s">
        <v>206</v>
      </c>
      <c r="E225" t="s">
        <v>116</v>
      </c>
      <c r="F225">
        <f>ventas_libreria[[#This Row],[precio_eur]]/100</f>
        <v>1.29</v>
      </c>
      <c r="G225">
        <v>129</v>
      </c>
      <c r="H225">
        <v>1</v>
      </c>
      <c r="I225">
        <f>ventas_libreria[[#This Row],[precio]]*ventas_libreria[[#This Row],[cantidad]]</f>
        <v>1.29</v>
      </c>
      <c r="J225">
        <v>70</v>
      </c>
      <c r="K225" t="s">
        <v>38</v>
      </c>
      <c r="L225" s="1">
        <v>45417</v>
      </c>
      <c r="M225" t="s">
        <v>21</v>
      </c>
      <c r="N225" t="s">
        <v>22</v>
      </c>
      <c r="O225" t="s">
        <v>67</v>
      </c>
      <c r="P225" t="s">
        <v>56</v>
      </c>
      <c r="Q225">
        <v>4</v>
      </c>
      <c r="R225">
        <f>IF(ventas_libreria[[#This Row],[valoracion_cliente]]="","Sin valoración",ventas_libreria[[#This Row],[valoracion_cliente]])</f>
        <v>4</v>
      </c>
    </row>
    <row r="226" spans="1:18" x14ac:dyDescent="0.25">
      <c r="A226" t="s">
        <v>489</v>
      </c>
      <c r="B226" t="s">
        <v>307</v>
      </c>
      <c r="C226" t="s">
        <v>308</v>
      </c>
      <c r="D226" t="s">
        <v>88</v>
      </c>
      <c r="E226" t="s">
        <v>77</v>
      </c>
      <c r="F226">
        <f>ventas_libreria[[#This Row],[precio_eur]]/100</f>
        <v>1.0900000000000001</v>
      </c>
      <c r="G226">
        <v>109</v>
      </c>
      <c r="H226">
        <v>1</v>
      </c>
      <c r="I226">
        <f>ventas_libreria[[#This Row],[precio]]*ventas_libreria[[#This Row],[cantidad]]</f>
        <v>1.0900000000000001</v>
      </c>
      <c r="J226">
        <v>6</v>
      </c>
      <c r="K226" t="s">
        <v>20</v>
      </c>
      <c r="L226" s="1">
        <v>45700</v>
      </c>
      <c r="M226" t="s">
        <v>31</v>
      </c>
      <c r="N226" t="s">
        <v>22</v>
      </c>
      <c r="O226" t="s">
        <v>67</v>
      </c>
      <c r="P226" t="s">
        <v>56</v>
      </c>
      <c r="R226" t="str">
        <f>IF(ventas_libreria[[#This Row],[valoracion_cliente]]="","Sin valoración",ventas_libreria[[#This Row],[valoracion_cliente]])</f>
        <v>Sin valoración</v>
      </c>
    </row>
    <row r="227" spans="1:18" x14ac:dyDescent="0.25">
      <c r="A227" t="s">
        <v>490</v>
      </c>
      <c r="B227" t="s">
        <v>125</v>
      </c>
      <c r="C227" t="s">
        <v>126</v>
      </c>
      <c r="D227" t="s">
        <v>127</v>
      </c>
      <c r="E227" t="s">
        <v>29</v>
      </c>
      <c r="F227">
        <f>ventas_libreria[[#This Row],[precio_eur]]/100</f>
        <v>14.32</v>
      </c>
      <c r="G227">
        <v>1432</v>
      </c>
      <c r="H227">
        <v>1</v>
      </c>
      <c r="I227">
        <f>ventas_libreria[[#This Row],[precio]]*ventas_libreria[[#This Row],[cantidad]]</f>
        <v>14.32</v>
      </c>
      <c r="J227">
        <v>24</v>
      </c>
      <c r="K227" t="s">
        <v>20</v>
      </c>
      <c r="L227" s="1">
        <v>45131</v>
      </c>
      <c r="M227" t="s">
        <v>21</v>
      </c>
      <c r="N227" t="s">
        <v>32</v>
      </c>
      <c r="O227" t="s">
        <v>33</v>
      </c>
      <c r="P227" t="s">
        <v>56</v>
      </c>
      <c r="Q227">
        <v>4</v>
      </c>
      <c r="R227">
        <f>IF(ventas_libreria[[#This Row],[valoracion_cliente]]="","Sin valoración",ventas_libreria[[#This Row],[valoracion_cliente]])</f>
        <v>4</v>
      </c>
    </row>
    <row r="228" spans="1:18" x14ac:dyDescent="0.25">
      <c r="A228" t="s">
        <v>491</v>
      </c>
      <c r="B228" t="s">
        <v>240</v>
      </c>
      <c r="C228" t="s">
        <v>241</v>
      </c>
      <c r="D228" t="s">
        <v>54</v>
      </c>
      <c r="E228" t="s">
        <v>172</v>
      </c>
      <c r="F228">
        <f>ventas_libreria[[#This Row],[precio_eur]]/100</f>
        <v>11.92</v>
      </c>
      <c r="G228">
        <v>1192</v>
      </c>
      <c r="H228">
        <v>1</v>
      </c>
      <c r="I228">
        <f>ventas_libreria[[#This Row],[precio]]*ventas_libreria[[#This Row],[cantidad]]</f>
        <v>11.92</v>
      </c>
      <c r="J228">
        <v>43</v>
      </c>
      <c r="K228" t="s">
        <v>20</v>
      </c>
      <c r="L228" s="1">
        <v>45776</v>
      </c>
      <c r="M228" t="s">
        <v>21</v>
      </c>
      <c r="N228" t="s">
        <v>32</v>
      </c>
      <c r="O228" t="s">
        <v>33</v>
      </c>
      <c r="P228" t="s">
        <v>50</v>
      </c>
      <c r="Q228">
        <v>3</v>
      </c>
      <c r="R228">
        <f>IF(ventas_libreria[[#This Row],[valoracion_cliente]]="","Sin valoración",ventas_libreria[[#This Row],[valoracion_cliente]])</f>
        <v>3</v>
      </c>
    </row>
    <row r="229" spans="1:18" x14ac:dyDescent="0.25">
      <c r="A229" t="s">
        <v>492</v>
      </c>
      <c r="B229" t="s">
        <v>296</v>
      </c>
      <c r="C229" t="s">
        <v>297</v>
      </c>
      <c r="D229" t="s">
        <v>298</v>
      </c>
      <c r="E229" t="s">
        <v>154</v>
      </c>
      <c r="F229">
        <f>ventas_libreria[[#This Row],[precio_eur]]/100</f>
        <v>1.79</v>
      </c>
      <c r="G229">
        <v>179</v>
      </c>
      <c r="H229">
        <v>1</v>
      </c>
      <c r="I229">
        <f>ventas_libreria[[#This Row],[precio]]*ventas_libreria[[#This Row],[cantidad]]</f>
        <v>1.79</v>
      </c>
      <c r="J229">
        <v>29</v>
      </c>
      <c r="K229" t="s">
        <v>62</v>
      </c>
      <c r="L229" s="1">
        <v>45650</v>
      </c>
      <c r="M229" t="s">
        <v>21</v>
      </c>
      <c r="N229" t="s">
        <v>22</v>
      </c>
      <c r="O229" t="s">
        <v>49</v>
      </c>
      <c r="P229" t="s">
        <v>50</v>
      </c>
      <c r="Q229">
        <v>4</v>
      </c>
      <c r="R229">
        <f>IF(ventas_libreria[[#This Row],[valoracion_cliente]]="","Sin valoración",ventas_libreria[[#This Row],[valoracion_cliente]])</f>
        <v>4</v>
      </c>
    </row>
    <row r="230" spans="1:18" x14ac:dyDescent="0.25">
      <c r="A230" t="s">
        <v>493</v>
      </c>
      <c r="B230" t="s">
        <v>36</v>
      </c>
      <c r="C230" t="s">
        <v>37</v>
      </c>
      <c r="D230" t="s">
        <v>28</v>
      </c>
      <c r="E230" t="s">
        <v>29</v>
      </c>
      <c r="F230">
        <f>ventas_libreria[[#This Row],[precio_eur]]/100</f>
        <v>20.79</v>
      </c>
      <c r="G230">
        <v>2079</v>
      </c>
      <c r="H230">
        <v>1</v>
      </c>
      <c r="I230">
        <f>ventas_libreria[[#This Row],[precio]]*ventas_libreria[[#This Row],[cantidad]]</f>
        <v>20.79</v>
      </c>
      <c r="J230">
        <v>51</v>
      </c>
      <c r="K230" t="s">
        <v>38</v>
      </c>
      <c r="L230" s="1">
        <v>45160</v>
      </c>
      <c r="M230" t="s">
        <v>21</v>
      </c>
      <c r="N230" t="s">
        <v>32</v>
      </c>
      <c r="O230" t="s">
        <v>33</v>
      </c>
      <c r="P230" t="s">
        <v>34</v>
      </c>
      <c r="Q230">
        <v>5</v>
      </c>
      <c r="R230">
        <f>IF(ventas_libreria[[#This Row],[valoracion_cliente]]="","Sin valoración",ventas_libreria[[#This Row],[valoracion_cliente]])</f>
        <v>5</v>
      </c>
    </row>
    <row r="231" spans="1:18" x14ac:dyDescent="0.25">
      <c r="A231" t="s">
        <v>494</v>
      </c>
      <c r="B231" t="s">
        <v>276</v>
      </c>
      <c r="C231" t="s">
        <v>277</v>
      </c>
      <c r="D231" t="s">
        <v>278</v>
      </c>
      <c r="E231" t="s">
        <v>189</v>
      </c>
      <c r="F231">
        <f>ventas_libreria[[#This Row],[precio_eur]]/100</f>
        <v>18.79</v>
      </c>
      <c r="G231">
        <v>1879</v>
      </c>
      <c r="H231">
        <v>2</v>
      </c>
      <c r="I231">
        <f>ventas_libreria[[#This Row],[precio]]*ventas_libreria[[#This Row],[cantidad]]</f>
        <v>37.58</v>
      </c>
      <c r="J231">
        <v>74</v>
      </c>
      <c r="K231" t="s">
        <v>20</v>
      </c>
      <c r="L231" s="1">
        <v>45510</v>
      </c>
      <c r="M231" t="s">
        <v>21</v>
      </c>
      <c r="N231" t="s">
        <v>32</v>
      </c>
      <c r="O231" t="s">
        <v>33</v>
      </c>
      <c r="P231" t="s">
        <v>24</v>
      </c>
      <c r="Q231">
        <v>5</v>
      </c>
      <c r="R231">
        <f>IF(ventas_libreria[[#This Row],[valoracion_cliente]]="","Sin valoración",ventas_libreria[[#This Row],[valoracion_cliente]])</f>
        <v>5</v>
      </c>
    </row>
    <row r="232" spans="1:18" x14ac:dyDescent="0.25">
      <c r="A232" t="s">
        <v>495</v>
      </c>
      <c r="B232" t="s">
        <v>100</v>
      </c>
      <c r="C232" t="s">
        <v>101</v>
      </c>
      <c r="D232" t="s">
        <v>102</v>
      </c>
      <c r="E232" t="s">
        <v>61</v>
      </c>
      <c r="F232">
        <f>ventas_libreria[[#This Row],[precio_eur]]/100</f>
        <v>1.19</v>
      </c>
      <c r="G232">
        <v>119</v>
      </c>
      <c r="H232">
        <v>1</v>
      </c>
      <c r="I232">
        <f>ventas_libreria[[#This Row],[precio]]*ventas_libreria[[#This Row],[cantidad]]</f>
        <v>1.19</v>
      </c>
      <c r="J232">
        <v>32</v>
      </c>
      <c r="K232" t="s">
        <v>30</v>
      </c>
      <c r="L232" s="1">
        <v>45481</v>
      </c>
      <c r="M232" t="s">
        <v>31</v>
      </c>
      <c r="N232" t="s">
        <v>32</v>
      </c>
      <c r="O232" t="s">
        <v>33</v>
      </c>
      <c r="P232" t="s">
        <v>84</v>
      </c>
      <c r="Q232">
        <v>4</v>
      </c>
      <c r="R232">
        <f>IF(ventas_libreria[[#This Row],[valoracion_cliente]]="","Sin valoración",ventas_libreria[[#This Row],[valoracion_cliente]])</f>
        <v>4</v>
      </c>
    </row>
    <row r="233" spans="1:18" x14ac:dyDescent="0.25">
      <c r="A233" t="s">
        <v>496</v>
      </c>
      <c r="B233" t="s">
        <v>40</v>
      </c>
      <c r="C233" t="s">
        <v>41</v>
      </c>
      <c r="D233" t="s">
        <v>42</v>
      </c>
      <c r="E233" t="s">
        <v>19</v>
      </c>
      <c r="F233">
        <f>ventas_libreria[[#This Row],[precio_eur]]/100</f>
        <v>1.29</v>
      </c>
      <c r="G233">
        <v>129</v>
      </c>
      <c r="H233">
        <v>1</v>
      </c>
      <c r="I233">
        <f>ventas_libreria[[#This Row],[precio]]*ventas_libreria[[#This Row],[cantidad]]</f>
        <v>1.29</v>
      </c>
      <c r="J233">
        <v>33</v>
      </c>
      <c r="K233" t="s">
        <v>62</v>
      </c>
      <c r="L233" s="1">
        <v>46006</v>
      </c>
      <c r="M233" t="s">
        <v>21</v>
      </c>
      <c r="N233" t="s">
        <v>22</v>
      </c>
      <c r="O233" t="s">
        <v>67</v>
      </c>
      <c r="P233" t="s">
        <v>34</v>
      </c>
      <c r="Q233">
        <v>4</v>
      </c>
      <c r="R233">
        <f>IF(ventas_libreria[[#This Row],[valoracion_cliente]]="","Sin valoración",ventas_libreria[[#This Row],[valoracion_cliente]])</f>
        <v>4</v>
      </c>
    </row>
    <row r="234" spans="1:18" x14ac:dyDescent="0.25">
      <c r="A234" t="s">
        <v>497</v>
      </c>
      <c r="B234" t="s">
        <v>314</v>
      </c>
      <c r="C234" t="s">
        <v>315</v>
      </c>
      <c r="D234" t="s">
        <v>217</v>
      </c>
      <c r="E234" t="s">
        <v>55</v>
      </c>
      <c r="F234">
        <f>ventas_libreria[[#This Row],[precio_eur]]/100</f>
        <v>16.649999999999999</v>
      </c>
      <c r="G234">
        <v>1665</v>
      </c>
      <c r="H234">
        <v>1</v>
      </c>
      <c r="I234">
        <f>ventas_libreria[[#This Row],[precio]]*ventas_libreria[[#This Row],[cantidad]]</f>
        <v>16.649999999999999</v>
      </c>
      <c r="J234">
        <v>68</v>
      </c>
      <c r="K234" t="s">
        <v>30</v>
      </c>
      <c r="L234" s="1">
        <v>45483</v>
      </c>
      <c r="M234" t="s">
        <v>21</v>
      </c>
      <c r="N234" t="s">
        <v>22</v>
      </c>
      <c r="O234" t="s">
        <v>98</v>
      </c>
      <c r="P234" t="s">
        <v>56</v>
      </c>
      <c r="Q234">
        <v>5</v>
      </c>
      <c r="R234">
        <f>IF(ventas_libreria[[#This Row],[valoracion_cliente]]="","Sin valoración",ventas_libreria[[#This Row],[valoracion_cliente]])</f>
        <v>5</v>
      </c>
    </row>
    <row r="235" spans="1:18" x14ac:dyDescent="0.25">
      <c r="A235" t="s">
        <v>498</v>
      </c>
      <c r="B235" t="s">
        <v>220</v>
      </c>
      <c r="C235" t="s">
        <v>221</v>
      </c>
      <c r="D235" t="s">
        <v>222</v>
      </c>
      <c r="E235" t="s">
        <v>116</v>
      </c>
      <c r="F235">
        <f>ventas_libreria[[#This Row],[precio_eur]]/100</f>
        <v>13.55</v>
      </c>
      <c r="G235">
        <v>1355</v>
      </c>
      <c r="H235">
        <v>1</v>
      </c>
      <c r="I235">
        <f>ventas_libreria[[#This Row],[precio]]*ventas_libreria[[#This Row],[cantidad]]</f>
        <v>13.55</v>
      </c>
      <c r="J235">
        <v>61</v>
      </c>
      <c r="K235" t="s">
        <v>30</v>
      </c>
      <c r="L235" s="1">
        <v>45066</v>
      </c>
      <c r="M235" t="s">
        <v>43</v>
      </c>
      <c r="N235" t="s">
        <v>32</v>
      </c>
      <c r="O235" t="s">
        <v>33</v>
      </c>
      <c r="P235" t="s">
        <v>34</v>
      </c>
      <c r="Q235">
        <v>5</v>
      </c>
      <c r="R235">
        <f>IF(ventas_libreria[[#This Row],[valoracion_cliente]]="","Sin valoración",ventas_libreria[[#This Row],[valoracion_cliente]])</f>
        <v>5</v>
      </c>
    </row>
    <row r="236" spans="1:18" x14ac:dyDescent="0.25">
      <c r="A236" t="s">
        <v>499</v>
      </c>
      <c r="B236" t="s">
        <v>58</v>
      </c>
      <c r="C236" t="s">
        <v>59</v>
      </c>
      <c r="D236" t="s">
        <v>60</v>
      </c>
      <c r="E236" t="s">
        <v>61</v>
      </c>
      <c r="F236">
        <f>ventas_libreria[[#This Row],[precio_eur]]/100</f>
        <v>13.55</v>
      </c>
      <c r="G236">
        <v>1355</v>
      </c>
      <c r="H236">
        <v>1</v>
      </c>
      <c r="I236">
        <f>ventas_libreria[[#This Row],[precio]]*ventas_libreria[[#This Row],[cantidad]]</f>
        <v>13.55</v>
      </c>
      <c r="J236">
        <v>43</v>
      </c>
      <c r="K236" t="s">
        <v>62</v>
      </c>
      <c r="L236" s="1">
        <v>45095</v>
      </c>
      <c r="M236" t="s">
        <v>31</v>
      </c>
      <c r="N236" t="s">
        <v>32</v>
      </c>
      <c r="O236" t="s">
        <v>33</v>
      </c>
      <c r="P236" t="s">
        <v>56</v>
      </c>
      <c r="Q236">
        <v>4</v>
      </c>
      <c r="R236">
        <f>IF(ventas_libreria[[#This Row],[valoracion_cliente]]="","Sin valoración",ventas_libreria[[#This Row],[valoracion_cliente]])</f>
        <v>4</v>
      </c>
    </row>
    <row r="237" spans="1:18" x14ac:dyDescent="0.25">
      <c r="A237" t="s">
        <v>500</v>
      </c>
      <c r="B237" t="s">
        <v>104</v>
      </c>
      <c r="C237" t="s">
        <v>105</v>
      </c>
      <c r="D237" t="s">
        <v>106</v>
      </c>
      <c r="E237" t="s">
        <v>107</v>
      </c>
      <c r="F237">
        <f>ventas_libreria[[#This Row],[precio_eur]]/100</f>
        <v>12.66</v>
      </c>
      <c r="G237">
        <v>1266</v>
      </c>
      <c r="H237">
        <v>2</v>
      </c>
      <c r="I237">
        <f>ventas_libreria[[#This Row],[precio]]*ventas_libreria[[#This Row],[cantidad]]</f>
        <v>25.32</v>
      </c>
      <c r="J237">
        <v>18</v>
      </c>
      <c r="K237" t="s">
        <v>30</v>
      </c>
      <c r="L237" s="1">
        <v>45293</v>
      </c>
      <c r="M237" t="s">
        <v>21</v>
      </c>
      <c r="N237" t="s">
        <v>22</v>
      </c>
      <c r="O237" t="s">
        <v>132</v>
      </c>
      <c r="P237" t="s">
        <v>34</v>
      </c>
      <c r="Q237">
        <v>5</v>
      </c>
      <c r="R237">
        <f>IF(ventas_libreria[[#This Row],[valoracion_cliente]]="","Sin valoración",ventas_libreria[[#This Row],[valoracion_cliente]])</f>
        <v>5</v>
      </c>
    </row>
    <row r="238" spans="1:18" x14ac:dyDescent="0.25">
      <c r="A238" t="s">
        <v>501</v>
      </c>
      <c r="B238" t="s">
        <v>151</v>
      </c>
      <c r="C238" t="s">
        <v>152</v>
      </c>
      <c r="D238" t="s">
        <v>153</v>
      </c>
      <c r="E238" t="s">
        <v>154</v>
      </c>
      <c r="F238">
        <f>ventas_libreria[[#This Row],[precio_eur]]/100</f>
        <v>1.69</v>
      </c>
      <c r="G238">
        <v>169</v>
      </c>
      <c r="H238">
        <v>1</v>
      </c>
      <c r="I238">
        <f>ventas_libreria[[#This Row],[precio]]*ventas_libreria[[#This Row],[cantidad]]</f>
        <v>1.69</v>
      </c>
      <c r="J238">
        <v>72</v>
      </c>
      <c r="K238" t="s">
        <v>38</v>
      </c>
      <c r="L238" s="1">
        <v>45158</v>
      </c>
      <c r="M238" t="s">
        <v>43</v>
      </c>
      <c r="N238" t="s">
        <v>32</v>
      </c>
      <c r="O238" t="s">
        <v>33</v>
      </c>
      <c r="P238" t="s">
        <v>56</v>
      </c>
      <c r="Q238">
        <v>5</v>
      </c>
      <c r="R238">
        <f>IF(ventas_libreria[[#This Row],[valoracion_cliente]]="","Sin valoración",ventas_libreria[[#This Row],[valoracion_cliente]])</f>
        <v>5</v>
      </c>
    </row>
    <row r="239" spans="1:18" x14ac:dyDescent="0.25">
      <c r="A239" t="s">
        <v>502</v>
      </c>
      <c r="B239" t="s">
        <v>276</v>
      </c>
      <c r="C239" t="s">
        <v>277</v>
      </c>
      <c r="D239" t="s">
        <v>278</v>
      </c>
      <c r="E239" t="s">
        <v>189</v>
      </c>
      <c r="F239">
        <f>ventas_libreria[[#This Row],[precio_eur]]/100</f>
        <v>15.21</v>
      </c>
      <c r="G239">
        <v>1521</v>
      </c>
      <c r="H239">
        <v>1</v>
      </c>
      <c r="I239">
        <f>ventas_libreria[[#This Row],[precio]]*ventas_libreria[[#This Row],[cantidad]]</f>
        <v>15.21</v>
      </c>
      <c r="J239">
        <v>71</v>
      </c>
      <c r="K239" t="s">
        <v>38</v>
      </c>
      <c r="L239" s="1">
        <v>45815</v>
      </c>
      <c r="M239" t="s">
        <v>31</v>
      </c>
      <c r="N239" t="s">
        <v>32</v>
      </c>
      <c r="O239" t="s">
        <v>33</v>
      </c>
      <c r="P239" t="s">
        <v>24</v>
      </c>
      <c r="Q239">
        <v>5</v>
      </c>
      <c r="R239">
        <f>IF(ventas_libreria[[#This Row],[valoracion_cliente]]="","Sin valoración",ventas_libreria[[#This Row],[valoracion_cliente]])</f>
        <v>5</v>
      </c>
    </row>
    <row r="240" spans="1:18" x14ac:dyDescent="0.25">
      <c r="A240" t="s">
        <v>503</v>
      </c>
      <c r="B240" t="s">
        <v>327</v>
      </c>
      <c r="C240" t="s">
        <v>328</v>
      </c>
      <c r="D240" t="s">
        <v>288</v>
      </c>
      <c r="E240" t="s">
        <v>289</v>
      </c>
      <c r="F240">
        <f>ventas_libreria[[#This Row],[precio_eur]]/100</f>
        <v>2.29</v>
      </c>
      <c r="G240">
        <v>229</v>
      </c>
      <c r="H240">
        <v>1</v>
      </c>
      <c r="I240">
        <f>ventas_libreria[[#This Row],[precio]]*ventas_libreria[[#This Row],[cantidad]]</f>
        <v>2.29</v>
      </c>
      <c r="J240">
        <v>20</v>
      </c>
      <c r="K240" t="s">
        <v>20</v>
      </c>
      <c r="L240" s="1">
        <v>45847</v>
      </c>
      <c r="M240" t="s">
        <v>21</v>
      </c>
      <c r="N240" t="s">
        <v>32</v>
      </c>
      <c r="O240" t="s">
        <v>33</v>
      </c>
      <c r="P240" t="s">
        <v>34</v>
      </c>
      <c r="Q240">
        <v>5</v>
      </c>
      <c r="R240">
        <f>IF(ventas_libreria[[#This Row],[valoracion_cliente]]="","Sin valoración",ventas_libreria[[#This Row],[valoracion_cliente]])</f>
        <v>5</v>
      </c>
    </row>
    <row r="241" spans="1:18" x14ac:dyDescent="0.25">
      <c r="A241" t="s">
        <v>504</v>
      </c>
      <c r="B241" t="s">
        <v>314</v>
      </c>
      <c r="C241" t="s">
        <v>315</v>
      </c>
      <c r="D241" t="s">
        <v>217</v>
      </c>
      <c r="E241" t="s">
        <v>55</v>
      </c>
      <c r="F241">
        <f>ventas_libreria[[#This Row],[precio_eur]]/100</f>
        <v>1.85</v>
      </c>
      <c r="G241">
        <v>185</v>
      </c>
      <c r="H241">
        <v>1</v>
      </c>
      <c r="I241">
        <f>ventas_libreria[[#This Row],[precio]]*ventas_libreria[[#This Row],[cantidad]]</f>
        <v>1.85</v>
      </c>
      <c r="J241">
        <v>25</v>
      </c>
      <c r="K241" t="s">
        <v>20</v>
      </c>
      <c r="L241" s="1">
        <v>45968</v>
      </c>
      <c r="M241" t="s">
        <v>21</v>
      </c>
      <c r="N241" t="s">
        <v>32</v>
      </c>
      <c r="O241" t="s">
        <v>33</v>
      </c>
      <c r="P241" t="s">
        <v>84</v>
      </c>
      <c r="R241" t="str">
        <f>IF(ventas_libreria[[#This Row],[valoracion_cliente]]="","Sin valoración",ventas_libreria[[#This Row],[valoracion_cliente]])</f>
        <v>Sin valoración</v>
      </c>
    </row>
    <row r="242" spans="1:18" x14ac:dyDescent="0.25">
      <c r="A242" t="s">
        <v>505</v>
      </c>
      <c r="B242" t="s">
        <v>247</v>
      </c>
      <c r="C242" t="s">
        <v>248</v>
      </c>
      <c r="D242" t="s">
        <v>249</v>
      </c>
      <c r="E242" t="s">
        <v>172</v>
      </c>
      <c r="F242">
        <f>ventas_libreria[[#This Row],[precio_eur]]/100</f>
        <v>12.51</v>
      </c>
      <c r="G242">
        <v>1251</v>
      </c>
      <c r="H242">
        <v>1</v>
      </c>
      <c r="I242">
        <f>ventas_libreria[[#This Row],[precio]]*ventas_libreria[[#This Row],[cantidad]]</f>
        <v>12.51</v>
      </c>
      <c r="J242">
        <v>30</v>
      </c>
      <c r="K242" t="s">
        <v>62</v>
      </c>
      <c r="L242" s="1">
        <v>44941</v>
      </c>
      <c r="M242" t="s">
        <v>31</v>
      </c>
      <c r="N242" t="s">
        <v>32</v>
      </c>
      <c r="O242" t="s">
        <v>33</v>
      </c>
      <c r="P242" t="s">
        <v>34</v>
      </c>
      <c r="Q242">
        <v>5</v>
      </c>
      <c r="R242">
        <f>IF(ventas_libreria[[#This Row],[valoracion_cliente]]="","Sin valoración",ventas_libreria[[#This Row],[valoracion_cliente]])</f>
        <v>5</v>
      </c>
    </row>
    <row r="243" spans="1:18" x14ac:dyDescent="0.25">
      <c r="A243" t="s">
        <v>506</v>
      </c>
      <c r="B243" t="s">
        <v>176</v>
      </c>
      <c r="C243" t="s">
        <v>177</v>
      </c>
      <c r="D243" t="s">
        <v>178</v>
      </c>
      <c r="E243" t="s">
        <v>179</v>
      </c>
      <c r="F243">
        <f>ventas_libreria[[#This Row],[precio_eur]]/100</f>
        <v>13.52</v>
      </c>
      <c r="G243">
        <v>1352</v>
      </c>
      <c r="H243">
        <v>1</v>
      </c>
      <c r="I243">
        <f>ventas_libreria[[#This Row],[precio]]*ventas_libreria[[#This Row],[cantidad]]</f>
        <v>13.52</v>
      </c>
      <c r="J243">
        <v>39</v>
      </c>
      <c r="K243" t="s">
        <v>62</v>
      </c>
      <c r="L243" s="1">
        <v>45961</v>
      </c>
      <c r="M243" t="s">
        <v>31</v>
      </c>
      <c r="N243" t="s">
        <v>22</v>
      </c>
      <c r="O243" t="s">
        <v>23</v>
      </c>
      <c r="P243" t="s">
        <v>56</v>
      </c>
      <c r="Q243">
        <v>5</v>
      </c>
      <c r="R243">
        <f>IF(ventas_libreria[[#This Row],[valoracion_cliente]]="","Sin valoración",ventas_libreria[[#This Row],[valoracion_cliente]])</f>
        <v>5</v>
      </c>
    </row>
    <row r="244" spans="1:18" x14ac:dyDescent="0.25">
      <c r="A244" t="s">
        <v>507</v>
      </c>
      <c r="B244" t="s">
        <v>508</v>
      </c>
      <c r="C244" t="s">
        <v>509</v>
      </c>
      <c r="D244" t="s">
        <v>199</v>
      </c>
      <c r="E244" t="s">
        <v>55</v>
      </c>
      <c r="F244">
        <f>ventas_libreria[[#This Row],[precio_eur]]/100</f>
        <v>15.12</v>
      </c>
      <c r="G244">
        <v>1512</v>
      </c>
      <c r="H244">
        <v>1</v>
      </c>
      <c r="I244">
        <f>ventas_libreria[[#This Row],[precio]]*ventas_libreria[[#This Row],[cantidad]]</f>
        <v>15.12</v>
      </c>
      <c r="J244">
        <v>72</v>
      </c>
      <c r="K244" t="s">
        <v>20</v>
      </c>
      <c r="L244" s="1">
        <v>45750</v>
      </c>
      <c r="M244" t="s">
        <v>31</v>
      </c>
      <c r="N244" t="s">
        <v>32</v>
      </c>
      <c r="O244" t="s">
        <v>33</v>
      </c>
      <c r="P244" t="s">
        <v>50</v>
      </c>
      <c r="Q244">
        <v>5</v>
      </c>
      <c r="R244">
        <f>IF(ventas_libreria[[#This Row],[valoracion_cliente]]="","Sin valoración",ventas_libreria[[#This Row],[valoracion_cliente]])</f>
        <v>5</v>
      </c>
    </row>
    <row r="245" spans="1:18" x14ac:dyDescent="0.25">
      <c r="A245" t="s">
        <v>510</v>
      </c>
      <c r="B245" t="s">
        <v>318</v>
      </c>
      <c r="C245" t="s">
        <v>319</v>
      </c>
      <c r="D245" t="s">
        <v>167</v>
      </c>
      <c r="E245" t="s">
        <v>61</v>
      </c>
      <c r="F245">
        <f>ventas_libreria[[#This Row],[precio_eur]]/100</f>
        <v>1.89</v>
      </c>
      <c r="G245">
        <v>189</v>
      </c>
      <c r="H245">
        <v>1</v>
      </c>
      <c r="I245">
        <f>ventas_libreria[[#This Row],[precio]]*ventas_libreria[[#This Row],[cantidad]]</f>
        <v>1.89</v>
      </c>
      <c r="J245">
        <v>21</v>
      </c>
      <c r="K245" t="s">
        <v>30</v>
      </c>
      <c r="L245" s="1">
        <v>45711</v>
      </c>
      <c r="M245" t="s">
        <v>21</v>
      </c>
      <c r="N245" t="s">
        <v>32</v>
      </c>
      <c r="O245" t="s">
        <v>33</v>
      </c>
      <c r="P245" t="s">
        <v>84</v>
      </c>
      <c r="R245" t="str">
        <f>IF(ventas_libreria[[#This Row],[valoracion_cliente]]="","Sin valoración",ventas_libreria[[#This Row],[valoracion_cliente]])</f>
        <v>Sin valoración</v>
      </c>
    </row>
    <row r="246" spans="1:18" x14ac:dyDescent="0.25">
      <c r="A246" t="s">
        <v>511</v>
      </c>
      <c r="B246" t="s">
        <v>74</v>
      </c>
      <c r="C246" t="s">
        <v>75</v>
      </c>
      <c r="D246" t="s">
        <v>76</v>
      </c>
      <c r="E246" t="s">
        <v>77</v>
      </c>
      <c r="F246">
        <f>ventas_libreria[[#This Row],[precio_eur]]/100</f>
        <v>17.489999999999998</v>
      </c>
      <c r="G246">
        <v>1749</v>
      </c>
      <c r="H246">
        <v>2</v>
      </c>
      <c r="I246">
        <f>ventas_libreria[[#This Row],[precio]]*ventas_libreria[[#This Row],[cantidad]]</f>
        <v>34.979999999999997</v>
      </c>
      <c r="J246">
        <v>9</v>
      </c>
      <c r="K246" t="s">
        <v>62</v>
      </c>
      <c r="L246" s="1">
        <v>45259</v>
      </c>
      <c r="M246" t="s">
        <v>21</v>
      </c>
      <c r="N246" t="s">
        <v>22</v>
      </c>
      <c r="O246" t="s">
        <v>49</v>
      </c>
      <c r="P246" t="s">
        <v>50</v>
      </c>
      <c r="Q246">
        <v>4</v>
      </c>
      <c r="R246">
        <f>IF(ventas_libreria[[#This Row],[valoracion_cliente]]="","Sin valoración",ventas_libreria[[#This Row],[valoracion_cliente]])</f>
        <v>4</v>
      </c>
    </row>
    <row r="247" spans="1:18" x14ac:dyDescent="0.25">
      <c r="A247" t="s">
        <v>512</v>
      </c>
      <c r="B247" t="s">
        <v>365</v>
      </c>
      <c r="C247" t="s">
        <v>366</v>
      </c>
      <c r="D247" t="s">
        <v>367</v>
      </c>
      <c r="E247" t="s">
        <v>19</v>
      </c>
      <c r="F247">
        <f>ventas_libreria[[#This Row],[precio_eur]]/100</f>
        <v>15.12</v>
      </c>
      <c r="G247">
        <v>1512</v>
      </c>
      <c r="H247">
        <v>1</v>
      </c>
      <c r="I247">
        <f>ventas_libreria[[#This Row],[precio]]*ventas_libreria[[#This Row],[cantidad]]</f>
        <v>15.12</v>
      </c>
      <c r="J247">
        <v>52</v>
      </c>
      <c r="K247" t="s">
        <v>38</v>
      </c>
      <c r="L247" s="1">
        <v>45927</v>
      </c>
      <c r="M247" t="s">
        <v>21</v>
      </c>
      <c r="N247" t="s">
        <v>22</v>
      </c>
      <c r="O247" t="s">
        <v>67</v>
      </c>
      <c r="P247" t="s">
        <v>50</v>
      </c>
      <c r="Q247">
        <v>5</v>
      </c>
      <c r="R247">
        <f>IF(ventas_libreria[[#This Row],[valoracion_cliente]]="","Sin valoración",ventas_libreria[[#This Row],[valoracion_cliente]])</f>
        <v>5</v>
      </c>
    </row>
    <row r="248" spans="1:18" x14ac:dyDescent="0.25">
      <c r="A248" t="s">
        <v>513</v>
      </c>
      <c r="B248" t="s">
        <v>348</v>
      </c>
      <c r="C248" t="s">
        <v>349</v>
      </c>
      <c r="D248" t="s">
        <v>350</v>
      </c>
      <c r="E248" t="s">
        <v>116</v>
      </c>
      <c r="F248">
        <f>ventas_libreria[[#This Row],[precio_eur]]/100</f>
        <v>1.99</v>
      </c>
      <c r="G248">
        <v>199</v>
      </c>
      <c r="H248">
        <v>1</v>
      </c>
      <c r="I248">
        <f>ventas_libreria[[#This Row],[precio]]*ventas_libreria[[#This Row],[cantidad]]</f>
        <v>1.99</v>
      </c>
      <c r="J248">
        <v>68</v>
      </c>
      <c r="K248" t="s">
        <v>38</v>
      </c>
      <c r="L248" s="1">
        <v>45727</v>
      </c>
      <c r="M248" t="s">
        <v>31</v>
      </c>
      <c r="N248" t="s">
        <v>22</v>
      </c>
      <c r="O248" t="s">
        <v>132</v>
      </c>
      <c r="P248" t="s">
        <v>84</v>
      </c>
      <c r="Q248">
        <v>4</v>
      </c>
      <c r="R248">
        <f>IF(ventas_libreria[[#This Row],[valoracion_cliente]]="","Sin valoración",ventas_libreria[[#This Row],[valoracion_cliente]])</f>
        <v>4</v>
      </c>
    </row>
    <row r="249" spans="1:18" x14ac:dyDescent="0.25">
      <c r="A249" t="s">
        <v>514</v>
      </c>
      <c r="B249" t="s">
        <v>273</v>
      </c>
      <c r="C249" t="s">
        <v>274</v>
      </c>
      <c r="D249" t="s">
        <v>262</v>
      </c>
      <c r="E249" t="s">
        <v>263</v>
      </c>
      <c r="F249">
        <f>ventas_libreria[[#This Row],[precio_eur]]/100</f>
        <v>18.61</v>
      </c>
      <c r="G249">
        <v>1861</v>
      </c>
      <c r="H249">
        <v>1</v>
      </c>
      <c r="I249">
        <f>ventas_libreria[[#This Row],[precio]]*ventas_libreria[[#This Row],[cantidad]]</f>
        <v>18.61</v>
      </c>
      <c r="J249">
        <v>24</v>
      </c>
      <c r="K249" t="s">
        <v>62</v>
      </c>
      <c r="L249" s="1">
        <v>45079</v>
      </c>
      <c r="M249" t="s">
        <v>31</v>
      </c>
      <c r="N249" t="s">
        <v>32</v>
      </c>
      <c r="O249" t="s">
        <v>33</v>
      </c>
      <c r="P249" t="s">
        <v>56</v>
      </c>
      <c r="Q249">
        <v>3</v>
      </c>
      <c r="R249">
        <f>IF(ventas_libreria[[#This Row],[valoracion_cliente]]="","Sin valoración",ventas_libreria[[#This Row],[valoracion_cliente]])</f>
        <v>3</v>
      </c>
    </row>
    <row r="250" spans="1:18" x14ac:dyDescent="0.25">
      <c r="A250" t="s">
        <v>515</v>
      </c>
      <c r="B250" t="s">
        <v>291</v>
      </c>
      <c r="C250" t="s">
        <v>292</v>
      </c>
      <c r="D250" t="s">
        <v>76</v>
      </c>
      <c r="E250" t="s">
        <v>77</v>
      </c>
      <c r="F250">
        <f>ventas_libreria[[#This Row],[precio_eur]]/100</f>
        <v>10.89</v>
      </c>
      <c r="G250">
        <v>1089</v>
      </c>
      <c r="H250">
        <v>1</v>
      </c>
      <c r="I250">
        <f>ventas_libreria[[#This Row],[precio]]*ventas_libreria[[#This Row],[cantidad]]</f>
        <v>10.89</v>
      </c>
      <c r="J250">
        <v>12</v>
      </c>
      <c r="K250" t="s">
        <v>30</v>
      </c>
      <c r="L250" s="1">
        <v>44993</v>
      </c>
      <c r="M250" t="s">
        <v>21</v>
      </c>
      <c r="N250" t="s">
        <v>22</v>
      </c>
      <c r="O250" t="s">
        <v>132</v>
      </c>
      <c r="P250" t="s">
        <v>24</v>
      </c>
      <c r="R250" t="str">
        <f>IF(ventas_libreria[[#This Row],[valoracion_cliente]]="","Sin valoración",ventas_libreria[[#This Row],[valoracion_cliente]])</f>
        <v>Sin valoración</v>
      </c>
    </row>
    <row r="251" spans="1:18" x14ac:dyDescent="0.25">
      <c r="A251" t="s">
        <v>516</v>
      </c>
      <c r="B251" t="s">
        <v>398</v>
      </c>
      <c r="C251" t="s">
        <v>399</v>
      </c>
      <c r="D251" t="s">
        <v>167</v>
      </c>
      <c r="E251" t="s">
        <v>61</v>
      </c>
      <c r="F251">
        <f>ventas_libreria[[#This Row],[precio_eur]]/100</f>
        <v>1.69</v>
      </c>
      <c r="G251">
        <v>169</v>
      </c>
      <c r="H251">
        <v>1</v>
      </c>
      <c r="I251">
        <f>ventas_libreria[[#This Row],[precio]]*ventas_libreria[[#This Row],[cantidad]]</f>
        <v>1.69</v>
      </c>
      <c r="J251">
        <v>17</v>
      </c>
      <c r="K251" t="s">
        <v>20</v>
      </c>
      <c r="L251" s="1">
        <v>45251</v>
      </c>
      <c r="M251" t="s">
        <v>31</v>
      </c>
      <c r="N251" t="s">
        <v>32</v>
      </c>
      <c r="O251" t="s">
        <v>33</v>
      </c>
      <c r="P251" t="s">
        <v>50</v>
      </c>
      <c r="R251" t="str">
        <f>IF(ventas_libreria[[#This Row],[valoracion_cliente]]="","Sin valoración",ventas_libreria[[#This Row],[valoracion_cliente]])</f>
        <v>Sin valoración</v>
      </c>
    </row>
    <row r="252" spans="1:18" x14ac:dyDescent="0.25">
      <c r="A252" t="s">
        <v>517</v>
      </c>
      <c r="B252" t="s">
        <v>276</v>
      </c>
      <c r="C252" t="s">
        <v>277</v>
      </c>
      <c r="D252" t="s">
        <v>278</v>
      </c>
      <c r="E252" t="s">
        <v>189</v>
      </c>
      <c r="F252">
        <f>ventas_libreria[[#This Row],[precio_eur]]/100</f>
        <v>18.79</v>
      </c>
      <c r="G252">
        <v>1879</v>
      </c>
      <c r="H252">
        <v>1</v>
      </c>
      <c r="I252">
        <f>ventas_libreria[[#This Row],[precio]]*ventas_libreria[[#This Row],[cantidad]]</f>
        <v>18.79</v>
      </c>
      <c r="J252">
        <v>40</v>
      </c>
      <c r="K252" t="s">
        <v>20</v>
      </c>
      <c r="L252" s="1">
        <v>45727</v>
      </c>
      <c r="M252" t="s">
        <v>21</v>
      </c>
      <c r="N252" t="s">
        <v>32</v>
      </c>
      <c r="O252" t="s">
        <v>33</v>
      </c>
      <c r="P252" t="s">
        <v>50</v>
      </c>
      <c r="Q252">
        <v>5</v>
      </c>
      <c r="R252">
        <f>IF(ventas_libreria[[#This Row],[valoracion_cliente]]="","Sin valoración",ventas_libreria[[#This Row],[valoracion_cliente]])</f>
        <v>5</v>
      </c>
    </row>
    <row r="253" spans="1:18" x14ac:dyDescent="0.25">
      <c r="A253" t="s">
        <v>518</v>
      </c>
      <c r="B253" t="s">
        <v>95</v>
      </c>
      <c r="C253" t="s">
        <v>96</v>
      </c>
      <c r="D253" t="s">
        <v>97</v>
      </c>
      <c r="E253" t="s">
        <v>29</v>
      </c>
      <c r="F253">
        <f>ventas_libreria[[#This Row],[precio_eur]]/100</f>
        <v>1.79</v>
      </c>
      <c r="G253">
        <v>179</v>
      </c>
      <c r="H253">
        <v>1</v>
      </c>
      <c r="I253">
        <f>ventas_libreria[[#This Row],[precio]]*ventas_libreria[[#This Row],[cantidad]]</f>
        <v>1.79</v>
      </c>
      <c r="J253">
        <v>18</v>
      </c>
      <c r="K253" t="s">
        <v>30</v>
      </c>
      <c r="L253" s="1">
        <v>45333</v>
      </c>
      <c r="M253" t="s">
        <v>21</v>
      </c>
      <c r="N253" t="s">
        <v>32</v>
      </c>
      <c r="O253" t="s">
        <v>33</v>
      </c>
      <c r="P253" t="s">
        <v>50</v>
      </c>
      <c r="R253" t="str">
        <f>IF(ventas_libreria[[#This Row],[valoracion_cliente]]="","Sin valoración",ventas_libreria[[#This Row],[valoracion_cliente]])</f>
        <v>Sin valoración</v>
      </c>
    </row>
    <row r="254" spans="1:18" x14ac:dyDescent="0.25">
      <c r="A254" t="s">
        <v>519</v>
      </c>
      <c r="B254" t="s">
        <v>348</v>
      </c>
      <c r="C254" t="s">
        <v>349</v>
      </c>
      <c r="D254" t="s">
        <v>350</v>
      </c>
      <c r="E254" t="s">
        <v>116</v>
      </c>
      <c r="F254">
        <f>ventas_libreria[[#This Row],[precio_eur]]/100</f>
        <v>1.99</v>
      </c>
      <c r="G254">
        <v>199</v>
      </c>
      <c r="H254">
        <v>1</v>
      </c>
      <c r="I254">
        <f>ventas_libreria[[#This Row],[precio]]*ventas_libreria[[#This Row],[cantidad]]</f>
        <v>1.99</v>
      </c>
      <c r="J254">
        <v>49</v>
      </c>
      <c r="K254" t="s">
        <v>38</v>
      </c>
      <c r="L254" s="1">
        <v>45079</v>
      </c>
      <c r="M254" t="s">
        <v>43</v>
      </c>
      <c r="N254" t="s">
        <v>32</v>
      </c>
      <c r="O254" t="s">
        <v>33</v>
      </c>
      <c r="P254" t="s">
        <v>24</v>
      </c>
      <c r="Q254">
        <v>5</v>
      </c>
      <c r="R254">
        <f>IF(ventas_libreria[[#This Row],[valoracion_cliente]]="","Sin valoración",ventas_libreria[[#This Row],[valoracion_cliente]])</f>
        <v>5</v>
      </c>
    </row>
    <row r="255" spans="1:18" x14ac:dyDescent="0.25">
      <c r="A255" t="s">
        <v>520</v>
      </c>
      <c r="B255" t="s">
        <v>129</v>
      </c>
      <c r="C255" t="s">
        <v>130</v>
      </c>
      <c r="D255" t="s">
        <v>131</v>
      </c>
      <c r="E255" t="s">
        <v>107</v>
      </c>
      <c r="F255">
        <f>ventas_libreria[[#This Row],[precio_eur]]/100</f>
        <v>1.59</v>
      </c>
      <c r="G255">
        <v>159</v>
      </c>
      <c r="H255">
        <v>1</v>
      </c>
      <c r="I255">
        <f>ventas_libreria[[#This Row],[precio]]*ventas_libreria[[#This Row],[cantidad]]</f>
        <v>1.59</v>
      </c>
      <c r="J255">
        <v>10</v>
      </c>
      <c r="K255" t="s">
        <v>62</v>
      </c>
      <c r="L255" s="1">
        <v>45810</v>
      </c>
      <c r="M255" t="s">
        <v>21</v>
      </c>
      <c r="N255" t="s">
        <v>32</v>
      </c>
      <c r="O255" t="s">
        <v>33</v>
      </c>
      <c r="P255" t="s">
        <v>84</v>
      </c>
      <c r="Q255">
        <v>4</v>
      </c>
      <c r="R255">
        <f>IF(ventas_libreria[[#This Row],[valoracion_cliente]]="","Sin valoración",ventas_libreria[[#This Row],[valoracion_cliente]])</f>
        <v>4</v>
      </c>
    </row>
    <row r="256" spans="1:18" x14ac:dyDescent="0.25">
      <c r="A256" t="s">
        <v>521</v>
      </c>
      <c r="B256" t="s">
        <v>181</v>
      </c>
      <c r="C256" t="s">
        <v>182</v>
      </c>
      <c r="D256" t="s">
        <v>183</v>
      </c>
      <c r="E256" t="s">
        <v>116</v>
      </c>
      <c r="F256">
        <f>ventas_libreria[[#This Row],[precio_eur]]/100</f>
        <v>1.39</v>
      </c>
      <c r="G256">
        <v>139</v>
      </c>
      <c r="H256">
        <v>2</v>
      </c>
      <c r="I256">
        <f>ventas_libreria[[#This Row],[precio]]*ventas_libreria[[#This Row],[cantidad]]</f>
        <v>2.78</v>
      </c>
      <c r="J256">
        <v>59</v>
      </c>
      <c r="K256" t="s">
        <v>38</v>
      </c>
      <c r="L256" s="1">
        <v>45872</v>
      </c>
      <c r="M256" t="s">
        <v>43</v>
      </c>
      <c r="N256" t="s">
        <v>32</v>
      </c>
      <c r="O256" t="s">
        <v>33</v>
      </c>
      <c r="P256" t="s">
        <v>34</v>
      </c>
      <c r="Q256">
        <v>2</v>
      </c>
      <c r="R256">
        <f>IF(ventas_libreria[[#This Row],[valoracion_cliente]]="","Sin valoración",ventas_libreria[[#This Row],[valoracion_cliente]])</f>
        <v>2</v>
      </c>
    </row>
    <row r="257" spans="1:18" x14ac:dyDescent="0.25">
      <c r="A257" t="s">
        <v>522</v>
      </c>
      <c r="B257" t="s">
        <v>40</v>
      </c>
      <c r="C257" t="s">
        <v>41</v>
      </c>
      <c r="D257" t="s">
        <v>42</v>
      </c>
      <c r="E257" t="s">
        <v>19</v>
      </c>
      <c r="F257">
        <f>ventas_libreria[[#This Row],[precio_eur]]/100</f>
        <v>13.55</v>
      </c>
      <c r="G257">
        <v>1355</v>
      </c>
      <c r="H257">
        <v>2</v>
      </c>
      <c r="I257">
        <f>ventas_libreria[[#This Row],[precio]]*ventas_libreria[[#This Row],[cantidad]]</f>
        <v>27.1</v>
      </c>
      <c r="J257">
        <v>27</v>
      </c>
      <c r="K257" t="s">
        <v>62</v>
      </c>
      <c r="L257" s="1">
        <v>45102</v>
      </c>
      <c r="M257" t="s">
        <v>43</v>
      </c>
      <c r="N257" t="s">
        <v>32</v>
      </c>
      <c r="O257" t="s">
        <v>33</v>
      </c>
      <c r="P257" t="s">
        <v>56</v>
      </c>
      <c r="Q257">
        <v>3</v>
      </c>
      <c r="R257">
        <f>IF(ventas_libreria[[#This Row],[valoracion_cliente]]="","Sin valoración",ventas_libreria[[#This Row],[valoracion_cliente]])</f>
        <v>3</v>
      </c>
    </row>
    <row r="258" spans="1:18" x14ac:dyDescent="0.25">
      <c r="A258" t="s">
        <v>523</v>
      </c>
      <c r="B258" t="s">
        <v>224</v>
      </c>
      <c r="C258" t="s">
        <v>225</v>
      </c>
      <c r="D258" t="s">
        <v>226</v>
      </c>
      <c r="E258" t="s">
        <v>116</v>
      </c>
      <c r="F258">
        <f>ventas_libreria[[#This Row],[precio_eur]]/100</f>
        <v>27.39</v>
      </c>
      <c r="G258">
        <v>2739</v>
      </c>
      <c r="H258">
        <v>1</v>
      </c>
      <c r="I258">
        <f>ventas_libreria[[#This Row],[precio]]*ventas_libreria[[#This Row],[cantidad]]</f>
        <v>27.39</v>
      </c>
      <c r="J258">
        <v>33</v>
      </c>
      <c r="K258" t="s">
        <v>30</v>
      </c>
      <c r="L258" s="1">
        <v>45459</v>
      </c>
      <c r="M258" t="s">
        <v>31</v>
      </c>
      <c r="N258" t="s">
        <v>22</v>
      </c>
      <c r="O258" t="s">
        <v>23</v>
      </c>
      <c r="P258" t="s">
        <v>56</v>
      </c>
      <c r="Q258">
        <v>4</v>
      </c>
      <c r="R258">
        <f>IF(ventas_libreria[[#This Row],[valoracion_cliente]]="","Sin valoración",ventas_libreria[[#This Row],[valoracion_cliente]])</f>
        <v>4</v>
      </c>
    </row>
    <row r="259" spans="1:18" x14ac:dyDescent="0.25">
      <c r="A259" t="s">
        <v>524</v>
      </c>
      <c r="B259" t="s">
        <v>296</v>
      </c>
      <c r="C259" t="s">
        <v>297</v>
      </c>
      <c r="D259" t="s">
        <v>298</v>
      </c>
      <c r="E259" t="s">
        <v>154</v>
      </c>
      <c r="F259">
        <f>ventas_libreria[[#This Row],[precio_eur]]/100</f>
        <v>1.79</v>
      </c>
      <c r="G259">
        <v>179</v>
      </c>
      <c r="H259">
        <v>2</v>
      </c>
      <c r="I259">
        <f>ventas_libreria[[#This Row],[precio]]*ventas_libreria[[#This Row],[cantidad]]</f>
        <v>3.58</v>
      </c>
      <c r="J259">
        <v>40</v>
      </c>
      <c r="K259" t="s">
        <v>30</v>
      </c>
      <c r="L259" s="1">
        <v>45836</v>
      </c>
      <c r="M259" t="s">
        <v>21</v>
      </c>
      <c r="N259" t="s">
        <v>32</v>
      </c>
      <c r="O259" t="s">
        <v>33</v>
      </c>
      <c r="P259" t="s">
        <v>50</v>
      </c>
      <c r="R259" t="str">
        <f>IF(ventas_libreria[[#This Row],[valoracion_cliente]]="","Sin valoración",ventas_libreria[[#This Row],[valoracion_cliente]])</f>
        <v>Sin valoración</v>
      </c>
    </row>
    <row r="260" spans="1:18" x14ac:dyDescent="0.25">
      <c r="A260" t="s">
        <v>525</v>
      </c>
      <c r="B260" t="s">
        <v>466</v>
      </c>
      <c r="C260" t="s">
        <v>467</v>
      </c>
      <c r="D260" t="s">
        <v>468</v>
      </c>
      <c r="E260" t="s">
        <v>154</v>
      </c>
      <c r="F260">
        <f>ventas_libreria[[#This Row],[precio_eur]]/100</f>
        <v>1.89</v>
      </c>
      <c r="G260">
        <v>189</v>
      </c>
      <c r="H260">
        <v>1</v>
      </c>
      <c r="I260">
        <f>ventas_libreria[[#This Row],[precio]]*ventas_libreria[[#This Row],[cantidad]]</f>
        <v>1.89</v>
      </c>
      <c r="J260">
        <v>39</v>
      </c>
      <c r="K260" t="s">
        <v>30</v>
      </c>
      <c r="L260" s="1">
        <v>45285</v>
      </c>
      <c r="M260" t="s">
        <v>31</v>
      </c>
      <c r="N260" t="s">
        <v>22</v>
      </c>
      <c r="O260" t="s">
        <v>98</v>
      </c>
      <c r="P260" t="s">
        <v>56</v>
      </c>
      <c r="Q260">
        <v>4</v>
      </c>
      <c r="R260">
        <f>IF(ventas_libreria[[#This Row],[valoracion_cliente]]="","Sin valoración",ventas_libreria[[#This Row],[valoracion_cliente]])</f>
        <v>4</v>
      </c>
    </row>
    <row r="261" spans="1:18" x14ac:dyDescent="0.25">
      <c r="A261" t="s">
        <v>526</v>
      </c>
      <c r="B261" t="s">
        <v>197</v>
      </c>
      <c r="C261" t="s">
        <v>198</v>
      </c>
      <c r="D261" t="s">
        <v>199</v>
      </c>
      <c r="E261" t="s">
        <v>55</v>
      </c>
      <c r="F261">
        <f>ventas_libreria[[#This Row],[precio_eur]]/100</f>
        <v>18.38</v>
      </c>
      <c r="G261">
        <v>1838</v>
      </c>
      <c r="H261">
        <v>1</v>
      </c>
      <c r="I261">
        <f>ventas_libreria[[#This Row],[precio]]*ventas_libreria[[#This Row],[cantidad]]</f>
        <v>18.38</v>
      </c>
      <c r="J261">
        <v>19</v>
      </c>
      <c r="K261" t="s">
        <v>30</v>
      </c>
      <c r="L261" s="1">
        <v>46000</v>
      </c>
      <c r="M261" t="s">
        <v>21</v>
      </c>
      <c r="N261" t="s">
        <v>32</v>
      </c>
      <c r="O261" t="s">
        <v>33</v>
      </c>
      <c r="P261" t="s">
        <v>56</v>
      </c>
      <c r="Q261">
        <v>5</v>
      </c>
      <c r="R261">
        <f>IF(ventas_libreria[[#This Row],[valoracion_cliente]]="","Sin valoración",ventas_libreria[[#This Row],[valoracion_cliente]])</f>
        <v>5</v>
      </c>
    </row>
    <row r="262" spans="1:18" x14ac:dyDescent="0.25">
      <c r="A262" t="s">
        <v>527</v>
      </c>
      <c r="B262" t="s">
        <v>181</v>
      </c>
      <c r="C262" t="s">
        <v>182</v>
      </c>
      <c r="D262" t="s">
        <v>183</v>
      </c>
      <c r="E262" t="s">
        <v>116</v>
      </c>
      <c r="F262">
        <f>ventas_libreria[[#This Row],[precio_eur]]/100</f>
        <v>1.39</v>
      </c>
      <c r="G262">
        <v>139</v>
      </c>
      <c r="H262">
        <v>1</v>
      </c>
      <c r="I262">
        <f>ventas_libreria[[#This Row],[precio]]*ventas_libreria[[#This Row],[cantidad]]</f>
        <v>1.39</v>
      </c>
      <c r="J262">
        <v>19</v>
      </c>
      <c r="K262" t="s">
        <v>62</v>
      </c>
      <c r="L262" s="1">
        <v>45553</v>
      </c>
      <c r="M262" t="s">
        <v>21</v>
      </c>
      <c r="N262" t="s">
        <v>32</v>
      </c>
      <c r="O262" t="s">
        <v>33</v>
      </c>
      <c r="P262" t="s">
        <v>24</v>
      </c>
      <c r="Q262">
        <v>3</v>
      </c>
      <c r="R262">
        <f>IF(ventas_libreria[[#This Row],[valoracion_cliente]]="","Sin valoración",ventas_libreria[[#This Row],[valoracion_cliente]])</f>
        <v>3</v>
      </c>
    </row>
    <row r="263" spans="1:18" x14ac:dyDescent="0.25">
      <c r="A263" t="s">
        <v>528</v>
      </c>
      <c r="B263" t="s">
        <v>508</v>
      </c>
      <c r="C263" t="s">
        <v>509</v>
      </c>
      <c r="D263" t="s">
        <v>199</v>
      </c>
      <c r="E263" t="s">
        <v>55</v>
      </c>
      <c r="F263">
        <f>ventas_libreria[[#This Row],[precio_eur]]/100</f>
        <v>1.89</v>
      </c>
      <c r="G263">
        <v>189</v>
      </c>
      <c r="H263">
        <v>1</v>
      </c>
      <c r="I263">
        <f>ventas_libreria[[#This Row],[precio]]*ventas_libreria[[#This Row],[cantidad]]</f>
        <v>1.89</v>
      </c>
      <c r="J263">
        <v>41</v>
      </c>
      <c r="K263" t="s">
        <v>20</v>
      </c>
      <c r="L263" s="1">
        <v>45445</v>
      </c>
      <c r="M263" t="s">
        <v>43</v>
      </c>
      <c r="N263" t="s">
        <v>32</v>
      </c>
      <c r="O263" t="s">
        <v>33</v>
      </c>
      <c r="P263" t="s">
        <v>84</v>
      </c>
      <c r="Q263">
        <v>5</v>
      </c>
      <c r="R263">
        <f>IF(ventas_libreria[[#This Row],[valoracion_cliente]]="","Sin valoración",ventas_libreria[[#This Row],[valoracion_cliente]])</f>
        <v>5</v>
      </c>
    </row>
    <row r="264" spans="1:18" x14ac:dyDescent="0.25">
      <c r="A264" t="s">
        <v>529</v>
      </c>
      <c r="B264" t="s">
        <v>530</v>
      </c>
      <c r="C264" t="s">
        <v>531</v>
      </c>
      <c r="D264" t="s">
        <v>195</v>
      </c>
      <c r="E264" t="s">
        <v>48</v>
      </c>
      <c r="F264">
        <f>ventas_libreria[[#This Row],[precio_eur]]/100</f>
        <v>1.99</v>
      </c>
      <c r="G264">
        <v>199</v>
      </c>
      <c r="H264">
        <v>1</v>
      </c>
      <c r="I264">
        <f>ventas_libreria[[#This Row],[precio]]*ventas_libreria[[#This Row],[cantidad]]</f>
        <v>1.99</v>
      </c>
      <c r="J264">
        <v>32</v>
      </c>
      <c r="K264" t="s">
        <v>20</v>
      </c>
      <c r="L264" s="1">
        <v>45233</v>
      </c>
      <c r="M264" t="s">
        <v>31</v>
      </c>
      <c r="N264" t="s">
        <v>22</v>
      </c>
      <c r="O264" t="s">
        <v>98</v>
      </c>
      <c r="P264" t="s">
        <v>50</v>
      </c>
      <c r="Q264">
        <v>4</v>
      </c>
      <c r="R264">
        <f>IF(ventas_libreria[[#This Row],[valoracion_cliente]]="","Sin valoración",ventas_libreria[[#This Row],[valoracion_cliente]])</f>
        <v>4</v>
      </c>
    </row>
    <row r="265" spans="1:18" x14ac:dyDescent="0.25">
      <c r="A265" t="s">
        <v>532</v>
      </c>
      <c r="B265" t="s">
        <v>141</v>
      </c>
      <c r="C265" t="s">
        <v>142</v>
      </c>
      <c r="D265" t="s">
        <v>143</v>
      </c>
      <c r="E265" t="s">
        <v>116</v>
      </c>
      <c r="F265">
        <f>ventas_libreria[[#This Row],[precio_eur]]/100</f>
        <v>1.49</v>
      </c>
      <c r="G265">
        <v>149</v>
      </c>
      <c r="H265">
        <v>1</v>
      </c>
      <c r="I265">
        <f>ventas_libreria[[#This Row],[precio]]*ventas_libreria[[#This Row],[cantidad]]</f>
        <v>1.49</v>
      </c>
      <c r="J265">
        <v>17</v>
      </c>
      <c r="K265" t="s">
        <v>30</v>
      </c>
      <c r="L265" s="1">
        <v>45377</v>
      </c>
      <c r="M265" t="s">
        <v>21</v>
      </c>
      <c r="N265" t="s">
        <v>22</v>
      </c>
      <c r="O265" t="s">
        <v>132</v>
      </c>
      <c r="P265" t="s">
        <v>56</v>
      </c>
      <c r="Q265">
        <v>1</v>
      </c>
      <c r="R265">
        <f>IF(ventas_libreria[[#This Row],[valoracion_cliente]]="","Sin valoración",ventas_libreria[[#This Row],[valoracion_cliente]])</f>
        <v>1</v>
      </c>
    </row>
    <row r="266" spans="1:18" x14ac:dyDescent="0.25">
      <c r="A266" t="s">
        <v>533</v>
      </c>
      <c r="B266" t="s">
        <v>265</v>
      </c>
      <c r="C266" t="s">
        <v>266</v>
      </c>
      <c r="D266" t="s">
        <v>162</v>
      </c>
      <c r="E266" t="s">
        <v>29</v>
      </c>
      <c r="F266">
        <f>ventas_libreria[[#This Row],[precio_eur]]/100</f>
        <v>1.69</v>
      </c>
      <c r="G266">
        <v>169</v>
      </c>
      <c r="H266">
        <v>3</v>
      </c>
      <c r="I266">
        <f>ventas_libreria[[#This Row],[precio]]*ventas_libreria[[#This Row],[cantidad]]</f>
        <v>5.07</v>
      </c>
      <c r="J266">
        <v>21</v>
      </c>
      <c r="K266" t="s">
        <v>30</v>
      </c>
      <c r="L266" s="1">
        <v>45219</v>
      </c>
      <c r="M266" t="s">
        <v>43</v>
      </c>
      <c r="N266" t="s">
        <v>32</v>
      </c>
      <c r="O266" t="s">
        <v>33</v>
      </c>
      <c r="P266" t="s">
        <v>84</v>
      </c>
      <c r="Q266">
        <v>4</v>
      </c>
      <c r="R266">
        <f>IF(ventas_libreria[[#This Row],[valoracion_cliente]]="","Sin valoración",ventas_libreria[[#This Row],[valoracion_cliente]])</f>
        <v>4</v>
      </c>
    </row>
    <row r="267" spans="1:18" x14ac:dyDescent="0.25">
      <c r="A267" t="s">
        <v>534</v>
      </c>
      <c r="B267" t="s">
        <v>307</v>
      </c>
      <c r="C267" t="s">
        <v>308</v>
      </c>
      <c r="D267" t="s">
        <v>88</v>
      </c>
      <c r="E267" t="s">
        <v>77</v>
      </c>
      <c r="F267">
        <f>ventas_libreria[[#This Row],[precio_eur]]/100</f>
        <v>1.0900000000000001</v>
      </c>
      <c r="G267">
        <v>109</v>
      </c>
      <c r="H267">
        <v>1</v>
      </c>
      <c r="I267">
        <f>ventas_libreria[[#This Row],[precio]]*ventas_libreria[[#This Row],[cantidad]]</f>
        <v>1.0900000000000001</v>
      </c>
      <c r="J267">
        <v>9</v>
      </c>
      <c r="K267" t="s">
        <v>30</v>
      </c>
      <c r="L267" s="1">
        <v>45752</v>
      </c>
      <c r="M267" t="s">
        <v>31</v>
      </c>
      <c r="N267" t="s">
        <v>32</v>
      </c>
      <c r="O267" t="s">
        <v>33</v>
      </c>
      <c r="P267" t="s">
        <v>84</v>
      </c>
      <c r="Q267">
        <v>4</v>
      </c>
      <c r="R267">
        <f>IF(ventas_libreria[[#This Row],[valoracion_cliente]]="","Sin valoración",ventas_libreria[[#This Row],[valoracion_cliente]])</f>
        <v>4</v>
      </c>
    </row>
    <row r="268" spans="1:18" x14ac:dyDescent="0.25">
      <c r="A268" t="s">
        <v>535</v>
      </c>
      <c r="B268" t="s">
        <v>220</v>
      </c>
      <c r="C268" t="s">
        <v>221</v>
      </c>
      <c r="D268" t="s">
        <v>222</v>
      </c>
      <c r="E268" t="s">
        <v>116</v>
      </c>
      <c r="F268">
        <f>ventas_libreria[[#This Row],[precio_eur]]/100</f>
        <v>11.61</v>
      </c>
      <c r="G268">
        <v>1161</v>
      </c>
      <c r="H268">
        <v>2</v>
      </c>
      <c r="I268">
        <f>ventas_libreria[[#This Row],[precio]]*ventas_libreria[[#This Row],[cantidad]]</f>
        <v>23.22</v>
      </c>
      <c r="J268">
        <v>66</v>
      </c>
      <c r="K268" t="s">
        <v>38</v>
      </c>
      <c r="L268" s="1">
        <v>45503</v>
      </c>
      <c r="M268" t="s">
        <v>43</v>
      </c>
      <c r="N268" t="s">
        <v>32</v>
      </c>
      <c r="O268" t="s">
        <v>33</v>
      </c>
      <c r="P268" t="s">
        <v>84</v>
      </c>
      <c r="Q268">
        <v>5</v>
      </c>
      <c r="R268">
        <f>IF(ventas_libreria[[#This Row],[valoracion_cliente]]="","Sin valoración",ventas_libreria[[#This Row],[valoracion_cliente]])</f>
        <v>5</v>
      </c>
    </row>
    <row r="269" spans="1:18" x14ac:dyDescent="0.25">
      <c r="A269" t="s">
        <v>536</v>
      </c>
      <c r="B269" t="s">
        <v>291</v>
      </c>
      <c r="C269" t="s">
        <v>292</v>
      </c>
      <c r="D269" t="s">
        <v>76</v>
      </c>
      <c r="E269" t="s">
        <v>77</v>
      </c>
      <c r="F269">
        <f>ventas_libreria[[#This Row],[precio_eur]]/100</f>
        <v>0.99</v>
      </c>
      <c r="G269">
        <v>99</v>
      </c>
      <c r="H269">
        <v>1</v>
      </c>
      <c r="I269">
        <f>ventas_libreria[[#This Row],[precio]]*ventas_libreria[[#This Row],[cantidad]]</f>
        <v>0.99</v>
      </c>
      <c r="J269">
        <v>5</v>
      </c>
      <c r="K269" t="s">
        <v>20</v>
      </c>
      <c r="L269" s="1">
        <v>45043</v>
      </c>
      <c r="M269" t="s">
        <v>21</v>
      </c>
      <c r="N269" t="s">
        <v>32</v>
      </c>
      <c r="O269" t="s">
        <v>33</v>
      </c>
      <c r="P269" t="s">
        <v>56</v>
      </c>
      <c r="Q269">
        <v>4</v>
      </c>
      <c r="R269">
        <f>IF(ventas_libreria[[#This Row],[valoracion_cliente]]="","Sin valoración",ventas_libreria[[#This Row],[valoracion_cliente]])</f>
        <v>4</v>
      </c>
    </row>
    <row r="270" spans="1:18" x14ac:dyDescent="0.25">
      <c r="A270" t="s">
        <v>537</v>
      </c>
      <c r="B270" t="s">
        <v>348</v>
      </c>
      <c r="C270" t="s">
        <v>349</v>
      </c>
      <c r="D270" t="s">
        <v>350</v>
      </c>
      <c r="E270" t="s">
        <v>116</v>
      </c>
      <c r="F270">
        <f>ventas_libreria[[#This Row],[precio_eur]]/100</f>
        <v>1.99</v>
      </c>
      <c r="G270">
        <v>199</v>
      </c>
      <c r="H270">
        <v>2</v>
      </c>
      <c r="I270">
        <f>ventas_libreria[[#This Row],[precio]]*ventas_libreria[[#This Row],[cantidad]]</f>
        <v>3.98</v>
      </c>
      <c r="J270">
        <v>30</v>
      </c>
      <c r="K270" t="s">
        <v>20</v>
      </c>
      <c r="L270" s="1">
        <v>45557</v>
      </c>
      <c r="M270" t="s">
        <v>31</v>
      </c>
      <c r="N270" t="s">
        <v>32</v>
      </c>
      <c r="O270" t="s">
        <v>33</v>
      </c>
      <c r="P270" t="s">
        <v>24</v>
      </c>
      <c r="Q270">
        <v>2</v>
      </c>
      <c r="R270">
        <f>IF(ventas_libreria[[#This Row],[valoracion_cliente]]="","Sin valoración",ventas_libreria[[#This Row],[valoracion_cliente]])</f>
        <v>2</v>
      </c>
    </row>
    <row r="271" spans="1:18" x14ac:dyDescent="0.25">
      <c r="A271" t="s">
        <v>538</v>
      </c>
      <c r="B271" t="s">
        <v>254</v>
      </c>
      <c r="C271" t="s">
        <v>255</v>
      </c>
      <c r="D271" t="s">
        <v>139</v>
      </c>
      <c r="E271" t="s">
        <v>116</v>
      </c>
      <c r="F271">
        <f>ventas_libreria[[#This Row],[precio_eur]]/100</f>
        <v>1.49</v>
      </c>
      <c r="G271">
        <v>149</v>
      </c>
      <c r="H271">
        <v>3</v>
      </c>
      <c r="I271">
        <f>ventas_libreria[[#This Row],[precio]]*ventas_libreria[[#This Row],[cantidad]]</f>
        <v>4.47</v>
      </c>
      <c r="J271">
        <v>57</v>
      </c>
      <c r="K271" t="s">
        <v>62</v>
      </c>
      <c r="L271" s="1">
        <v>45968</v>
      </c>
      <c r="M271" t="s">
        <v>31</v>
      </c>
      <c r="N271" t="s">
        <v>32</v>
      </c>
      <c r="O271" t="s">
        <v>33</v>
      </c>
      <c r="P271" t="s">
        <v>56</v>
      </c>
      <c r="Q271">
        <v>4</v>
      </c>
      <c r="R271">
        <f>IF(ventas_libreria[[#This Row],[valoracion_cliente]]="","Sin valoración",ventas_libreria[[#This Row],[valoracion_cliente]])</f>
        <v>4</v>
      </c>
    </row>
    <row r="272" spans="1:18" x14ac:dyDescent="0.25">
      <c r="A272" t="s">
        <v>539</v>
      </c>
      <c r="B272" t="s">
        <v>201</v>
      </c>
      <c r="C272" t="s">
        <v>202</v>
      </c>
      <c r="D272" t="s">
        <v>47</v>
      </c>
      <c r="E272" t="s">
        <v>107</v>
      </c>
      <c r="F272">
        <f>ventas_libreria[[#This Row],[precio_eur]]/100</f>
        <v>12.51</v>
      </c>
      <c r="G272">
        <v>1251</v>
      </c>
      <c r="H272">
        <v>1</v>
      </c>
      <c r="I272">
        <f>ventas_libreria[[#This Row],[precio]]*ventas_libreria[[#This Row],[cantidad]]</f>
        <v>12.51</v>
      </c>
      <c r="J272">
        <v>18</v>
      </c>
      <c r="K272" t="s">
        <v>20</v>
      </c>
      <c r="L272" s="1">
        <v>45560</v>
      </c>
      <c r="M272" t="s">
        <v>43</v>
      </c>
      <c r="N272" t="s">
        <v>32</v>
      </c>
      <c r="O272" t="s">
        <v>33</v>
      </c>
      <c r="P272" t="s">
        <v>56</v>
      </c>
      <c r="R272" t="str">
        <f>IF(ventas_libreria[[#This Row],[valoracion_cliente]]="","Sin valoración",ventas_libreria[[#This Row],[valoracion_cliente]])</f>
        <v>Sin valoración</v>
      </c>
    </row>
    <row r="273" spans="1:18" x14ac:dyDescent="0.25">
      <c r="A273" t="s">
        <v>540</v>
      </c>
      <c r="B273" t="s">
        <v>541</v>
      </c>
      <c r="C273" t="s">
        <v>542</v>
      </c>
      <c r="D273" t="s">
        <v>131</v>
      </c>
      <c r="E273" t="s">
        <v>107</v>
      </c>
      <c r="F273">
        <f>ventas_libreria[[#This Row],[precio_eur]]/100</f>
        <v>14.31</v>
      </c>
      <c r="G273">
        <v>1431</v>
      </c>
      <c r="H273">
        <v>2</v>
      </c>
      <c r="I273">
        <f>ventas_libreria[[#This Row],[precio]]*ventas_libreria[[#This Row],[cantidad]]</f>
        <v>28.62</v>
      </c>
      <c r="J273">
        <v>14</v>
      </c>
      <c r="K273" t="s">
        <v>30</v>
      </c>
      <c r="L273" s="1">
        <v>45427</v>
      </c>
      <c r="M273" t="s">
        <v>43</v>
      </c>
      <c r="N273" t="s">
        <v>32</v>
      </c>
      <c r="O273" t="s">
        <v>33</v>
      </c>
      <c r="P273" t="s">
        <v>84</v>
      </c>
      <c r="Q273">
        <v>5</v>
      </c>
      <c r="R273">
        <f>IF(ventas_libreria[[#This Row],[valoracion_cliente]]="","Sin valoración",ventas_libreria[[#This Row],[valoracion_cliente]])</f>
        <v>5</v>
      </c>
    </row>
    <row r="274" spans="1:18" x14ac:dyDescent="0.25">
      <c r="A274" t="s">
        <v>543</v>
      </c>
      <c r="B274" t="s">
        <v>181</v>
      </c>
      <c r="C274" t="s">
        <v>182</v>
      </c>
      <c r="D274" t="s">
        <v>183</v>
      </c>
      <c r="E274" t="s">
        <v>116</v>
      </c>
      <c r="F274">
        <f>ventas_libreria[[#This Row],[precio_eur]]/100</f>
        <v>11.12</v>
      </c>
      <c r="G274">
        <v>1112</v>
      </c>
      <c r="H274">
        <v>3</v>
      </c>
      <c r="I274">
        <f>ventas_libreria[[#This Row],[precio]]*ventas_libreria[[#This Row],[cantidad]]</f>
        <v>33.36</v>
      </c>
      <c r="J274">
        <v>64</v>
      </c>
      <c r="K274" t="s">
        <v>30</v>
      </c>
      <c r="L274" s="1">
        <v>45856</v>
      </c>
      <c r="M274" t="s">
        <v>43</v>
      </c>
      <c r="N274" t="s">
        <v>32</v>
      </c>
      <c r="O274" t="s">
        <v>33</v>
      </c>
      <c r="P274" t="s">
        <v>24</v>
      </c>
      <c r="Q274">
        <v>4</v>
      </c>
      <c r="R274">
        <f>IF(ventas_libreria[[#This Row],[valoracion_cliente]]="","Sin valoración",ventas_libreria[[#This Row],[valoracion_cliente]])</f>
        <v>4</v>
      </c>
    </row>
    <row r="275" spans="1:18" x14ac:dyDescent="0.25">
      <c r="A275" t="s">
        <v>544</v>
      </c>
      <c r="B275" t="s">
        <v>260</v>
      </c>
      <c r="C275" t="s">
        <v>261</v>
      </c>
      <c r="D275" t="s">
        <v>262</v>
      </c>
      <c r="E275" t="s">
        <v>263</v>
      </c>
      <c r="F275">
        <f>ventas_libreria[[#This Row],[precio_eur]]/100</f>
        <v>2.19</v>
      </c>
      <c r="G275">
        <v>219</v>
      </c>
      <c r="H275">
        <v>2</v>
      </c>
      <c r="I275">
        <f>ventas_libreria[[#This Row],[precio]]*ventas_libreria[[#This Row],[cantidad]]</f>
        <v>4.38</v>
      </c>
      <c r="J275">
        <v>31</v>
      </c>
      <c r="K275" t="s">
        <v>62</v>
      </c>
      <c r="L275" s="1">
        <v>45013</v>
      </c>
      <c r="M275" t="s">
        <v>31</v>
      </c>
      <c r="N275" t="s">
        <v>22</v>
      </c>
      <c r="O275" t="s">
        <v>67</v>
      </c>
      <c r="P275" t="s">
        <v>84</v>
      </c>
      <c r="Q275">
        <v>5</v>
      </c>
      <c r="R275">
        <f>IF(ventas_libreria[[#This Row],[valoracion_cliente]]="","Sin valoración",ventas_libreria[[#This Row],[valoracion_cliente]])</f>
        <v>5</v>
      </c>
    </row>
    <row r="276" spans="1:18" x14ac:dyDescent="0.25">
      <c r="A276" t="s">
        <v>545</v>
      </c>
      <c r="B276" t="s">
        <v>301</v>
      </c>
      <c r="C276" t="s">
        <v>302</v>
      </c>
      <c r="D276" t="s">
        <v>245</v>
      </c>
      <c r="E276" t="s">
        <v>48</v>
      </c>
      <c r="F276">
        <f>ventas_libreria[[#This Row],[precio_eur]]/100</f>
        <v>26.14</v>
      </c>
      <c r="G276">
        <v>2614</v>
      </c>
      <c r="H276">
        <v>1</v>
      </c>
      <c r="I276">
        <f>ventas_libreria[[#This Row],[precio]]*ventas_libreria[[#This Row],[cantidad]]</f>
        <v>26.14</v>
      </c>
      <c r="J276">
        <v>34</v>
      </c>
      <c r="K276" t="s">
        <v>20</v>
      </c>
      <c r="L276" s="1">
        <v>45404</v>
      </c>
      <c r="M276" t="s">
        <v>21</v>
      </c>
      <c r="N276" t="s">
        <v>32</v>
      </c>
      <c r="O276" t="s">
        <v>33</v>
      </c>
      <c r="P276" t="s">
        <v>50</v>
      </c>
      <c r="Q276">
        <v>5</v>
      </c>
      <c r="R276">
        <f>IF(ventas_libreria[[#This Row],[valoracion_cliente]]="","Sin valoración",ventas_libreria[[#This Row],[valoracion_cliente]])</f>
        <v>5</v>
      </c>
    </row>
    <row r="277" spans="1:18" x14ac:dyDescent="0.25">
      <c r="A277" t="s">
        <v>546</v>
      </c>
      <c r="B277" t="s">
        <v>327</v>
      </c>
      <c r="C277" t="s">
        <v>328</v>
      </c>
      <c r="D277" t="s">
        <v>288</v>
      </c>
      <c r="E277" t="s">
        <v>289</v>
      </c>
      <c r="F277">
        <f>ventas_libreria[[#This Row],[precio_eur]]/100</f>
        <v>24.04</v>
      </c>
      <c r="G277">
        <v>2404</v>
      </c>
      <c r="H277">
        <v>2</v>
      </c>
      <c r="I277">
        <f>ventas_libreria[[#This Row],[precio]]*ventas_libreria[[#This Row],[cantidad]]</f>
        <v>48.08</v>
      </c>
      <c r="J277">
        <v>60</v>
      </c>
      <c r="K277" t="s">
        <v>30</v>
      </c>
      <c r="L277" s="1">
        <v>45754</v>
      </c>
      <c r="M277" t="s">
        <v>43</v>
      </c>
      <c r="N277" t="s">
        <v>32</v>
      </c>
      <c r="O277" t="s">
        <v>33</v>
      </c>
      <c r="P277" t="s">
        <v>84</v>
      </c>
      <c r="Q277">
        <v>4</v>
      </c>
      <c r="R277">
        <f>IF(ventas_libreria[[#This Row],[valoracion_cliente]]="","Sin valoración",ventas_libreria[[#This Row],[valoracion_cliente]])</f>
        <v>4</v>
      </c>
    </row>
    <row r="278" spans="1:18" x14ac:dyDescent="0.25">
      <c r="A278" t="s">
        <v>547</v>
      </c>
      <c r="B278" t="s">
        <v>201</v>
      </c>
      <c r="C278" t="s">
        <v>202</v>
      </c>
      <c r="D278" t="s">
        <v>47</v>
      </c>
      <c r="E278" t="s">
        <v>107</v>
      </c>
      <c r="F278">
        <f>ventas_libreria[[#This Row],[precio_eur]]/100</f>
        <v>1.39</v>
      </c>
      <c r="G278">
        <v>139</v>
      </c>
      <c r="H278">
        <v>1</v>
      </c>
      <c r="I278">
        <f>ventas_libreria[[#This Row],[precio]]*ventas_libreria[[#This Row],[cantidad]]</f>
        <v>1.39</v>
      </c>
      <c r="J278">
        <v>10</v>
      </c>
      <c r="K278" t="s">
        <v>30</v>
      </c>
      <c r="L278" s="1">
        <v>45041</v>
      </c>
      <c r="M278" t="s">
        <v>31</v>
      </c>
      <c r="N278" t="s">
        <v>22</v>
      </c>
      <c r="O278" t="s">
        <v>132</v>
      </c>
      <c r="P278" t="s">
        <v>24</v>
      </c>
      <c r="Q278">
        <v>5</v>
      </c>
      <c r="R278">
        <f>IF(ventas_libreria[[#This Row],[valoracion_cliente]]="","Sin valoración",ventas_libreria[[#This Row],[valoracion_cliente]])</f>
        <v>5</v>
      </c>
    </row>
    <row r="279" spans="1:18" x14ac:dyDescent="0.25">
      <c r="A279" t="s">
        <v>548</v>
      </c>
      <c r="B279" t="s">
        <v>549</v>
      </c>
      <c r="C279" t="s">
        <v>550</v>
      </c>
      <c r="D279" t="s">
        <v>162</v>
      </c>
      <c r="E279" t="s">
        <v>29</v>
      </c>
      <c r="F279">
        <f>ventas_libreria[[#This Row],[precio_eur]]/100</f>
        <v>1.99</v>
      </c>
      <c r="G279">
        <v>199</v>
      </c>
      <c r="H279">
        <v>1</v>
      </c>
      <c r="I279">
        <f>ventas_libreria[[#This Row],[precio]]*ventas_libreria[[#This Row],[cantidad]]</f>
        <v>1.99</v>
      </c>
      <c r="J279">
        <v>29</v>
      </c>
      <c r="K279" t="s">
        <v>20</v>
      </c>
      <c r="L279" s="1">
        <v>45426</v>
      </c>
      <c r="M279" t="s">
        <v>31</v>
      </c>
      <c r="N279" t="s">
        <v>22</v>
      </c>
      <c r="O279" t="s">
        <v>132</v>
      </c>
      <c r="P279" t="s">
        <v>24</v>
      </c>
      <c r="Q279">
        <v>5</v>
      </c>
      <c r="R279">
        <f>IF(ventas_libreria[[#This Row],[valoracion_cliente]]="","Sin valoración",ventas_libreria[[#This Row],[valoracion_cliente]])</f>
        <v>5</v>
      </c>
    </row>
    <row r="280" spans="1:18" x14ac:dyDescent="0.25">
      <c r="A280" t="s">
        <v>551</v>
      </c>
      <c r="B280" t="s">
        <v>314</v>
      </c>
      <c r="C280" t="s">
        <v>315</v>
      </c>
      <c r="D280" t="s">
        <v>217</v>
      </c>
      <c r="E280" t="s">
        <v>55</v>
      </c>
      <c r="F280">
        <f>ventas_libreria[[#This Row],[precio_eur]]/100</f>
        <v>20.350000000000001</v>
      </c>
      <c r="G280">
        <v>2035</v>
      </c>
      <c r="H280">
        <v>1</v>
      </c>
      <c r="I280">
        <f>ventas_libreria[[#This Row],[precio]]*ventas_libreria[[#This Row],[cantidad]]</f>
        <v>20.350000000000001</v>
      </c>
      <c r="J280">
        <v>58</v>
      </c>
      <c r="K280" t="s">
        <v>62</v>
      </c>
      <c r="L280" s="1">
        <v>45876</v>
      </c>
      <c r="M280" t="s">
        <v>43</v>
      </c>
      <c r="N280" t="s">
        <v>32</v>
      </c>
      <c r="O280" t="s">
        <v>33</v>
      </c>
      <c r="P280" t="s">
        <v>24</v>
      </c>
      <c r="Q280">
        <v>4</v>
      </c>
      <c r="R280">
        <f>IF(ventas_libreria[[#This Row],[valoracion_cliente]]="","Sin valoración",ventas_libreria[[#This Row],[valoracion_cliente]])</f>
        <v>4</v>
      </c>
    </row>
    <row r="281" spans="1:18" x14ac:dyDescent="0.25">
      <c r="A281" t="s">
        <v>552</v>
      </c>
      <c r="B281" t="s">
        <v>268</v>
      </c>
      <c r="C281" t="s">
        <v>269</v>
      </c>
      <c r="D281" t="s">
        <v>270</v>
      </c>
      <c r="E281" t="s">
        <v>83</v>
      </c>
      <c r="F281">
        <f>ventas_libreria[[#This Row],[precio_eur]]/100</f>
        <v>9.27</v>
      </c>
      <c r="G281">
        <v>927</v>
      </c>
      <c r="H281">
        <v>1</v>
      </c>
      <c r="I281">
        <f>ventas_libreria[[#This Row],[precio]]*ventas_libreria[[#This Row],[cantidad]]</f>
        <v>9.27</v>
      </c>
      <c r="J281">
        <v>21</v>
      </c>
      <c r="K281" t="s">
        <v>20</v>
      </c>
      <c r="L281" s="1">
        <v>45044</v>
      </c>
      <c r="M281" t="s">
        <v>31</v>
      </c>
      <c r="N281" t="s">
        <v>32</v>
      </c>
      <c r="O281" t="s">
        <v>33</v>
      </c>
      <c r="P281" t="s">
        <v>84</v>
      </c>
      <c r="R281" t="str">
        <f>IF(ventas_libreria[[#This Row],[valoracion_cliente]]="","Sin valoración",ventas_libreria[[#This Row],[valoracion_cliente]])</f>
        <v>Sin valoración</v>
      </c>
    </row>
    <row r="282" spans="1:18" x14ac:dyDescent="0.25">
      <c r="A282" t="s">
        <v>553</v>
      </c>
      <c r="B282" t="s">
        <v>211</v>
      </c>
      <c r="C282" t="s">
        <v>212</v>
      </c>
      <c r="D282" t="s">
        <v>131</v>
      </c>
      <c r="E282" t="s">
        <v>107</v>
      </c>
      <c r="F282">
        <f>ventas_libreria[[#This Row],[precio_eur]]/100</f>
        <v>1.69</v>
      </c>
      <c r="G282">
        <v>169</v>
      </c>
      <c r="H282">
        <v>1</v>
      </c>
      <c r="I282">
        <f>ventas_libreria[[#This Row],[precio]]*ventas_libreria[[#This Row],[cantidad]]</f>
        <v>1.69</v>
      </c>
      <c r="J282">
        <v>20</v>
      </c>
      <c r="K282" t="s">
        <v>38</v>
      </c>
      <c r="L282" s="1">
        <v>45020</v>
      </c>
      <c r="M282" t="s">
        <v>43</v>
      </c>
      <c r="N282" t="s">
        <v>32</v>
      </c>
      <c r="O282" t="s">
        <v>33</v>
      </c>
      <c r="P282" t="s">
        <v>84</v>
      </c>
      <c r="Q282">
        <v>5</v>
      </c>
      <c r="R282">
        <f>IF(ventas_libreria[[#This Row],[valoracion_cliente]]="","Sin valoración",ventas_libreria[[#This Row],[valoracion_cliente]])</f>
        <v>5</v>
      </c>
    </row>
    <row r="283" spans="1:18" x14ac:dyDescent="0.25">
      <c r="A283" t="s">
        <v>554</v>
      </c>
      <c r="B283" t="s">
        <v>240</v>
      </c>
      <c r="C283" t="s">
        <v>241</v>
      </c>
      <c r="D283" t="s">
        <v>54</v>
      </c>
      <c r="E283" t="s">
        <v>172</v>
      </c>
      <c r="F283">
        <f>ventas_libreria[[#This Row],[precio_eur]]/100</f>
        <v>12.66</v>
      </c>
      <c r="G283">
        <v>1266</v>
      </c>
      <c r="H283">
        <v>1</v>
      </c>
      <c r="I283">
        <f>ventas_libreria[[#This Row],[precio]]*ventas_libreria[[#This Row],[cantidad]]</f>
        <v>12.66</v>
      </c>
      <c r="J283">
        <v>65</v>
      </c>
      <c r="K283" t="s">
        <v>38</v>
      </c>
      <c r="L283" s="1">
        <v>45172</v>
      </c>
      <c r="M283" t="s">
        <v>31</v>
      </c>
      <c r="N283" t="s">
        <v>32</v>
      </c>
      <c r="O283" t="s">
        <v>33</v>
      </c>
      <c r="P283" t="s">
        <v>56</v>
      </c>
      <c r="Q283">
        <v>5</v>
      </c>
      <c r="R283">
        <f>IF(ventas_libreria[[#This Row],[valoracion_cliente]]="","Sin valoración",ventas_libreria[[#This Row],[valoracion_cliente]])</f>
        <v>5</v>
      </c>
    </row>
    <row r="284" spans="1:18" x14ac:dyDescent="0.25">
      <c r="A284" t="s">
        <v>555</v>
      </c>
      <c r="B284" t="s">
        <v>466</v>
      </c>
      <c r="C284" t="s">
        <v>467</v>
      </c>
      <c r="D284" t="s">
        <v>468</v>
      </c>
      <c r="E284" t="s">
        <v>154</v>
      </c>
      <c r="F284">
        <f>ventas_libreria[[#This Row],[precio_eur]]/100</f>
        <v>20.79</v>
      </c>
      <c r="G284">
        <v>2079</v>
      </c>
      <c r="H284">
        <v>1</v>
      </c>
      <c r="I284">
        <f>ventas_libreria[[#This Row],[precio]]*ventas_libreria[[#This Row],[cantidad]]</f>
        <v>20.79</v>
      </c>
      <c r="J284">
        <v>33</v>
      </c>
      <c r="K284" t="s">
        <v>38</v>
      </c>
      <c r="L284" s="1">
        <v>45343</v>
      </c>
      <c r="M284" t="s">
        <v>43</v>
      </c>
      <c r="N284" t="s">
        <v>32</v>
      </c>
      <c r="O284" t="s">
        <v>33</v>
      </c>
      <c r="P284" t="s">
        <v>84</v>
      </c>
      <c r="Q284">
        <v>5</v>
      </c>
      <c r="R284">
        <f>IF(ventas_libreria[[#This Row],[valoracion_cliente]]="","Sin valoración",ventas_libreria[[#This Row],[valoracion_cliente]])</f>
        <v>5</v>
      </c>
    </row>
    <row r="285" spans="1:18" x14ac:dyDescent="0.25">
      <c r="A285" t="s">
        <v>556</v>
      </c>
      <c r="B285" t="s">
        <v>36</v>
      </c>
      <c r="C285" t="s">
        <v>37</v>
      </c>
      <c r="D285" t="s">
        <v>28</v>
      </c>
      <c r="E285" t="s">
        <v>29</v>
      </c>
      <c r="F285">
        <f>ventas_libreria[[#This Row],[precio_eur]]/100</f>
        <v>17.010000000000002</v>
      </c>
      <c r="G285">
        <v>1701</v>
      </c>
      <c r="H285">
        <v>1</v>
      </c>
      <c r="I285">
        <f>ventas_libreria[[#This Row],[precio]]*ventas_libreria[[#This Row],[cantidad]]</f>
        <v>17.010000000000002</v>
      </c>
      <c r="J285">
        <v>53</v>
      </c>
      <c r="K285" t="s">
        <v>38</v>
      </c>
      <c r="L285" s="1">
        <v>46004</v>
      </c>
      <c r="M285" t="s">
        <v>43</v>
      </c>
      <c r="N285" t="s">
        <v>32</v>
      </c>
      <c r="O285" t="s">
        <v>33</v>
      </c>
      <c r="P285" t="s">
        <v>24</v>
      </c>
      <c r="Q285">
        <v>4</v>
      </c>
      <c r="R285">
        <f>IF(ventas_libreria[[#This Row],[valoracion_cliente]]="","Sin valoración",ventas_libreria[[#This Row],[valoracion_cliente]])</f>
        <v>4</v>
      </c>
    </row>
    <row r="286" spans="1:18" x14ac:dyDescent="0.25">
      <c r="A286" t="s">
        <v>557</v>
      </c>
      <c r="B286" t="s">
        <v>268</v>
      </c>
      <c r="C286" t="s">
        <v>269</v>
      </c>
      <c r="D286" t="s">
        <v>270</v>
      </c>
      <c r="E286" t="s">
        <v>83</v>
      </c>
      <c r="F286">
        <f>ventas_libreria[[#This Row],[precio_eur]]/100</f>
        <v>11.45</v>
      </c>
      <c r="G286">
        <v>1145</v>
      </c>
      <c r="H286">
        <v>1</v>
      </c>
      <c r="I286">
        <f>ventas_libreria[[#This Row],[precio]]*ventas_libreria[[#This Row],[cantidad]]</f>
        <v>11.45</v>
      </c>
      <c r="J286">
        <v>53</v>
      </c>
      <c r="K286" t="s">
        <v>38</v>
      </c>
      <c r="L286" s="1">
        <v>45262</v>
      </c>
      <c r="M286" t="s">
        <v>31</v>
      </c>
      <c r="N286" t="s">
        <v>22</v>
      </c>
      <c r="O286" t="s">
        <v>98</v>
      </c>
      <c r="P286" t="s">
        <v>84</v>
      </c>
      <c r="R286" t="str">
        <f>IF(ventas_libreria[[#This Row],[valoracion_cliente]]="","Sin valoración",ventas_libreria[[#This Row],[valoracion_cliente]])</f>
        <v>Sin valoración</v>
      </c>
    </row>
    <row r="287" spans="1:18" x14ac:dyDescent="0.25">
      <c r="A287" t="s">
        <v>558</v>
      </c>
      <c r="B287" t="s">
        <v>247</v>
      </c>
      <c r="C287" t="s">
        <v>248</v>
      </c>
      <c r="D287" t="s">
        <v>249</v>
      </c>
      <c r="E287" t="s">
        <v>172</v>
      </c>
      <c r="F287">
        <f>ventas_libreria[[#This Row],[precio_eur]]/100</f>
        <v>12.51</v>
      </c>
      <c r="G287">
        <v>1251</v>
      </c>
      <c r="H287">
        <v>1</v>
      </c>
      <c r="I287">
        <f>ventas_libreria[[#This Row],[precio]]*ventas_libreria[[#This Row],[cantidad]]</f>
        <v>12.51</v>
      </c>
      <c r="J287">
        <v>45</v>
      </c>
      <c r="K287" t="s">
        <v>38</v>
      </c>
      <c r="L287" s="1">
        <v>45994</v>
      </c>
      <c r="M287" t="s">
        <v>43</v>
      </c>
      <c r="N287" t="s">
        <v>32</v>
      </c>
      <c r="O287" t="s">
        <v>33</v>
      </c>
      <c r="P287" t="s">
        <v>50</v>
      </c>
      <c r="Q287">
        <v>4</v>
      </c>
      <c r="R287">
        <f>IF(ventas_libreria[[#This Row],[valoracion_cliente]]="","Sin valoración",ventas_libreria[[#This Row],[valoracion_cliente]])</f>
        <v>4</v>
      </c>
    </row>
    <row r="288" spans="1:18" x14ac:dyDescent="0.25">
      <c r="A288" t="s">
        <v>559</v>
      </c>
      <c r="B288" t="s">
        <v>291</v>
      </c>
      <c r="C288" t="s">
        <v>292</v>
      </c>
      <c r="D288" t="s">
        <v>76</v>
      </c>
      <c r="E288" t="s">
        <v>77</v>
      </c>
      <c r="F288">
        <f>ventas_libreria[[#This Row],[precio_eur]]/100</f>
        <v>0.99</v>
      </c>
      <c r="G288">
        <v>99</v>
      </c>
      <c r="H288">
        <v>1</v>
      </c>
      <c r="I288">
        <f>ventas_libreria[[#This Row],[precio]]*ventas_libreria[[#This Row],[cantidad]]</f>
        <v>0.99</v>
      </c>
      <c r="J288">
        <v>8</v>
      </c>
      <c r="K288" t="s">
        <v>38</v>
      </c>
      <c r="L288" s="1">
        <v>45188</v>
      </c>
      <c r="M288" t="s">
        <v>31</v>
      </c>
      <c r="N288" t="s">
        <v>32</v>
      </c>
      <c r="O288" t="s">
        <v>33</v>
      </c>
      <c r="P288" t="s">
        <v>84</v>
      </c>
      <c r="Q288">
        <v>5</v>
      </c>
      <c r="R288">
        <f>IF(ventas_libreria[[#This Row],[valoracion_cliente]]="","Sin valoración",ventas_libreria[[#This Row],[valoracion_cliente]])</f>
        <v>5</v>
      </c>
    </row>
    <row r="289" spans="1:18" x14ac:dyDescent="0.25">
      <c r="A289" t="s">
        <v>560</v>
      </c>
      <c r="B289" t="s">
        <v>273</v>
      </c>
      <c r="C289" t="s">
        <v>274</v>
      </c>
      <c r="D289" t="s">
        <v>262</v>
      </c>
      <c r="E289" t="s">
        <v>263</v>
      </c>
      <c r="F289">
        <f>ventas_libreria[[#This Row],[precio_eur]]/100</f>
        <v>2.2999999999999998</v>
      </c>
      <c r="G289">
        <v>230</v>
      </c>
      <c r="H289">
        <v>4</v>
      </c>
      <c r="I289">
        <f>ventas_libreria[[#This Row],[precio]]*ventas_libreria[[#This Row],[cantidad]]</f>
        <v>9.1999999999999993</v>
      </c>
      <c r="J289">
        <v>53</v>
      </c>
      <c r="K289" t="s">
        <v>20</v>
      </c>
      <c r="L289" s="1">
        <v>45539</v>
      </c>
      <c r="M289" t="s">
        <v>31</v>
      </c>
      <c r="N289" t="s">
        <v>32</v>
      </c>
      <c r="O289" t="s">
        <v>33</v>
      </c>
      <c r="P289" t="s">
        <v>24</v>
      </c>
      <c r="Q289">
        <v>5</v>
      </c>
      <c r="R289">
        <f>IF(ventas_libreria[[#This Row],[valoracion_cliente]]="","Sin valoración",ventas_libreria[[#This Row],[valoracion_cliente]])</f>
        <v>5</v>
      </c>
    </row>
    <row r="290" spans="1:18" x14ac:dyDescent="0.25">
      <c r="A290" t="s">
        <v>561</v>
      </c>
      <c r="B290" t="s">
        <v>204</v>
      </c>
      <c r="C290" t="s">
        <v>205</v>
      </c>
      <c r="D290" t="s">
        <v>206</v>
      </c>
      <c r="E290" t="s">
        <v>116</v>
      </c>
      <c r="F290">
        <f>ventas_libreria[[#This Row],[precio_eur]]/100</f>
        <v>13.55</v>
      </c>
      <c r="G290">
        <v>1355</v>
      </c>
      <c r="H290">
        <v>1</v>
      </c>
      <c r="I290">
        <f>ventas_libreria[[#This Row],[precio]]*ventas_libreria[[#This Row],[cantidad]]</f>
        <v>13.55</v>
      </c>
      <c r="J290">
        <v>40</v>
      </c>
      <c r="K290" t="s">
        <v>30</v>
      </c>
      <c r="L290" s="1">
        <v>45744</v>
      </c>
      <c r="M290" t="s">
        <v>31</v>
      </c>
      <c r="N290" t="s">
        <v>22</v>
      </c>
      <c r="O290" t="s">
        <v>98</v>
      </c>
      <c r="P290" t="s">
        <v>34</v>
      </c>
      <c r="Q290">
        <v>3</v>
      </c>
      <c r="R290">
        <f>IF(ventas_libreria[[#This Row],[valoracion_cliente]]="","Sin valoración",ventas_libreria[[#This Row],[valoracion_cliente]])</f>
        <v>3</v>
      </c>
    </row>
    <row r="291" spans="1:18" x14ac:dyDescent="0.25">
      <c r="A291" t="s">
        <v>562</v>
      </c>
      <c r="B291" t="s">
        <v>125</v>
      </c>
      <c r="C291" t="s">
        <v>126</v>
      </c>
      <c r="D291" t="s">
        <v>127</v>
      </c>
      <c r="E291" t="s">
        <v>29</v>
      </c>
      <c r="F291">
        <f>ventas_libreria[[#This Row],[precio_eur]]/100</f>
        <v>1.79</v>
      </c>
      <c r="G291">
        <v>179</v>
      </c>
      <c r="H291">
        <v>2</v>
      </c>
      <c r="I291">
        <f>ventas_libreria[[#This Row],[precio]]*ventas_libreria[[#This Row],[cantidad]]</f>
        <v>3.58</v>
      </c>
      <c r="J291">
        <v>34</v>
      </c>
      <c r="K291" t="s">
        <v>62</v>
      </c>
      <c r="L291" s="1">
        <v>45479</v>
      </c>
      <c r="M291" t="s">
        <v>43</v>
      </c>
      <c r="N291" t="s">
        <v>32</v>
      </c>
      <c r="O291" t="s">
        <v>33</v>
      </c>
      <c r="P291" t="s">
        <v>84</v>
      </c>
      <c r="Q291">
        <v>5</v>
      </c>
      <c r="R291">
        <f>IF(ventas_libreria[[#This Row],[valoracion_cliente]]="","Sin valoración",ventas_libreria[[#This Row],[valoracion_cliente]])</f>
        <v>5</v>
      </c>
    </row>
    <row r="292" spans="1:18" x14ac:dyDescent="0.25">
      <c r="A292" t="s">
        <v>563</v>
      </c>
      <c r="B292" t="s">
        <v>247</v>
      </c>
      <c r="C292" t="s">
        <v>248</v>
      </c>
      <c r="D292" t="s">
        <v>249</v>
      </c>
      <c r="E292" t="s">
        <v>172</v>
      </c>
      <c r="F292">
        <f>ventas_libreria[[#This Row],[precio_eur]]/100</f>
        <v>15.29</v>
      </c>
      <c r="G292">
        <v>1529</v>
      </c>
      <c r="H292">
        <v>1</v>
      </c>
      <c r="I292">
        <f>ventas_libreria[[#This Row],[precio]]*ventas_libreria[[#This Row],[cantidad]]</f>
        <v>15.29</v>
      </c>
      <c r="J292">
        <v>75</v>
      </c>
      <c r="K292" t="s">
        <v>30</v>
      </c>
      <c r="L292" s="1">
        <v>45436</v>
      </c>
      <c r="M292" t="s">
        <v>43</v>
      </c>
      <c r="N292" t="s">
        <v>32</v>
      </c>
      <c r="O292" t="s">
        <v>33</v>
      </c>
      <c r="P292" t="s">
        <v>50</v>
      </c>
      <c r="R292" t="str">
        <f>IF(ventas_libreria[[#This Row],[valoracion_cliente]]="","Sin valoración",ventas_libreria[[#This Row],[valoracion_cliente]])</f>
        <v>Sin valoración</v>
      </c>
    </row>
    <row r="293" spans="1:18" x14ac:dyDescent="0.25">
      <c r="A293" t="s">
        <v>564</v>
      </c>
      <c r="B293" t="s">
        <v>353</v>
      </c>
      <c r="C293" t="s">
        <v>354</v>
      </c>
      <c r="D293" t="s">
        <v>226</v>
      </c>
      <c r="E293" t="s">
        <v>116</v>
      </c>
      <c r="F293">
        <f>ventas_libreria[[#This Row],[precio_eur]]/100</f>
        <v>15.21</v>
      </c>
      <c r="G293">
        <v>1521</v>
      </c>
      <c r="H293">
        <v>1</v>
      </c>
      <c r="I293">
        <f>ventas_libreria[[#This Row],[precio]]*ventas_libreria[[#This Row],[cantidad]]</f>
        <v>15.21</v>
      </c>
      <c r="J293">
        <v>46</v>
      </c>
      <c r="K293" t="s">
        <v>62</v>
      </c>
      <c r="L293" s="1">
        <v>45520</v>
      </c>
      <c r="M293" t="s">
        <v>21</v>
      </c>
      <c r="N293" t="s">
        <v>32</v>
      </c>
      <c r="O293" t="s">
        <v>33</v>
      </c>
      <c r="P293" t="s">
        <v>84</v>
      </c>
      <c r="Q293">
        <v>5</v>
      </c>
      <c r="R293">
        <f>IF(ventas_libreria[[#This Row],[valoracion_cliente]]="","Sin valoración",ventas_libreria[[#This Row],[valoracion_cliente]])</f>
        <v>5</v>
      </c>
    </row>
    <row r="294" spans="1:18" x14ac:dyDescent="0.25">
      <c r="A294" t="s">
        <v>565</v>
      </c>
      <c r="B294" t="s">
        <v>64</v>
      </c>
      <c r="C294" t="s">
        <v>65</v>
      </c>
      <c r="D294" t="s">
        <v>66</v>
      </c>
      <c r="E294" t="s">
        <v>29</v>
      </c>
      <c r="F294">
        <f>ventas_libreria[[#This Row],[precio_eur]]/100</f>
        <v>1.65</v>
      </c>
      <c r="G294">
        <v>165</v>
      </c>
      <c r="H294">
        <v>3</v>
      </c>
      <c r="I294">
        <f>ventas_libreria[[#This Row],[precio]]*ventas_libreria[[#This Row],[cantidad]]</f>
        <v>4.9499999999999993</v>
      </c>
      <c r="J294">
        <v>17</v>
      </c>
      <c r="K294" t="s">
        <v>20</v>
      </c>
      <c r="L294" s="1">
        <v>45217</v>
      </c>
      <c r="M294" t="s">
        <v>43</v>
      </c>
      <c r="N294" t="s">
        <v>32</v>
      </c>
      <c r="O294" t="s">
        <v>33</v>
      </c>
      <c r="P294" t="s">
        <v>34</v>
      </c>
      <c r="Q294">
        <v>4</v>
      </c>
      <c r="R294">
        <f>IF(ventas_libreria[[#This Row],[valoracion_cliente]]="","Sin valoración",ventas_libreria[[#This Row],[valoracion_cliente]])</f>
        <v>4</v>
      </c>
    </row>
    <row r="295" spans="1:18" x14ac:dyDescent="0.25">
      <c r="A295" t="s">
        <v>566</v>
      </c>
      <c r="B295" t="s">
        <v>332</v>
      </c>
      <c r="C295" t="s">
        <v>333</v>
      </c>
      <c r="D295" t="s">
        <v>334</v>
      </c>
      <c r="E295" t="s">
        <v>116</v>
      </c>
      <c r="F295">
        <f>ventas_libreria[[#This Row],[precio_eur]]/100</f>
        <v>1.69</v>
      </c>
      <c r="G295">
        <v>169</v>
      </c>
      <c r="H295">
        <v>1</v>
      </c>
      <c r="I295">
        <f>ventas_libreria[[#This Row],[precio]]*ventas_libreria[[#This Row],[cantidad]]</f>
        <v>1.69</v>
      </c>
      <c r="J295">
        <v>19</v>
      </c>
      <c r="K295" t="s">
        <v>38</v>
      </c>
      <c r="L295" s="1">
        <v>45376</v>
      </c>
      <c r="M295" t="s">
        <v>21</v>
      </c>
      <c r="N295" t="s">
        <v>22</v>
      </c>
      <c r="O295" t="s">
        <v>98</v>
      </c>
      <c r="P295" t="s">
        <v>84</v>
      </c>
      <c r="Q295">
        <v>3</v>
      </c>
      <c r="R295">
        <f>IF(ventas_libreria[[#This Row],[valoracion_cliente]]="","Sin valoración",ventas_libreria[[#This Row],[valoracion_cliente]])</f>
        <v>3</v>
      </c>
    </row>
    <row r="296" spans="1:18" x14ac:dyDescent="0.25">
      <c r="A296" t="s">
        <v>567</v>
      </c>
      <c r="B296" t="s">
        <v>141</v>
      </c>
      <c r="C296" t="s">
        <v>142</v>
      </c>
      <c r="D296" t="s">
        <v>143</v>
      </c>
      <c r="E296" t="s">
        <v>116</v>
      </c>
      <c r="F296">
        <f>ventas_libreria[[#This Row],[precio_eur]]/100</f>
        <v>16.39</v>
      </c>
      <c r="G296">
        <v>1639</v>
      </c>
      <c r="H296">
        <v>1</v>
      </c>
      <c r="I296">
        <f>ventas_libreria[[#This Row],[precio]]*ventas_libreria[[#This Row],[cantidad]]</f>
        <v>16.39</v>
      </c>
      <c r="J296">
        <v>74</v>
      </c>
      <c r="K296" t="s">
        <v>30</v>
      </c>
      <c r="L296" s="1">
        <v>45020</v>
      </c>
      <c r="M296" t="s">
        <v>21</v>
      </c>
      <c r="N296" t="s">
        <v>32</v>
      </c>
      <c r="O296" t="s">
        <v>33</v>
      </c>
      <c r="P296" t="s">
        <v>50</v>
      </c>
      <c r="Q296">
        <v>4</v>
      </c>
      <c r="R296">
        <f>IF(ventas_libreria[[#This Row],[valoracion_cliente]]="","Sin valoración",ventas_libreria[[#This Row],[valoracion_cliente]])</f>
        <v>4</v>
      </c>
    </row>
    <row r="297" spans="1:18" x14ac:dyDescent="0.25">
      <c r="A297" t="s">
        <v>568</v>
      </c>
      <c r="B297" t="s">
        <v>69</v>
      </c>
      <c r="C297" t="s">
        <v>70</v>
      </c>
      <c r="D297" t="s">
        <v>71</v>
      </c>
      <c r="E297" t="s">
        <v>72</v>
      </c>
      <c r="F297">
        <f>ventas_libreria[[#This Row],[precio_eur]]/100</f>
        <v>1.69</v>
      </c>
      <c r="G297">
        <v>169</v>
      </c>
      <c r="H297">
        <v>1</v>
      </c>
      <c r="I297">
        <f>ventas_libreria[[#This Row],[precio]]*ventas_libreria[[#This Row],[cantidad]]</f>
        <v>1.69</v>
      </c>
      <c r="J297">
        <v>48</v>
      </c>
      <c r="K297" t="s">
        <v>62</v>
      </c>
      <c r="L297" s="1">
        <v>45906</v>
      </c>
      <c r="M297" t="s">
        <v>31</v>
      </c>
      <c r="N297" t="s">
        <v>22</v>
      </c>
      <c r="O297" t="s">
        <v>23</v>
      </c>
      <c r="P297" t="s">
        <v>84</v>
      </c>
      <c r="Q297">
        <v>4</v>
      </c>
      <c r="R297">
        <f>IF(ventas_libreria[[#This Row],[valoracion_cliente]]="","Sin valoración",ventas_libreria[[#This Row],[valoracion_cliente]])</f>
        <v>4</v>
      </c>
    </row>
    <row r="298" spans="1:18" x14ac:dyDescent="0.25">
      <c r="A298" t="s">
        <v>569</v>
      </c>
      <c r="B298" t="s">
        <v>286</v>
      </c>
      <c r="C298" t="s">
        <v>287</v>
      </c>
      <c r="D298" t="s">
        <v>288</v>
      </c>
      <c r="E298" t="s">
        <v>289</v>
      </c>
      <c r="F298">
        <f>ventas_libreria[[#This Row],[precio_eur]]/100</f>
        <v>2.19</v>
      </c>
      <c r="G298">
        <v>219</v>
      </c>
      <c r="H298">
        <v>1</v>
      </c>
      <c r="I298">
        <f>ventas_libreria[[#This Row],[precio]]*ventas_libreria[[#This Row],[cantidad]]</f>
        <v>2.19</v>
      </c>
      <c r="J298">
        <v>73</v>
      </c>
      <c r="K298" t="s">
        <v>62</v>
      </c>
      <c r="L298" s="1">
        <v>45996</v>
      </c>
      <c r="M298" t="s">
        <v>31</v>
      </c>
      <c r="N298" t="s">
        <v>22</v>
      </c>
      <c r="O298" t="s">
        <v>98</v>
      </c>
      <c r="P298" t="s">
        <v>50</v>
      </c>
      <c r="Q298">
        <v>5</v>
      </c>
      <c r="R298">
        <f>IF(ventas_libreria[[#This Row],[valoracion_cliente]]="","Sin valoración",ventas_libreria[[#This Row],[valoracion_cliente]])</f>
        <v>5</v>
      </c>
    </row>
    <row r="299" spans="1:18" x14ac:dyDescent="0.25">
      <c r="A299" t="s">
        <v>570</v>
      </c>
      <c r="B299" t="s">
        <v>118</v>
      </c>
      <c r="C299" t="s">
        <v>119</v>
      </c>
      <c r="D299" t="s">
        <v>47</v>
      </c>
      <c r="E299" t="s">
        <v>48</v>
      </c>
      <c r="F299">
        <f>ventas_libreria[[#This Row],[precio_eur]]/100</f>
        <v>1.59</v>
      </c>
      <c r="G299">
        <v>159</v>
      </c>
      <c r="H299">
        <v>1</v>
      </c>
      <c r="I299">
        <f>ventas_libreria[[#This Row],[precio]]*ventas_libreria[[#This Row],[cantidad]]</f>
        <v>1.59</v>
      </c>
      <c r="J299">
        <v>21</v>
      </c>
      <c r="K299" t="s">
        <v>62</v>
      </c>
      <c r="L299" s="1">
        <v>45126</v>
      </c>
      <c r="M299" t="s">
        <v>31</v>
      </c>
      <c r="N299" t="s">
        <v>22</v>
      </c>
      <c r="O299" t="s">
        <v>132</v>
      </c>
      <c r="P299" t="s">
        <v>50</v>
      </c>
      <c r="Q299">
        <v>4</v>
      </c>
      <c r="R299">
        <f>IF(ventas_libreria[[#This Row],[valoracion_cliente]]="","Sin valoración",ventas_libreria[[#This Row],[valoracion_cliente]])</f>
        <v>4</v>
      </c>
    </row>
    <row r="300" spans="1:18" x14ac:dyDescent="0.25">
      <c r="A300" t="s">
        <v>571</v>
      </c>
      <c r="B300" t="s">
        <v>508</v>
      </c>
      <c r="C300" t="s">
        <v>509</v>
      </c>
      <c r="D300" t="s">
        <v>199</v>
      </c>
      <c r="E300" t="s">
        <v>55</v>
      </c>
      <c r="F300">
        <f>ventas_libreria[[#This Row],[precio_eur]]/100</f>
        <v>1.89</v>
      </c>
      <c r="G300">
        <v>189</v>
      </c>
      <c r="H300">
        <v>1</v>
      </c>
      <c r="I300">
        <f>ventas_libreria[[#This Row],[precio]]*ventas_libreria[[#This Row],[cantidad]]</f>
        <v>1.89</v>
      </c>
      <c r="J300">
        <v>42</v>
      </c>
      <c r="K300" t="s">
        <v>62</v>
      </c>
      <c r="L300" s="1">
        <v>45904</v>
      </c>
      <c r="M300" t="s">
        <v>43</v>
      </c>
      <c r="N300" t="s">
        <v>32</v>
      </c>
      <c r="O300" t="s">
        <v>33</v>
      </c>
      <c r="P300" t="s">
        <v>34</v>
      </c>
      <c r="Q300">
        <v>5</v>
      </c>
      <c r="R300">
        <f>IF(ventas_libreria[[#This Row],[valoracion_cliente]]="","Sin valoración",ventas_libreria[[#This Row],[valoracion_cliente]])</f>
        <v>5</v>
      </c>
    </row>
    <row r="301" spans="1:18" x14ac:dyDescent="0.25">
      <c r="A301" t="s">
        <v>572</v>
      </c>
      <c r="B301" t="s">
        <v>104</v>
      </c>
      <c r="C301" t="s">
        <v>105</v>
      </c>
      <c r="D301" t="s">
        <v>106</v>
      </c>
      <c r="E301" t="s">
        <v>107</v>
      </c>
      <c r="F301">
        <f>ventas_libreria[[#This Row],[precio_eur]]/100</f>
        <v>15.65</v>
      </c>
      <c r="G301">
        <v>1565</v>
      </c>
      <c r="H301">
        <v>1</v>
      </c>
      <c r="I301">
        <f>ventas_libreria[[#This Row],[precio]]*ventas_libreria[[#This Row],[cantidad]]</f>
        <v>15.65</v>
      </c>
      <c r="J301">
        <v>22</v>
      </c>
      <c r="K301" t="s">
        <v>30</v>
      </c>
      <c r="L301" s="1">
        <v>45506</v>
      </c>
      <c r="M301" t="s">
        <v>43</v>
      </c>
      <c r="N301" t="s">
        <v>32</v>
      </c>
      <c r="O301" t="s">
        <v>33</v>
      </c>
      <c r="P301" t="s">
        <v>50</v>
      </c>
      <c r="Q301">
        <v>5</v>
      </c>
      <c r="R301">
        <f>IF(ventas_libreria[[#This Row],[valoracion_cliente]]="","Sin valoración",ventas_libreria[[#This Row],[valoracion_cliente]])</f>
        <v>5</v>
      </c>
    </row>
    <row r="302" spans="1:18" x14ac:dyDescent="0.25">
      <c r="A302" t="s">
        <v>573</v>
      </c>
      <c r="B302" t="s">
        <v>109</v>
      </c>
      <c r="C302" t="s">
        <v>110</v>
      </c>
      <c r="D302" t="s">
        <v>111</v>
      </c>
      <c r="E302" t="s">
        <v>55</v>
      </c>
      <c r="F302">
        <f>ventas_libreria[[#This Row],[precio_eur]]/100</f>
        <v>20.89</v>
      </c>
      <c r="G302">
        <v>2089</v>
      </c>
      <c r="H302">
        <v>2</v>
      </c>
      <c r="I302">
        <f>ventas_libreria[[#This Row],[precio]]*ventas_libreria[[#This Row],[cantidad]]</f>
        <v>41.78</v>
      </c>
      <c r="J302">
        <v>62</v>
      </c>
      <c r="K302" t="s">
        <v>62</v>
      </c>
      <c r="L302" s="1">
        <v>45993</v>
      </c>
      <c r="M302" t="s">
        <v>21</v>
      </c>
      <c r="N302" t="s">
        <v>32</v>
      </c>
      <c r="O302" t="s">
        <v>33</v>
      </c>
      <c r="P302" t="s">
        <v>24</v>
      </c>
      <c r="R302" t="str">
        <f>IF(ventas_libreria[[#This Row],[valoracion_cliente]]="","Sin valoración",ventas_libreria[[#This Row],[valoracion_cliente]])</f>
        <v>Sin valoración</v>
      </c>
    </row>
    <row r="303" spans="1:18" x14ac:dyDescent="0.25">
      <c r="A303" t="s">
        <v>574</v>
      </c>
      <c r="B303" t="s">
        <v>169</v>
      </c>
      <c r="C303" t="s">
        <v>170</v>
      </c>
      <c r="D303" t="s">
        <v>171</v>
      </c>
      <c r="E303" t="s">
        <v>172</v>
      </c>
      <c r="F303">
        <f>ventas_libreria[[#This Row],[precio_eur]]/100</f>
        <v>2.29</v>
      </c>
      <c r="G303">
        <v>229</v>
      </c>
      <c r="H303">
        <v>2</v>
      </c>
      <c r="I303">
        <f>ventas_libreria[[#This Row],[precio]]*ventas_libreria[[#This Row],[cantidad]]</f>
        <v>4.58</v>
      </c>
      <c r="J303">
        <v>40</v>
      </c>
      <c r="K303" t="s">
        <v>38</v>
      </c>
      <c r="L303" s="1">
        <v>45103</v>
      </c>
      <c r="M303" t="s">
        <v>31</v>
      </c>
      <c r="N303" t="s">
        <v>32</v>
      </c>
      <c r="O303" t="s">
        <v>33</v>
      </c>
      <c r="P303" t="s">
        <v>84</v>
      </c>
      <c r="Q303">
        <v>5</v>
      </c>
      <c r="R303">
        <f>IF(ventas_libreria[[#This Row],[valoracion_cliente]]="","Sin valoración",ventas_libreria[[#This Row],[valoracion_cliente]])</f>
        <v>5</v>
      </c>
    </row>
    <row r="304" spans="1:18" x14ac:dyDescent="0.25">
      <c r="A304" t="s">
        <v>575</v>
      </c>
      <c r="B304" t="s">
        <v>181</v>
      </c>
      <c r="C304" t="s">
        <v>182</v>
      </c>
      <c r="D304" t="s">
        <v>183</v>
      </c>
      <c r="E304" t="s">
        <v>116</v>
      </c>
      <c r="F304">
        <f>ventas_libreria[[#This Row],[precio_eur]]/100</f>
        <v>1.39</v>
      </c>
      <c r="G304">
        <v>139</v>
      </c>
      <c r="H304">
        <v>1</v>
      </c>
      <c r="I304">
        <f>ventas_libreria[[#This Row],[precio]]*ventas_libreria[[#This Row],[cantidad]]</f>
        <v>1.39</v>
      </c>
      <c r="J304">
        <v>22</v>
      </c>
      <c r="K304" t="s">
        <v>20</v>
      </c>
      <c r="L304" s="1">
        <v>45461</v>
      </c>
      <c r="M304" t="s">
        <v>31</v>
      </c>
      <c r="N304" t="s">
        <v>22</v>
      </c>
      <c r="O304" t="s">
        <v>49</v>
      </c>
      <c r="P304" t="s">
        <v>84</v>
      </c>
      <c r="Q304">
        <v>5</v>
      </c>
      <c r="R304">
        <f>IF(ventas_libreria[[#This Row],[valoracion_cliente]]="","Sin valoración",ventas_libreria[[#This Row],[valoracion_cliente]])</f>
        <v>5</v>
      </c>
    </row>
    <row r="305" spans="1:18" x14ac:dyDescent="0.25">
      <c r="A305" t="s">
        <v>576</v>
      </c>
      <c r="B305" t="s">
        <v>461</v>
      </c>
      <c r="C305" t="s">
        <v>462</v>
      </c>
      <c r="D305" t="s">
        <v>143</v>
      </c>
      <c r="E305" t="s">
        <v>116</v>
      </c>
      <c r="F305">
        <f>ventas_libreria[[#This Row],[precio_eur]]/100</f>
        <v>15.29</v>
      </c>
      <c r="G305">
        <v>1529</v>
      </c>
      <c r="H305">
        <v>2</v>
      </c>
      <c r="I305">
        <f>ventas_libreria[[#This Row],[precio]]*ventas_libreria[[#This Row],[cantidad]]</f>
        <v>30.58</v>
      </c>
      <c r="J305">
        <v>73</v>
      </c>
      <c r="K305" t="s">
        <v>20</v>
      </c>
      <c r="L305" s="1">
        <v>45128</v>
      </c>
      <c r="M305" t="s">
        <v>43</v>
      </c>
      <c r="N305" t="s">
        <v>32</v>
      </c>
      <c r="O305" t="s">
        <v>33</v>
      </c>
      <c r="P305" t="s">
        <v>50</v>
      </c>
      <c r="Q305">
        <v>4</v>
      </c>
      <c r="R305">
        <f>IF(ventas_libreria[[#This Row],[valoracion_cliente]]="","Sin valoración",ventas_libreria[[#This Row],[valoracion_cliente]])</f>
        <v>4</v>
      </c>
    </row>
    <row r="306" spans="1:18" x14ac:dyDescent="0.25">
      <c r="A306" t="s">
        <v>577</v>
      </c>
      <c r="B306" t="s">
        <v>268</v>
      </c>
      <c r="C306" t="s">
        <v>269</v>
      </c>
      <c r="D306" t="s">
        <v>270</v>
      </c>
      <c r="E306" t="s">
        <v>83</v>
      </c>
      <c r="F306">
        <f>ventas_libreria[[#This Row],[precio_eur]]/100</f>
        <v>8.7200000000000006</v>
      </c>
      <c r="G306">
        <v>872</v>
      </c>
      <c r="H306">
        <v>1</v>
      </c>
      <c r="I306">
        <f>ventas_libreria[[#This Row],[precio]]*ventas_libreria[[#This Row],[cantidad]]</f>
        <v>8.7200000000000006</v>
      </c>
      <c r="J306">
        <v>49</v>
      </c>
      <c r="K306" t="s">
        <v>30</v>
      </c>
      <c r="L306" s="1">
        <v>45129</v>
      </c>
      <c r="M306" t="s">
        <v>21</v>
      </c>
      <c r="N306" t="s">
        <v>22</v>
      </c>
      <c r="O306" t="s">
        <v>67</v>
      </c>
      <c r="P306" t="s">
        <v>50</v>
      </c>
      <c r="Q306">
        <v>5</v>
      </c>
      <c r="R306">
        <f>IF(ventas_libreria[[#This Row],[valoracion_cliente]]="","Sin valoración",ventas_libreria[[#This Row],[valoracion_cliente]])</f>
        <v>5</v>
      </c>
    </row>
    <row r="307" spans="1:18" x14ac:dyDescent="0.25">
      <c r="A307" t="s">
        <v>578</v>
      </c>
      <c r="B307" t="s">
        <v>160</v>
      </c>
      <c r="C307" t="s">
        <v>161</v>
      </c>
      <c r="D307" t="s">
        <v>162</v>
      </c>
      <c r="E307" t="s">
        <v>29</v>
      </c>
      <c r="F307">
        <f>ventas_libreria[[#This Row],[precio_eur]]/100</f>
        <v>1.69</v>
      </c>
      <c r="G307">
        <v>169</v>
      </c>
      <c r="H307">
        <v>1</v>
      </c>
      <c r="I307">
        <f>ventas_libreria[[#This Row],[precio]]*ventas_libreria[[#This Row],[cantidad]]</f>
        <v>1.69</v>
      </c>
      <c r="J307">
        <v>55</v>
      </c>
      <c r="K307" t="s">
        <v>30</v>
      </c>
      <c r="L307" s="1">
        <v>45160</v>
      </c>
      <c r="M307" t="s">
        <v>21</v>
      </c>
      <c r="N307" t="s">
        <v>22</v>
      </c>
      <c r="O307" t="s">
        <v>132</v>
      </c>
      <c r="P307" t="s">
        <v>84</v>
      </c>
      <c r="Q307">
        <v>2</v>
      </c>
      <c r="R307">
        <f>IF(ventas_libreria[[#This Row],[valoracion_cliente]]="","Sin valoración",ventas_libreria[[#This Row],[valoracion_cliente]])</f>
        <v>2</v>
      </c>
    </row>
    <row r="308" spans="1:18" x14ac:dyDescent="0.25">
      <c r="A308" t="s">
        <v>579</v>
      </c>
      <c r="B308" t="s">
        <v>64</v>
      </c>
      <c r="C308" t="s">
        <v>65</v>
      </c>
      <c r="D308" t="s">
        <v>66</v>
      </c>
      <c r="E308" t="s">
        <v>29</v>
      </c>
      <c r="F308">
        <f>ventas_libreria[[#This Row],[precio_eur]]/100</f>
        <v>14.03</v>
      </c>
      <c r="G308">
        <v>1403</v>
      </c>
      <c r="H308">
        <v>1</v>
      </c>
      <c r="I308">
        <f>ventas_libreria[[#This Row],[precio]]*ventas_libreria[[#This Row],[cantidad]]</f>
        <v>14.03</v>
      </c>
      <c r="J308">
        <v>29</v>
      </c>
      <c r="K308" t="s">
        <v>62</v>
      </c>
      <c r="L308" s="1">
        <v>45245</v>
      </c>
      <c r="M308" t="s">
        <v>31</v>
      </c>
      <c r="N308" t="s">
        <v>22</v>
      </c>
      <c r="O308" t="s">
        <v>132</v>
      </c>
      <c r="P308" t="s">
        <v>34</v>
      </c>
      <c r="Q308">
        <v>4</v>
      </c>
      <c r="R308">
        <f>IF(ventas_libreria[[#This Row],[valoracion_cliente]]="","Sin valoración",ventas_libreria[[#This Row],[valoracion_cliente]])</f>
        <v>4</v>
      </c>
    </row>
    <row r="309" spans="1:18" x14ac:dyDescent="0.25">
      <c r="A309" t="s">
        <v>580</v>
      </c>
      <c r="B309" t="s">
        <v>176</v>
      </c>
      <c r="C309" t="s">
        <v>177</v>
      </c>
      <c r="D309" t="s">
        <v>178</v>
      </c>
      <c r="E309" t="s">
        <v>179</v>
      </c>
      <c r="F309">
        <f>ventas_libreria[[#This Row],[precio_eur]]/100</f>
        <v>1.59</v>
      </c>
      <c r="G309">
        <v>159</v>
      </c>
      <c r="H309">
        <v>1</v>
      </c>
      <c r="I309">
        <f>ventas_libreria[[#This Row],[precio]]*ventas_libreria[[#This Row],[cantidad]]</f>
        <v>1.59</v>
      </c>
      <c r="J309">
        <v>39</v>
      </c>
      <c r="K309" t="s">
        <v>38</v>
      </c>
      <c r="L309" s="1">
        <v>45229</v>
      </c>
      <c r="M309" t="s">
        <v>31</v>
      </c>
      <c r="N309" t="s">
        <v>22</v>
      </c>
      <c r="O309" t="s">
        <v>49</v>
      </c>
      <c r="P309" t="s">
        <v>24</v>
      </c>
      <c r="R309" t="str">
        <f>IF(ventas_libreria[[#This Row],[valoracion_cliente]]="","Sin valoración",ventas_libreria[[#This Row],[valoracion_cliente]])</f>
        <v>Sin valoración</v>
      </c>
    </row>
    <row r="310" spans="1:18" x14ac:dyDescent="0.25">
      <c r="A310" t="s">
        <v>581</v>
      </c>
      <c r="B310" t="s">
        <v>307</v>
      </c>
      <c r="C310" t="s">
        <v>308</v>
      </c>
      <c r="D310" t="s">
        <v>88</v>
      </c>
      <c r="E310" t="s">
        <v>77</v>
      </c>
      <c r="F310">
        <f>ventas_libreria[[#This Row],[precio_eur]]/100</f>
        <v>1.0900000000000001</v>
      </c>
      <c r="G310">
        <v>109</v>
      </c>
      <c r="H310">
        <v>2</v>
      </c>
      <c r="I310">
        <f>ventas_libreria[[#This Row],[precio]]*ventas_libreria[[#This Row],[cantidad]]</f>
        <v>2.1800000000000002</v>
      </c>
      <c r="J310">
        <v>8</v>
      </c>
      <c r="K310" t="s">
        <v>38</v>
      </c>
      <c r="L310" s="1">
        <v>45385</v>
      </c>
      <c r="M310" t="s">
        <v>31</v>
      </c>
      <c r="N310" t="s">
        <v>22</v>
      </c>
      <c r="O310" t="s">
        <v>67</v>
      </c>
      <c r="P310" t="s">
        <v>24</v>
      </c>
      <c r="Q310">
        <v>5</v>
      </c>
      <c r="R310">
        <f>IF(ventas_libreria[[#This Row],[valoracion_cliente]]="","Sin valoración",ventas_libreria[[#This Row],[valoracion_cliente]])</f>
        <v>5</v>
      </c>
    </row>
    <row r="311" spans="1:18" x14ac:dyDescent="0.25">
      <c r="A311" t="s">
        <v>582</v>
      </c>
      <c r="B311" t="s">
        <v>129</v>
      </c>
      <c r="C311" t="s">
        <v>130</v>
      </c>
      <c r="D311" t="s">
        <v>131</v>
      </c>
      <c r="E311" t="s">
        <v>107</v>
      </c>
      <c r="F311">
        <f>ventas_libreria[[#This Row],[precio_eur]]/100</f>
        <v>1.59</v>
      </c>
      <c r="G311">
        <v>159</v>
      </c>
      <c r="H311">
        <v>1</v>
      </c>
      <c r="I311">
        <f>ventas_libreria[[#This Row],[precio]]*ventas_libreria[[#This Row],[cantidad]]</f>
        <v>1.59</v>
      </c>
      <c r="J311">
        <v>17</v>
      </c>
      <c r="K311" t="s">
        <v>62</v>
      </c>
      <c r="L311" s="1">
        <v>45241</v>
      </c>
      <c r="M311" t="s">
        <v>43</v>
      </c>
      <c r="N311" t="s">
        <v>32</v>
      </c>
      <c r="O311" t="s">
        <v>33</v>
      </c>
      <c r="P311" t="s">
        <v>84</v>
      </c>
      <c r="Q311">
        <v>5</v>
      </c>
      <c r="R311">
        <f>IF(ventas_libreria[[#This Row],[valoracion_cliente]]="","Sin valoración",ventas_libreria[[#This Row],[valoracion_cliente]])</f>
        <v>5</v>
      </c>
    </row>
    <row r="312" spans="1:18" x14ac:dyDescent="0.25">
      <c r="A312" t="s">
        <v>583</v>
      </c>
      <c r="B312" t="s">
        <v>52</v>
      </c>
      <c r="C312" t="s">
        <v>53</v>
      </c>
      <c r="D312" t="s">
        <v>54</v>
      </c>
      <c r="E312" t="s">
        <v>55</v>
      </c>
      <c r="F312">
        <f>ventas_libreria[[#This Row],[precio_eur]]/100</f>
        <v>13.75</v>
      </c>
      <c r="G312">
        <v>1375</v>
      </c>
      <c r="H312">
        <v>4</v>
      </c>
      <c r="I312">
        <f>ventas_libreria[[#This Row],[precio]]*ventas_libreria[[#This Row],[cantidad]]</f>
        <v>55</v>
      </c>
      <c r="J312">
        <v>36</v>
      </c>
      <c r="K312" t="s">
        <v>20</v>
      </c>
      <c r="L312" s="1">
        <v>45033</v>
      </c>
      <c r="M312" t="s">
        <v>31</v>
      </c>
      <c r="N312" t="s">
        <v>22</v>
      </c>
      <c r="O312" t="s">
        <v>67</v>
      </c>
      <c r="P312" t="s">
        <v>50</v>
      </c>
      <c r="Q312">
        <v>4</v>
      </c>
      <c r="R312">
        <f>IF(ventas_libreria[[#This Row],[valoracion_cliente]]="","Sin valoración",ventas_libreria[[#This Row],[valoracion_cliente]])</f>
        <v>4</v>
      </c>
    </row>
    <row r="313" spans="1:18" x14ac:dyDescent="0.25">
      <c r="A313" t="s">
        <v>584</v>
      </c>
      <c r="B313" t="s">
        <v>109</v>
      </c>
      <c r="C313" t="s">
        <v>110</v>
      </c>
      <c r="D313" t="s">
        <v>111</v>
      </c>
      <c r="E313" t="s">
        <v>55</v>
      </c>
      <c r="F313">
        <f>ventas_libreria[[#This Row],[precio_eur]]/100</f>
        <v>1.99</v>
      </c>
      <c r="G313">
        <v>199</v>
      </c>
      <c r="H313">
        <v>1</v>
      </c>
      <c r="I313">
        <f>ventas_libreria[[#This Row],[precio]]*ventas_libreria[[#This Row],[cantidad]]</f>
        <v>1.99</v>
      </c>
      <c r="J313">
        <v>58</v>
      </c>
      <c r="K313" t="s">
        <v>20</v>
      </c>
      <c r="L313" s="1">
        <v>45840</v>
      </c>
      <c r="M313" t="s">
        <v>43</v>
      </c>
      <c r="N313" t="s">
        <v>32</v>
      </c>
      <c r="O313" t="s">
        <v>33</v>
      </c>
      <c r="P313" t="s">
        <v>84</v>
      </c>
      <c r="Q313">
        <v>2</v>
      </c>
      <c r="R313">
        <f>IF(ventas_libreria[[#This Row],[valoracion_cliente]]="","Sin valoración",ventas_libreria[[#This Row],[valoracion_cliente]])</f>
        <v>2</v>
      </c>
    </row>
    <row r="314" spans="1:18" x14ac:dyDescent="0.25">
      <c r="A314" t="s">
        <v>585</v>
      </c>
      <c r="B314" t="s">
        <v>40</v>
      </c>
      <c r="C314" t="s">
        <v>41</v>
      </c>
      <c r="D314" t="s">
        <v>42</v>
      </c>
      <c r="E314" t="s">
        <v>19</v>
      </c>
      <c r="F314">
        <f>ventas_libreria[[#This Row],[precio_eur]]/100</f>
        <v>13.55</v>
      </c>
      <c r="G314">
        <v>1355</v>
      </c>
      <c r="H314">
        <v>2</v>
      </c>
      <c r="I314">
        <f>ventas_libreria[[#This Row],[precio]]*ventas_libreria[[#This Row],[cantidad]]</f>
        <v>27.1</v>
      </c>
      <c r="J314">
        <v>24</v>
      </c>
      <c r="K314" t="s">
        <v>38</v>
      </c>
      <c r="L314" s="1">
        <v>44960</v>
      </c>
      <c r="M314" t="s">
        <v>21</v>
      </c>
      <c r="N314" t="s">
        <v>22</v>
      </c>
      <c r="O314" t="s">
        <v>98</v>
      </c>
      <c r="P314" t="s">
        <v>50</v>
      </c>
      <c r="Q314">
        <v>5</v>
      </c>
      <c r="R314">
        <f>IF(ventas_libreria[[#This Row],[valoracion_cliente]]="","Sin valoración",ventas_libreria[[#This Row],[valoracion_cliente]])</f>
        <v>5</v>
      </c>
    </row>
    <row r="315" spans="1:18" x14ac:dyDescent="0.25">
      <c r="A315" t="s">
        <v>586</v>
      </c>
      <c r="B315" t="s">
        <v>121</v>
      </c>
      <c r="C315" t="s">
        <v>122</v>
      </c>
      <c r="D315" t="s">
        <v>123</v>
      </c>
      <c r="E315" t="s">
        <v>48</v>
      </c>
      <c r="F315">
        <f>ventas_libreria[[#This Row],[precio_eur]]/100</f>
        <v>1.69</v>
      </c>
      <c r="G315">
        <v>169</v>
      </c>
      <c r="H315">
        <v>1</v>
      </c>
      <c r="I315">
        <f>ventas_libreria[[#This Row],[precio]]*ventas_libreria[[#This Row],[cantidad]]</f>
        <v>1.69</v>
      </c>
      <c r="J315">
        <v>47</v>
      </c>
      <c r="K315" t="s">
        <v>30</v>
      </c>
      <c r="L315" s="1">
        <v>45352</v>
      </c>
      <c r="M315" t="s">
        <v>31</v>
      </c>
      <c r="N315" t="s">
        <v>32</v>
      </c>
      <c r="O315" t="s">
        <v>33</v>
      </c>
      <c r="P315" t="s">
        <v>24</v>
      </c>
      <c r="Q315">
        <v>4</v>
      </c>
      <c r="R315">
        <f>IF(ventas_libreria[[#This Row],[valoracion_cliente]]="","Sin valoración",ventas_libreria[[#This Row],[valoracion_cliente]])</f>
        <v>4</v>
      </c>
    </row>
    <row r="316" spans="1:18" x14ac:dyDescent="0.25">
      <c r="A316" t="s">
        <v>587</v>
      </c>
      <c r="B316" t="s">
        <v>260</v>
      </c>
      <c r="C316" t="s">
        <v>261</v>
      </c>
      <c r="D316" t="s">
        <v>262</v>
      </c>
      <c r="E316" t="s">
        <v>263</v>
      </c>
      <c r="F316">
        <f>ventas_libreria[[#This Row],[precio_eur]]/100</f>
        <v>2.19</v>
      </c>
      <c r="G316">
        <v>219</v>
      </c>
      <c r="H316">
        <v>2</v>
      </c>
      <c r="I316">
        <f>ventas_libreria[[#This Row],[precio]]*ventas_libreria[[#This Row],[cantidad]]</f>
        <v>4.38</v>
      </c>
      <c r="J316">
        <v>31</v>
      </c>
      <c r="K316" t="s">
        <v>38</v>
      </c>
      <c r="L316" s="1">
        <v>45226</v>
      </c>
      <c r="M316" t="s">
        <v>21</v>
      </c>
      <c r="N316" t="s">
        <v>32</v>
      </c>
      <c r="O316" t="s">
        <v>33</v>
      </c>
      <c r="P316" t="s">
        <v>56</v>
      </c>
      <c r="Q316">
        <v>5</v>
      </c>
      <c r="R316">
        <f>IF(ventas_libreria[[#This Row],[valoracion_cliente]]="","Sin valoración",ventas_libreria[[#This Row],[valoracion_cliente]])</f>
        <v>5</v>
      </c>
    </row>
    <row r="317" spans="1:18" x14ac:dyDescent="0.25">
      <c r="A317" t="s">
        <v>588</v>
      </c>
      <c r="B317" t="s">
        <v>104</v>
      </c>
      <c r="C317" t="s">
        <v>105</v>
      </c>
      <c r="D317" t="s">
        <v>106</v>
      </c>
      <c r="E317" t="s">
        <v>107</v>
      </c>
      <c r="F317">
        <f>ventas_libreria[[#This Row],[precio_eur]]/100</f>
        <v>1.49</v>
      </c>
      <c r="G317">
        <v>149</v>
      </c>
      <c r="H317">
        <v>2</v>
      </c>
      <c r="I317">
        <f>ventas_libreria[[#This Row],[precio]]*ventas_libreria[[#This Row],[cantidad]]</f>
        <v>2.98</v>
      </c>
      <c r="J317">
        <v>20</v>
      </c>
      <c r="K317" t="s">
        <v>30</v>
      </c>
      <c r="L317" s="1">
        <v>45037</v>
      </c>
      <c r="M317" t="s">
        <v>43</v>
      </c>
      <c r="N317" t="s">
        <v>32</v>
      </c>
      <c r="O317" t="s">
        <v>33</v>
      </c>
      <c r="P317" t="s">
        <v>56</v>
      </c>
      <c r="Q317">
        <v>4</v>
      </c>
      <c r="R317">
        <f>IF(ventas_libreria[[#This Row],[valoracion_cliente]]="","Sin valoración",ventas_libreria[[#This Row],[valoracion_cliente]])</f>
        <v>4</v>
      </c>
    </row>
    <row r="318" spans="1:18" x14ac:dyDescent="0.25">
      <c r="A318" t="s">
        <v>589</v>
      </c>
      <c r="B318" t="s">
        <v>176</v>
      </c>
      <c r="C318" t="s">
        <v>177</v>
      </c>
      <c r="D318" t="s">
        <v>178</v>
      </c>
      <c r="E318" t="s">
        <v>179</v>
      </c>
      <c r="F318">
        <f>ventas_libreria[[#This Row],[precio_eur]]/100</f>
        <v>1.59</v>
      </c>
      <c r="G318">
        <v>159</v>
      </c>
      <c r="H318">
        <v>1</v>
      </c>
      <c r="I318">
        <f>ventas_libreria[[#This Row],[precio]]*ventas_libreria[[#This Row],[cantidad]]</f>
        <v>1.59</v>
      </c>
      <c r="J318">
        <v>62</v>
      </c>
      <c r="K318" t="s">
        <v>20</v>
      </c>
      <c r="L318" s="1">
        <v>45590</v>
      </c>
      <c r="M318" t="s">
        <v>43</v>
      </c>
      <c r="N318" t="s">
        <v>32</v>
      </c>
      <c r="O318" t="s">
        <v>33</v>
      </c>
      <c r="P318" t="s">
        <v>34</v>
      </c>
      <c r="Q318">
        <v>5</v>
      </c>
      <c r="R318">
        <f>IF(ventas_libreria[[#This Row],[valoracion_cliente]]="","Sin valoración",ventas_libreria[[#This Row],[valoracion_cliente]])</f>
        <v>5</v>
      </c>
    </row>
    <row r="319" spans="1:18" x14ac:dyDescent="0.25">
      <c r="A319" t="s">
        <v>590</v>
      </c>
      <c r="B319" t="s">
        <v>353</v>
      </c>
      <c r="C319" t="s">
        <v>354</v>
      </c>
      <c r="D319" t="s">
        <v>226</v>
      </c>
      <c r="E319" t="s">
        <v>116</v>
      </c>
      <c r="F319">
        <f>ventas_libreria[[#This Row],[precio_eur]]/100</f>
        <v>17.75</v>
      </c>
      <c r="G319">
        <v>1775</v>
      </c>
      <c r="H319">
        <v>1</v>
      </c>
      <c r="I319">
        <f>ventas_libreria[[#This Row],[precio]]*ventas_libreria[[#This Row],[cantidad]]</f>
        <v>17.75</v>
      </c>
      <c r="J319">
        <v>34</v>
      </c>
      <c r="K319" t="s">
        <v>38</v>
      </c>
      <c r="L319" s="1">
        <v>45985</v>
      </c>
      <c r="M319" t="s">
        <v>43</v>
      </c>
      <c r="N319" t="s">
        <v>32</v>
      </c>
      <c r="O319" t="s">
        <v>33</v>
      </c>
      <c r="P319" t="s">
        <v>50</v>
      </c>
      <c r="Q319">
        <v>5</v>
      </c>
      <c r="R319">
        <f>IF(ventas_libreria[[#This Row],[valoracion_cliente]]="","Sin valoración",ventas_libreria[[#This Row],[valoracion_cliente]])</f>
        <v>5</v>
      </c>
    </row>
    <row r="320" spans="1:18" x14ac:dyDescent="0.25">
      <c r="A320" t="s">
        <v>591</v>
      </c>
      <c r="B320" t="s">
        <v>121</v>
      </c>
      <c r="C320" t="s">
        <v>122</v>
      </c>
      <c r="D320" t="s">
        <v>123</v>
      </c>
      <c r="E320" t="s">
        <v>48</v>
      </c>
      <c r="F320">
        <f>ventas_libreria[[#This Row],[precio_eur]]/100</f>
        <v>13.52</v>
      </c>
      <c r="G320">
        <v>1352</v>
      </c>
      <c r="H320">
        <v>1</v>
      </c>
      <c r="I320">
        <f>ventas_libreria[[#This Row],[precio]]*ventas_libreria[[#This Row],[cantidad]]</f>
        <v>13.52</v>
      </c>
      <c r="J320">
        <v>45</v>
      </c>
      <c r="K320" t="s">
        <v>62</v>
      </c>
      <c r="L320" s="1">
        <v>46022</v>
      </c>
      <c r="M320" t="s">
        <v>43</v>
      </c>
      <c r="N320" t="s">
        <v>32</v>
      </c>
      <c r="O320" t="s">
        <v>33</v>
      </c>
      <c r="P320" t="s">
        <v>24</v>
      </c>
      <c r="Q320">
        <v>3</v>
      </c>
      <c r="R320">
        <f>IF(ventas_libreria[[#This Row],[valoracion_cliente]]="","Sin valoración",ventas_libreria[[#This Row],[valoracion_cliente]])</f>
        <v>3</v>
      </c>
    </row>
    <row r="321" spans="1:18" x14ac:dyDescent="0.25">
      <c r="A321" t="s">
        <v>592</v>
      </c>
      <c r="B321" t="s">
        <v>160</v>
      </c>
      <c r="C321" t="s">
        <v>161</v>
      </c>
      <c r="D321" t="s">
        <v>162</v>
      </c>
      <c r="E321" t="s">
        <v>29</v>
      </c>
      <c r="F321">
        <f>ventas_libreria[[#This Row],[precio_eur]]/100</f>
        <v>13.52</v>
      </c>
      <c r="G321">
        <v>1352</v>
      </c>
      <c r="H321">
        <v>1</v>
      </c>
      <c r="I321">
        <f>ventas_libreria[[#This Row],[precio]]*ventas_libreria[[#This Row],[cantidad]]</f>
        <v>13.52</v>
      </c>
      <c r="J321">
        <v>55</v>
      </c>
      <c r="K321" t="s">
        <v>62</v>
      </c>
      <c r="L321" s="1">
        <v>45008</v>
      </c>
      <c r="M321" t="s">
        <v>43</v>
      </c>
      <c r="N321" t="s">
        <v>32</v>
      </c>
      <c r="O321" t="s">
        <v>33</v>
      </c>
      <c r="P321" t="s">
        <v>50</v>
      </c>
      <c r="R321" t="str">
        <f>IF(ventas_libreria[[#This Row],[valoracion_cliente]]="","Sin valoración",ventas_libreria[[#This Row],[valoracion_cliente]])</f>
        <v>Sin valoración</v>
      </c>
    </row>
    <row r="322" spans="1:18" x14ac:dyDescent="0.25">
      <c r="A322" t="s">
        <v>593</v>
      </c>
      <c r="B322" t="s">
        <v>384</v>
      </c>
      <c r="C322" t="s">
        <v>385</v>
      </c>
      <c r="D322" t="s">
        <v>158</v>
      </c>
      <c r="E322" t="s">
        <v>149</v>
      </c>
      <c r="F322">
        <f>ventas_libreria[[#This Row],[precio_eur]]/100</f>
        <v>18.61</v>
      </c>
      <c r="G322">
        <v>1861</v>
      </c>
      <c r="H322">
        <v>1</v>
      </c>
      <c r="I322">
        <f>ventas_libreria[[#This Row],[precio]]*ventas_libreria[[#This Row],[cantidad]]</f>
        <v>18.61</v>
      </c>
      <c r="J322">
        <v>53</v>
      </c>
      <c r="K322" t="s">
        <v>20</v>
      </c>
      <c r="L322" s="1">
        <v>45066</v>
      </c>
      <c r="M322" t="s">
        <v>43</v>
      </c>
      <c r="N322" t="s">
        <v>32</v>
      </c>
      <c r="O322" t="s">
        <v>33</v>
      </c>
      <c r="P322" t="s">
        <v>34</v>
      </c>
      <c r="Q322">
        <v>4</v>
      </c>
      <c r="R322">
        <f>IF(ventas_libreria[[#This Row],[valoracion_cliente]]="","Sin valoración",ventas_libreria[[#This Row],[valoracion_cliente]])</f>
        <v>4</v>
      </c>
    </row>
    <row r="323" spans="1:18" x14ac:dyDescent="0.25">
      <c r="A323" t="s">
        <v>594</v>
      </c>
      <c r="B323" t="s">
        <v>193</v>
      </c>
      <c r="C323" t="s">
        <v>194</v>
      </c>
      <c r="D323" t="s">
        <v>195</v>
      </c>
      <c r="E323" t="s">
        <v>48</v>
      </c>
      <c r="F323">
        <f>ventas_libreria[[#This Row],[precio_eur]]/100</f>
        <v>17.91</v>
      </c>
      <c r="G323">
        <v>1791</v>
      </c>
      <c r="H323">
        <v>1</v>
      </c>
      <c r="I323">
        <f>ventas_libreria[[#This Row],[precio]]*ventas_libreria[[#This Row],[cantidad]]</f>
        <v>17.91</v>
      </c>
      <c r="J323">
        <v>75</v>
      </c>
      <c r="K323" t="s">
        <v>30</v>
      </c>
      <c r="L323" s="1">
        <v>45025</v>
      </c>
      <c r="M323" t="s">
        <v>43</v>
      </c>
      <c r="N323" t="s">
        <v>32</v>
      </c>
      <c r="O323" t="s">
        <v>33</v>
      </c>
      <c r="P323" t="s">
        <v>56</v>
      </c>
      <c r="Q323">
        <v>4</v>
      </c>
      <c r="R323">
        <f>IF(ventas_libreria[[#This Row],[valoracion_cliente]]="","Sin valoración",ventas_libreria[[#This Row],[valoracion_cliente]])</f>
        <v>4</v>
      </c>
    </row>
    <row r="324" spans="1:18" x14ac:dyDescent="0.25">
      <c r="A324" t="s">
        <v>595</v>
      </c>
      <c r="B324" t="s">
        <v>254</v>
      </c>
      <c r="C324" t="s">
        <v>255</v>
      </c>
      <c r="D324" t="s">
        <v>139</v>
      </c>
      <c r="E324" t="s">
        <v>116</v>
      </c>
      <c r="F324">
        <f>ventas_libreria[[#This Row],[precio_eur]]/100</f>
        <v>1.49</v>
      </c>
      <c r="G324">
        <v>149</v>
      </c>
      <c r="H324">
        <v>1</v>
      </c>
      <c r="I324">
        <f>ventas_libreria[[#This Row],[precio]]*ventas_libreria[[#This Row],[cantidad]]</f>
        <v>1.49</v>
      </c>
      <c r="J324">
        <v>72</v>
      </c>
      <c r="K324" t="s">
        <v>38</v>
      </c>
      <c r="L324" s="1">
        <v>45462</v>
      </c>
      <c r="M324" t="s">
        <v>31</v>
      </c>
      <c r="N324" t="s">
        <v>32</v>
      </c>
      <c r="O324" t="s">
        <v>33</v>
      </c>
      <c r="P324" t="s">
        <v>56</v>
      </c>
      <c r="Q324">
        <v>4</v>
      </c>
      <c r="R324">
        <f>IF(ventas_libreria[[#This Row],[valoracion_cliente]]="","Sin valoración",ventas_libreria[[#This Row],[valoracion_cliente]])</f>
        <v>4</v>
      </c>
    </row>
    <row r="325" spans="1:18" x14ac:dyDescent="0.25">
      <c r="A325" t="s">
        <v>596</v>
      </c>
      <c r="B325" t="s">
        <v>36</v>
      </c>
      <c r="C325" t="s">
        <v>37</v>
      </c>
      <c r="D325" t="s">
        <v>28</v>
      </c>
      <c r="E325" t="s">
        <v>29</v>
      </c>
      <c r="F325">
        <f>ventas_libreria[[#This Row],[precio_eur]]/100</f>
        <v>20.79</v>
      </c>
      <c r="G325">
        <v>2079</v>
      </c>
      <c r="H325">
        <v>1</v>
      </c>
      <c r="I325">
        <f>ventas_libreria[[#This Row],[precio]]*ventas_libreria[[#This Row],[cantidad]]</f>
        <v>20.79</v>
      </c>
      <c r="J325">
        <v>33</v>
      </c>
      <c r="K325" t="s">
        <v>38</v>
      </c>
      <c r="L325" s="1">
        <v>45079</v>
      </c>
      <c r="M325" t="s">
        <v>43</v>
      </c>
      <c r="N325" t="s">
        <v>32</v>
      </c>
      <c r="O325" t="s">
        <v>33</v>
      </c>
      <c r="P325" t="s">
        <v>84</v>
      </c>
      <c r="Q325">
        <v>2</v>
      </c>
      <c r="R325">
        <f>IF(ventas_libreria[[#This Row],[valoracion_cliente]]="","Sin valoración",ventas_libreria[[#This Row],[valoracion_cliente]])</f>
        <v>2</v>
      </c>
    </row>
    <row r="326" spans="1:18" x14ac:dyDescent="0.25">
      <c r="A326" t="s">
        <v>597</v>
      </c>
      <c r="B326" t="s">
        <v>461</v>
      </c>
      <c r="C326" t="s">
        <v>462</v>
      </c>
      <c r="D326" t="s">
        <v>143</v>
      </c>
      <c r="E326" t="s">
        <v>116</v>
      </c>
      <c r="F326">
        <f>ventas_libreria[[#This Row],[precio_eur]]/100</f>
        <v>15.29</v>
      </c>
      <c r="G326">
        <v>1529</v>
      </c>
      <c r="H326">
        <v>2</v>
      </c>
      <c r="I326">
        <f>ventas_libreria[[#This Row],[precio]]*ventas_libreria[[#This Row],[cantidad]]</f>
        <v>30.58</v>
      </c>
      <c r="J326">
        <v>31</v>
      </c>
      <c r="K326" t="s">
        <v>20</v>
      </c>
      <c r="L326" s="1">
        <v>45871</v>
      </c>
      <c r="M326" t="s">
        <v>31</v>
      </c>
      <c r="N326" t="s">
        <v>32</v>
      </c>
      <c r="O326" t="s">
        <v>33</v>
      </c>
      <c r="P326" t="s">
        <v>84</v>
      </c>
      <c r="Q326">
        <v>5</v>
      </c>
      <c r="R326">
        <f>IF(ventas_libreria[[#This Row],[valoracion_cliente]]="","Sin valoración",ventas_libreria[[#This Row],[valoracion_cliente]])</f>
        <v>5</v>
      </c>
    </row>
    <row r="327" spans="1:18" x14ac:dyDescent="0.25">
      <c r="A327" t="s">
        <v>598</v>
      </c>
      <c r="B327" t="s">
        <v>95</v>
      </c>
      <c r="C327" t="s">
        <v>96</v>
      </c>
      <c r="D327" t="s">
        <v>97</v>
      </c>
      <c r="E327" t="s">
        <v>29</v>
      </c>
      <c r="F327">
        <f>ventas_libreria[[#This Row],[precio_eur]]/100</f>
        <v>15.21</v>
      </c>
      <c r="G327">
        <v>1521</v>
      </c>
      <c r="H327">
        <v>1</v>
      </c>
      <c r="I327">
        <f>ventas_libreria[[#This Row],[precio]]*ventas_libreria[[#This Row],[cantidad]]</f>
        <v>15.21</v>
      </c>
      <c r="J327">
        <v>64</v>
      </c>
      <c r="K327" t="s">
        <v>62</v>
      </c>
      <c r="L327" s="1">
        <v>45931</v>
      </c>
      <c r="M327" t="s">
        <v>31</v>
      </c>
      <c r="N327" t="s">
        <v>22</v>
      </c>
      <c r="O327" t="s">
        <v>67</v>
      </c>
      <c r="P327" t="s">
        <v>56</v>
      </c>
      <c r="Q327">
        <v>5</v>
      </c>
      <c r="R327">
        <f>IF(ventas_libreria[[#This Row],[valoracion_cliente]]="","Sin valoración",ventas_libreria[[#This Row],[valoracion_cliente]])</f>
        <v>5</v>
      </c>
    </row>
    <row r="328" spans="1:18" x14ac:dyDescent="0.25">
      <c r="A328" t="s">
        <v>599</v>
      </c>
      <c r="B328" t="s">
        <v>549</v>
      </c>
      <c r="C328" t="s">
        <v>550</v>
      </c>
      <c r="D328" t="s">
        <v>162</v>
      </c>
      <c r="E328" t="s">
        <v>29</v>
      </c>
      <c r="F328">
        <f>ventas_libreria[[#This Row],[precio_eur]]/100</f>
        <v>17.91</v>
      </c>
      <c r="G328">
        <v>1791</v>
      </c>
      <c r="H328">
        <v>1</v>
      </c>
      <c r="I328">
        <f>ventas_libreria[[#This Row],[precio]]*ventas_libreria[[#This Row],[cantidad]]</f>
        <v>17.91</v>
      </c>
      <c r="J328">
        <v>49</v>
      </c>
      <c r="K328" t="s">
        <v>62</v>
      </c>
      <c r="L328" s="1">
        <v>45532</v>
      </c>
      <c r="M328" t="s">
        <v>31</v>
      </c>
      <c r="N328" t="s">
        <v>22</v>
      </c>
      <c r="O328" t="s">
        <v>23</v>
      </c>
      <c r="P328" t="s">
        <v>84</v>
      </c>
      <c r="Q328">
        <v>4</v>
      </c>
      <c r="R328">
        <f>IF(ventas_libreria[[#This Row],[valoracion_cliente]]="","Sin valoración",ventas_libreria[[#This Row],[valoracion_cliente]])</f>
        <v>4</v>
      </c>
    </row>
    <row r="329" spans="1:18" x14ac:dyDescent="0.25">
      <c r="A329" t="s">
        <v>600</v>
      </c>
      <c r="B329" t="s">
        <v>307</v>
      </c>
      <c r="C329" t="s">
        <v>308</v>
      </c>
      <c r="D329" t="s">
        <v>88</v>
      </c>
      <c r="E329" t="s">
        <v>77</v>
      </c>
      <c r="F329">
        <f>ventas_libreria[[#This Row],[precio_eur]]/100</f>
        <v>1.0900000000000001</v>
      </c>
      <c r="G329">
        <v>109</v>
      </c>
      <c r="H329">
        <v>1</v>
      </c>
      <c r="I329">
        <f>ventas_libreria[[#This Row],[precio]]*ventas_libreria[[#This Row],[cantidad]]</f>
        <v>1.0900000000000001</v>
      </c>
      <c r="J329">
        <v>11</v>
      </c>
      <c r="K329" t="s">
        <v>30</v>
      </c>
      <c r="L329" s="1">
        <v>45374</v>
      </c>
      <c r="M329" t="s">
        <v>43</v>
      </c>
      <c r="N329" t="s">
        <v>32</v>
      </c>
      <c r="O329" t="s">
        <v>33</v>
      </c>
      <c r="P329" t="s">
        <v>34</v>
      </c>
      <c r="Q329">
        <v>5</v>
      </c>
      <c r="R329">
        <f>IF(ventas_libreria[[#This Row],[valoracion_cliente]]="","Sin valoración",ventas_libreria[[#This Row],[valoracion_cliente]])</f>
        <v>5</v>
      </c>
    </row>
    <row r="330" spans="1:18" x14ac:dyDescent="0.25">
      <c r="A330" t="s">
        <v>601</v>
      </c>
      <c r="B330" t="s">
        <v>602</v>
      </c>
      <c r="C330" t="s">
        <v>603</v>
      </c>
      <c r="D330" t="s">
        <v>217</v>
      </c>
      <c r="E330" t="s">
        <v>55</v>
      </c>
      <c r="F330">
        <f>ventas_libreria[[#This Row],[precio_eur]]/100</f>
        <v>1.79</v>
      </c>
      <c r="G330">
        <v>179</v>
      </c>
      <c r="H330">
        <v>1</v>
      </c>
      <c r="I330">
        <f>ventas_libreria[[#This Row],[precio]]*ventas_libreria[[#This Row],[cantidad]]</f>
        <v>1.79</v>
      </c>
      <c r="J330">
        <v>70</v>
      </c>
      <c r="K330" t="s">
        <v>20</v>
      </c>
      <c r="L330" s="1">
        <v>45391</v>
      </c>
      <c r="M330" t="s">
        <v>31</v>
      </c>
      <c r="N330" t="s">
        <v>32</v>
      </c>
      <c r="O330" t="s">
        <v>33</v>
      </c>
      <c r="P330" t="s">
        <v>24</v>
      </c>
      <c r="Q330">
        <v>5</v>
      </c>
      <c r="R330">
        <f>IF(ventas_libreria[[#This Row],[valoracion_cliente]]="","Sin valoración",ventas_libreria[[#This Row],[valoracion_cliente]])</f>
        <v>5</v>
      </c>
    </row>
    <row r="331" spans="1:18" x14ac:dyDescent="0.25">
      <c r="A331" t="s">
        <v>604</v>
      </c>
      <c r="B331" t="s">
        <v>91</v>
      </c>
      <c r="C331" t="s">
        <v>92</v>
      </c>
      <c r="D331" t="s">
        <v>93</v>
      </c>
      <c r="E331" t="s">
        <v>72</v>
      </c>
      <c r="F331">
        <f>ventas_libreria[[#This Row],[precio_eur]]/100</f>
        <v>15.29</v>
      </c>
      <c r="G331">
        <v>1529</v>
      </c>
      <c r="H331">
        <v>3</v>
      </c>
      <c r="I331">
        <f>ventas_libreria[[#This Row],[precio]]*ventas_libreria[[#This Row],[cantidad]]</f>
        <v>45.87</v>
      </c>
      <c r="J331">
        <v>71</v>
      </c>
      <c r="K331" t="s">
        <v>62</v>
      </c>
      <c r="L331" s="1">
        <v>45853</v>
      </c>
      <c r="M331" t="s">
        <v>21</v>
      </c>
      <c r="N331" t="s">
        <v>22</v>
      </c>
      <c r="O331" t="s">
        <v>132</v>
      </c>
      <c r="P331" t="s">
        <v>50</v>
      </c>
      <c r="Q331">
        <v>5</v>
      </c>
      <c r="R331">
        <f>IF(ventas_libreria[[#This Row],[valoracion_cliente]]="","Sin valoración",ventas_libreria[[#This Row],[valoracion_cliente]])</f>
        <v>5</v>
      </c>
    </row>
    <row r="332" spans="1:18" x14ac:dyDescent="0.25">
      <c r="A332" t="s">
        <v>605</v>
      </c>
      <c r="B332" t="s">
        <v>169</v>
      </c>
      <c r="C332" t="s">
        <v>170</v>
      </c>
      <c r="D332" t="s">
        <v>171</v>
      </c>
      <c r="E332" t="s">
        <v>172</v>
      </c>
      <c r="F332">
        <f>ventas_libreria[[#This Row],[precio_eur]]/100</f>
        <v>19.46</v>
      </c>
      <c r="G332">
        <v>1946</v>
      </c>
      <c r="H332">
        <v>1</v>
      </c>
      <c r="I332">
        <f>ventas_libreria[[#This Row],[precio]]*ventas_libreria[[#This Row],[cantidad]]</f>
        <v>19.46</v>
      </c>
      <c r="J332">
        <v>16</v>
      </c>
      <c r="K332" t="s">
        <v>62</v>
      </c>
      <c r="L332" s="1">
        <v>45876</v>
      </c>
      <c r="M332" t="s">
        <v>21</v>
      </c>
      <c r="N332" t="s">
        <v>22</v>
      </c>
      <c r="O332" t="s">
        <v>23</v>
      </c>
      <c r="P332" t="s">
        <v>50</v>
      </c>
      <c r="Q332">
        <v>4</v>
      </c>
      <c r="R332">
        <f>IF(ventas_libreria[[#This Row],[valoracion_cliente]]="","Sin valoración",ventas_libreria[[#This Row],[valoracion_cliente]])</f>
        <v>4</v>
      </c>
    </row>
    <row r="333" spans="1:18" x14ac:dyDescent="0.25">
      <c r="A333" t="s">
        <v>606</v>
      </c>
      <c r="B333" t="s">
        <v>224</v>
      </c>
      <c r="C333" t="s">
        <v>225</v>
      </c>
      <c r="D333" t="s">
        <v>226</v>
      </c>
      <c r="E333" t="s">
        <v>116</v>
      </c>
      <c r="F333">
        <f>ventas_libreria[[#This Row],[precio_eur]]/100</f>
        <v>19.920000000000002</v>
      </c>
      <c r="G333">
        <v>1992</v>
      </c>
      <c r="H333">
        <v>1</v>
      </c>
      <c r="I333">
        <f>ventas_libreria[[#This Row],[precio]]*ventas_libreria[[#This Row],[cantidad]]</f>
        <v>19.920000000000002</v>
      </c>
      <c r="J333">
        <v>61</v>
      </c>
      <c r="K333" t="s">
        <v>38</v>
      </c>
      <c r="L333" s="1">
        <v>45648</v>
      </c>
      <c r="M333" t="s">
        <v>31</v>
      </c>
      <c r="N333" t="s">
        <v>22</v>
      </c>
      <c r="O333" t="s">
        <v>132</v>
      </c>
      <c r="P333" t="s">
        <v>84</v>
      </c>
      <c r="Q333">
        <v>5</v>
      </c>
      <c r="R333">
        <f>IF(ventas_libreria[[#This Row],[valoracion_cliente]]="","Sin valoración",ventas_libreria[[#This Row],[valoracion_cliente]])</f>
        <v>5</v>
      </c>
    </row>
    <row r="334" spans="1:18" x14ac:dyDescent="0.25">
      <c r="A334" t="s">
        <v>607</v>
      </c>
      <c r="B334" t="s">
        <v>113</v>
      </c>
      <c r="C334" t="s">
        <v>114</v>
      </c>
      <c r="D334" t="s">
        <v>115</v>
      </c>
      <c r="E334" t="s">
        <v>116</v>
      </c>
      <c r="F334">
        <f>ventas_libreria[[#This Row],[precio_eur]]/100</f>
        <v>1.39</v>
      </c>
      <c r="G334">
        <v>139</v>
      </c>
      <c r="H334">
        <v>1</v>
      </c>
      <c r="I334">
        <f>ventas_libreria[[#This Row],[precio]]*ventas_libreria[[#This Row],[cantidad]]</f>
        <v>1.39</v>
      </c>
      <c r="J334">
        <v>32</v>
      </c>
      <c r="K334" t="s">
        <v>62</v>
      </c>
      <c r="L334" s="1">
        <v>45029</v>
      </c>
      <c r="M334" t="s">
        <v>31</v>
      </c>
      <c r="N334" t="s">
        <v>22</v>
      </c>
      <c r="O334" t="s">
        <v>132</v>
      </c>
      <c r="P334" t="s">
        <v>24</v>
      </c>
      <c r="Q334">
        <v>4</v>
      </c>
      <c r="R334">
        <f>IF(ventas_libreria[[#This Row],[valoracion_cliente]]="","Sin valoración",ventas_libreria[[#This Row],[valoracion_cliente]])</f>
        <v>4</v>
      </c>
    </row>
    <row r="335" spans="1:18" x14ac:dyDescent="0.25">
      <c r="A335" t="s">
        <v>608</v>
      </c>
      <c r="B335" t="s">
        <v>286</v>
      </c>
      <c r="C335" t="s">
        <v>287</v>
      </c>
      <c r="D335" t="s">
        <v>288</v>
      </c>
      <c r="E335" t="s">
        <v>289</v>
      </c>
      <c r="F335">
        <f>ventas_libreria[[#This Row],[precio_eur]]/100</f>
        <v>2.19</v>
      </c>
      <c r="G335">
        <v>219</v>
      </c>
      <c r="H335">
        <v>3</v>
      </c>
      <c r="I335">
        <f>ventas_libreria[[#This Row],[precio]]*ventas_libreria[[#This Row],[cantidad]]</f>
        <v>6.57</v>
      </c>
      <c r="J335">
        <v>38</v>
      </c>
      <c r="K335" t="s">
        <v>20</v>
      </c>
      <c r="L335" s="1">
        <v>45067</v>
      </c>
      <c r="M335" t="s">
        <v>43</v>
      </c>
      <c r="N335" t="s">
        <v>32</v>
      </c>
      <c r="O335" t="s">
        <v>33</v>
      </c>
      <c r="P335" t="s">
        <v>24</v>
      </c>
      <c r="Q335">
        <v>3</v>
      </c>
      <c r="R335">
        <f>IF(ventas_libreria[[#This Row],[valoracion_cliente]]="","Sin valoración",ventas_libreria[[#This Row],[valoracion_cliente]])</f>
        <v>3</v>
      </c>
    </row>
    <row r="336" spans="1:18" x14ac:dyDescent="0.25">
      <c r="A336" t="s">
        <v>609</v>
      </c>
      <c r="B336" t="s">
        <v>403</v>
      </c>
      <c r="C336" t="s">
        <v>404</v>
      </c>
      <c r="D336" t="s">
        <v>123</v>
      </c>
      <c r="E336" t="s">
        <v>48</v>
      </c>
      <c r="F336">
        <f>ventas_libreria[[#This Row],[precio_eur]]/100</f>
        <v>2.99</v>
      </c>
      <c r="G336">
        <v>299</v>
      </c>
      <c r="H336">
        <v>2</v>
      </c>
      <c r="I336">
        <f>ventas_libreria[[#This Row],[precio]]*ventas_libreria[[#This Row],[cantidad]]</f>
        <v>5.98</v>
      </c>
      <c r="J336">
        <v>51</v>
      </c>
      <c r="K336" t="s">
        <v>20</v>
      </c>
      <c r="L336" s="1">
        <v>45473</v>
      </c>
      <c r="M336" t="s">
        <v>43</v>
      </c>
      <c r="N336" t="s">
        <v>32</v>
      </c>
      <c r="O336" t="s">
        <v>33</v>
      </c>
      <c r="P336" t="s">
        <v>56</v>
      </c>
      <c r="Q336">
        <v>5</v>
      </c>
      <c r="R336">
        <f>IF(ventas_libreria[[#This Row],[valoracion_cliente]]="","Sin valoración",ventas_libreria[[#This Row],[valoracion_cliente]])</f>
        <v>5</v>
      </c>
    </row>
    <row r="337" spans="1:18" x14ac:dyDescent="0.25">
      <c r="A337" t="s">
        <v>610</v>
      </c>
      <c r="B337" t="s">
        <v>125</v>
      </c>
      <c r="C337" t="s">
        <v>126</v>
      </c>
      <c r="D337" t="s">
        <v>127</v>
      </c>
      <c r="E337" t="s">
        <v>29</v>
      </c>
      <c r="F337">
        <f>ventas_libreria[[#This Row],[precio_eur]]/100</f>
        <v>14.32</v>
      </c>
      <c r="G337">
        <v>1432</v>
      </c>
      <c r="H337">
        <v>1</v>
      </c>
      <c r="I337">
        <f>ventas_libreria[[#This Row],[precio]]*ventas_libreria[[#This Row],[cantidad]]</f>
        <v>14.32</v>
      </c>
      <c r="J337">
        <v>21</v>
      </c>
      <c r="K337" t="s">
        <v>30</v>
      </c>
      <c r="L337" s="1">
        <v>45740</v>
      </c>
      <c r="M337" t="s">
        <v>21</v>
      </c>
      <c r="N337" t="s">
        <v>22</v>
      </c>
      <c r="O337" t="s">
        <v>23</v>
      </c>
      <c r="P337" t="s">
        <v>84</v>
      </c>
      <c r="R337" t="str">
        <f>IF(ventas_libreria[[#This Row],[valoracion_cliente]]="","Sin valoración",ventas_libreria[[#This Row],[valoracion_cliente]])</f>
        <v>Sin valoración</v>
      </c>
    </row>
    <row r="338" spans="1:18" x14ac:dyDescent="0.25">
      <c r="A338" t="s">
        <v>611</v>
      </c>
      <c r="B338" t="s">
        <v>224</v>
      </c>
      <c r="C338" t="s">
        <v>225</v>
      </c>
      <c r="D338" t="s">
        <v>226</v>
      </c>
      <c r="E338" t="s">
        <v>116</v>
      </c>
      <c r="F338">
        <f>ventas_libreria[[#This Row],[precio_eur]]/100</f>
        <v>27.39</v>
      </c>
      <c r="G338">
        <v>2739</v>
      </c>
      <c r="H338">
        <v>1</v>
      </c>
      <c r="I338">
        <f>ventas_libreria[[#This Row],[precio]]*ventas_libreria[[#This Row],[cantidad]]</f>
        <v>27.39</v>
      </c>
      <c r="J338">
        <v>74</v>
      </c>
      <c r="K338" t="s">
        <v>30</v>
      </c>
      <c r="L338" s="1">
        <v>45652</v>
      </c>
      <c r="M338" t="s">
        <v>43</v>
      </c>
      <c r="N338" t="s">
        <v>32</v>
      </c>
      <c r="O338" t="s">
        <v>33</v>
      </c>
      <c r="P338" t="s">
        <v>34</v>
      </c>
      <c r="Q338">
        <v>3</v>
      </c>
      <c r="R338">
        <f>IF(ventas_libreria[[#This Row],[valoracion_cliente]]="","Sin valoración",ventas_libreria[[#This Row],[valoracion_cliente]])</f>
        <v>3</v>
      </c>
    </row>
    <row r="339" spans="1:18" x14ac:dyDescent="0.25">
      <c r="A339" t="s">
        <v>612</v>
      </c>
      <c r="B339" t="s">
        <v>215</v>
      </c>
      <c r="C339" t="s">
        <v>216</v>
      </c>
      <c r="D339" t="s">
        <v>217</v>
      </c>
      <c r="E339" t="s">
        <v>55</v>
      </c>
      <c r="F339">
        <f>ventas_libreria[[#This Row],[precio_eur]]/100</f>
        <v>1.48</v>
      </c>
      <c r="G339">
        <v>148</v>
      </c>
      <c r="H339">
        <v>1</v>
      </c>
      <c r="I339">
        <f>ventas_libreria[[#This Row],[precio]]*ventas_libreria[[#This Row],[cantidad]]</f>
        <v>1.48</v>
      </c>
      <c r="J339">
        <v>28</v>
      </c>
      <c r="K339" t="s">
        <v>20</v>
      </c>
      <c r="L339" s="1">
        <v>45513</v>
      </c>
      <c r="M339" t="s">
        <v>21</v>
      </c>
      <c r="N339" t="s">
        <v>32</v>
      </c>
      <c r="O339" t="s">
        <v>33</v>
      </c>
      <c r="P339" t="s">
        <v>50</v>
      </c>
      <c r="Q339">
        <v>4</v>
      </c>
      <c r="R339">
        <f>IF(ventas_libreria[[#This Row],[valoracion_cliente]]="","Sin valoración",ventas_libreria[[#This Row],[valoracion_cliente]])</f>
        <v>4</v>
      </c>
    </row>
    <row r="340" spans="1:18" x14ac:dyDescent="0.25">
      <c r="A340" t="s">
        <v>613</v>
      </c>
      <c r="B340" t="s">
        <v>156</v>
      </c>
      <c r="C340" t="s">
        <v>157</v>
      </c>
      <c r="D340" t="s">
        <v>158</v>
      </c>
      <c r="E340" t="s">
        <v>149</v>
      </c>
      <c r="F340">
        <f>ventas_libreria[[#This Row],[precio_eur]]/100</f>
        <v>19.84</v>
      </c>
      <c r="G340">
        <v>1984</v>
      </c>
      <c r="H340">
        <v>2</v>
      </c>
      <c r="I340">
        <f>ventas_libreria[[#This Row],[precio]]*ventas_libreria[[#This Row],[cantidad]]</f>
        <v>39.68</v>
      </c>
      <c r="J340">
        <v>30</v>
      </c>
      <c r="K340" t="s">
        <v>30</v>
      </c>
      <c r="L340" s="1">
        <v>45388</v>
      </c>
      <c r="M340" t="s">
        <v>31</v>
      </c>
      <c r="N340" t="s">
        <v>22</v>
      </c>
      <c r="O340" t="s">
        <v>67</v>
      </c>
      <c r="P340" t="s">
        <v>84</v>
      </c>
      <c r="Q340">
        <v>5</v>
      </c>
      <c r="R340">
        <f>IF(ventas_libreria[[#This Row],[valoracion_cliente]]="","Sin valoración",ventas_libreria[[#This Row],[valoracion_cliente]])</f>
        <v>5</v>
      </c>
    </row>
    <row r="341" spans="1:18" x14ac:dyDescent="0.25">
      <c r="A341" t="s">
        <v>614</v>
      </c>
      <c r="B341" t="s">
        <v>243</v>
      </c>
      <c r="C341" t="s">
        <v>244</v>
      </c>
      <c r="D341" t="s">
        <v>245</v>
      </c>
      <c r="E341" t="s">
        <v>48</v>
      </c>
      <c r="F341">
        <f>ventas_libreria[[#This Row],[precio_eur]]/100</f>
        <v>19.71</v>
      </c>
      <c r="G341">
        <v>1971</v>
      </c>
      <c r="H341">
        <v>1</v>
      </c>
      <c r="I341">
        <f>ventas_libreria[[#This Row],[precio]]*ventas_libreria[[#This Row],[cantidad]]</f>
        <v>19.71</v>
      </c>
      <c r="J341">
        <v>52</v>
      </c>
      <c r="K341" t="s">
        <v>20</v>
      </c>
      <c r="L341" s="1">
        <v>45263</v>
      </c>
      <c r="M341" t="s">
        <v>31</v>
      </c>
      <c r="N341" t="s">
        <v>32</v>
      </c>
      <c r="O341" t="s">
        <v>33</v>
      </c>
      <c r="P341" t="s">
        <v>24</v>
      </c>
      <c r="Q341">
        <v>5</v>
      </c>
      <c r="R341">
        <f>IF(ventas_libreria[[#This Row],[valoracion_cliente]]="","Sin valoración",ventas_libreria[[#This Row],[valoracion_cliente]])</f>
        <v>5</v>
      </c>
    </row>
    <row r="342" spans="1:18" x14ac:dyDescent="0.25">
      <c r="A342" t="s">
        <v>615</v>
      </c>
      <c r="B342" t="s">
        <v>375</v>
      </c>
      <c r="C342" t="s">
        <v>376</v>
      </c>
      <c r="D342" t="s">
        <v>377</v>
      </c>
      <c r="E342" t="s">
        <v>29</v>
      </c>
      <c r="F342">
        <f>ventas_libreria[[#This Row],[precio_eur]]/100</f>
        <v>12.72</v>
      </c>
      <c r="G342">
        <v>1272</v>
      </c>
      <c r="H342">
        <v>2</v>
      </c>
      <c r="I342">
        <f>ventas_libreria[[#This Row],[precio]]*ventas_libreria[[#This Row],[cantidad]]</f>
        <v>25.44</v>
      </c>
      <c r="J342">
        <v>56</v>
      </c>
      <c r="K342" t="s">
        <v>38</v>
      </c>
      <c r="L342" s="1">
        <v>45577</v>
      </c>
      <c r="M342" t="s">
        <v>31</v>
      </c>
      <c r="N342" t="s">
        <v>32</v>
      </c>
      <c r="O342" t="s">
        <v>33</v>
      </c>
      <c r="P342" t="s">
        <v>56</v>
      </c>
      <c r="Q342">
        <v>4</v>
      </c>
      <c r="R342">
        <f>IF(ventas_libreria[[#This Row],[valoracion_cliente]]="","Sin valoración",ventas_libreria[[#This Row],[valoracion_cliente]])</f>
        <v>4</v>
      </c>
    </row>
    <row r="343" spans="1:18" x14ac:dyDescent="0.25">
      <c r="A343" t="s">
        <v>616</v>
      </c>
      <c r="B343" t="s">
        <v>508</v>
      </c>
      <c r="C343" t="s">
        <v>509</v>
      </c>
      <c r="D343" t="s">
        <v>199</v>
      </c>
      <c r="E343" t="s">
        <v>55</v>
      </c>
      <c r="F343">
        <f>ventas_libreria[[#This Row],[precio_eur]]/100</f>
        <v>20.79</v>
      </c>
      <c r="G343">
        <v>2079</v>
      </c>
      <c r="H343">
        <v>1</v>
      </c>
      <c r="I343">
        <f>ventas_libreria[[#This Row],[precio]]*ventas_libreria[[#This Row],[cantidad]]</f>
        <v>20.79</v>
      </c>
      <c r="J343">
        <v>67</v>
      </c>
      <c r="K343" t="s">
        <v>30</v>
      </c>
      <c r="L343" s="1">
        <v>45178</v>
      </c>
      <c r="M343" t="s">
        <v>21</v>
      </c>
      <c r="N343" t="s">
        <v>22</v>
      </c>
      <c r="O343" t="s">
        <v>49</v>
      </c>
      <c r="P343" t="s">
        <v>24</v>
      </c>
      <c r="Q343">
        <v>5</v>
      </c>
      <c r="R343">
        <f>IF(ventas_libreria[[#This Row],[valoracion_cliente]]="","Sin valoración",ventas_libreria[[#This Row],[valoracion_cliente]])</f>
        <v>5</v>
      </c>
    </row>
    <row r="344" spans="1:18" x14ac:dyDescent="0.25">
      <c r="A344" t="s">
        <v>617</v>
      </c>
      <c r="B344" t="s">
        <v>398</v>
      </c>
      <c r="C344" t="s">
        <v>399</v>
      </c>
      <c r="D344" t="s">
        <v>167</v>
      </c>
      <c r="E344" t="s">
        <v>61</v>
      </c>
      <c r="F344">
        <f>ventas_libreria[[#This Row],[precio_eur]]/100</f>
        <v>1.69</v>
      </c>
      <c r="G344">
        <v>169</v>
      </c>
      <c r="H344">
        <v>1</v>
      </c>
      <c r="I344">
        <f>ventas_libreria[[#This Row],[precio]]*ventas_libreria[[#This Row],[cantidad]]</f>
        <v>1.69</v>
      </c>
      <c r="J344">
        <v>21</v>
      </c>
      <c r="K344" t="s">
        <v>38</v>
      </c>
      <c r="L344" s="1">
        <v>45378</v>
      </c>
      <c r="M344" t="s">
        <v>21</v>
      </c>
      <c r="N344" t="s">
        <v>32</v>
      </c>
      <c r="O344" t="s">
        <v>33</v>
      </c>
      <c r="P344" t="s">
        <v>84</v>
      </c>
      <c r="Q344">
        <v>5</v>
      </c>
      <c r="R344">
        <f>IF(ventas_libreria[[#This Row],[valoracion_cliente]]="","Sin valoración",ventas_libreria[[#This Row],[valoracion_cliente]])</f>
        <v>5</v>
      </c>
    </row>
    <row r="345" spans="1:18" x14ac:dyDescent="0.25">
      <c r="A345" t="s">
        <v>618</v>
      </c>
      <c r="B345" t="s">
        <v>137</v>
      </c>
      <c r="C345" t="s">
        <v>138</v>
      </c>
      <c r="D345" t="s">
        <v>139</v>
      </c>
      <c r="E345" t="s">
        <v>116</v>
      </c>
      <c r="F345">
        <f>ventas_libreria[[#This Row],[precio_eur]]/100</f>
        <v>14.19</v>
      </c>
      <c r="G345">
        <v>1419</v>
      </c>
      <c r="H345">
        <v>1</v>
      </c>
      <c r="I345">
        <f>ventas_libreria[[#This Row],[precio]]*ventas_libreria[[#This Row],[cantidad]]</f>
        <v>14.19</v>
      </c>
      <c r="J345">
        <v>59</v>
      </c>
      <c r="K345" t="s">
        <v>20</v>
      </c>
      <c r="L345" s="1">
        <v>45404</v>
      </c>
      <c r="M345" t="s">
        <v>43</v>
      </c>
      <c r="N345" t="s">
        <v>32</v>
      </c>
      <c r="O345" t="s">
        <v>33</v>
      </c>
      <c r="P345" t="s">
        <v>56</v>
      </c>
      <c r="Q345">
        <v>1</v>
      </c>
      <c r="R345">
        <f>IF(ventas_libreria[[#This Row],[valoracion_cliente]]="","Sin valoración",ventas_libreria[[#This Row],[valoracion_cliente]])</f>
        <v>1</v>
      </c>
    </row>
    <row r="346" spans="1:18" x14ac:dyDescent="0.25">
      <c r="A346" t="s">
        <v>619</v>
      </c>
      <c r="B346" t="s">
        <v>413</v>
      </c>
      <c r="C346" t="s">
        <v>414</v>
      </c>
      <c r="D346" t="s">
        <v>270</v>
      </c>
      <c r="E346" t="s">
        <v>415</v>
      </c>
      <c r="F346">
        <f>ventas_libreria[[#This Row],[precio_eur]]/100</f>
        <v>10.89</v>
      </c>
      <c r="G346">
        <v>1089</v>
      </c>
      <c r="H346">
        <v>2</v>
      </c>
      <c r="I346">
        <f>ventas_libreria[[#This Row],[precio]]*ventas_libreria[[#This Row],[cantidad]]</f>
        <v>21.78</v>
      </c>
      <c r="J346">
        <v>49</v>
      </c>
      <c r="K346" t="s">
        <v>30</v>
      </c>
      <c r="L346" s="1">
        <v>45722</v>
      </c>
      <c r="M346" t="s">
        <v>31</v>
      </c>
      <c r="N346" t="s">
        <v>22</v>
      </c>
      <c r="O346" t="s">
        <v>67</v>
      </c>
      <c r="P346" t="s">
        <v>34</v>
      </c>
      <c r="Q346">
        <v>5</v>
      </c>
      <c r="R346">
        <f>IF(ventas_libreria[[#This Row],[valoracion_cliente]]="","Sin valoración",ventas_libreria[[#This Row],[valoracion_cliente]])</f>
        <v>5</v>
      </c>
    </row>
    <row r="347" spans="1:18" x14ac:dyDescent="0.25">
      <c r="A347" t="s">
        <v>620</v>
      </c>
      <c r="B347" t="s">
        <v>286</v>
      </c>
      <c r="C347" t="s">
        <v>287</v>
      </c>
      <c r="D347" t="s">
        <v>288</v>
      </c>
      <c r="E347" t="s">
        <v>289</v>
      </c>
      <c r="F347">
        <f>ventas_libreria[[#This Row],[precio_eur]]/100</f>
        <v>2.19</v>
      </c>
      <c r="G347">
        <v>219</v>
      </c>
      <c r="H347">
        <v>1</v>
      </c>
      <c r="I347">
        <f>ventas_libreria[[#This Row],[precio]]*ventas_libreria[[#This Row],[cantidad]]</f>
        <v>2.19</v>
      </c>
      <c r="J347">
        <v>57</v>
      </c>
      <c r="K347" t="s">
        <v>62</v>
      </c>
      <c r="L347" s="1">
        <v>45356</v>
      </c>
      <c r="M347" t="s">
        <v>43</v>
      </c>
      <c r="N347" t="s">
        <v>32</v>
      </c>
      <c r="O347" t="s">
        <v>33</v>
      </c>
      <c r="P347" t="s">
        <v>34</v>
      </c>
      <c r="Q347">
        <v>4</v>
      </c>
      <c r="R347">
        <f>IF(ventas_libreria[[#This Row],[valoracion_cliente]]="","Sin valoración",ventas_libreria[[#This Row],[valoracion_cliente]])</f>
        <v>4</v>
      </c>
    </row>
    <row r="348" spans="1:18" x14ac:dyDescent="0.25">
      <c r="A348" t="s">
        <v>621</v>
      </c>
      <c r="B348" t="s">
        <v>121</v>
      </c>
      <c r="C348" t="s">
        <v>122</v>
      </c>
      <c r="D348" t="s">
        <v>123</v>
      </c>
      <c r="E348" t="s">
        <v>48</v>
      </c>
      <c r="F348">
        <f>ventas_libreria[[#This Row],[precio_eur]]/100</f>
        <v>17.75</v>
      </c>
      <c r="G348">
        <v>1775</v>
      </c>
      <c r="H348">
        <v>1</v>
      </c>
      <c r="I348">
        <f>ventas_libreria[[#This Row],[precio]]*ventas_libreria[[#This Row],[cantidad]]</f>
        <v>17.75</v>
      </c>
      <c r="J348">
        <v>36</v>
      </c>
      <c r="K348" t="s">
        <v>62</v>
      </c>
      <c r="L348" s="1">
        <v>45308</v>
      </c>
      <c r="M348" t="s">
        <v>43</v>
      </c>
      <c r="N348" t="s">
        <v>32</v>
      </c>
      <c r="O348" t="s">
        <v>33</v>
      </c>
      <c r="P348" t="s">
        <v>50</v>
      </c>
      <c r="Q348">
        <v>5</v>
      </c>
      <c r="R348">
        <f>IF(ventas_libreria[[#This Row],[valoracion_cliente]]="","Sin valoración",ventas_libreria[[#This Row],[valoracion_cliente]])</f>
        <v>5</v>
      </c>
    </row>
    <row r="349" spans="1:18" x14ac:dyDescent="0.25">
      <c r="A349" t="s">
        <v>622</v>
      </c>
      <c r="B349" t="s">
        <v>530</v>
      </c>
      <c r="C349" t="s">
        <v>531</v>
      </c>
      <c r="D349" t="s">
        <v>195</v>
      </c>
      <c r="E349" t="s">
        <v>48</v>
      </c>
      <c r="F349">
        <f>ventas_libreria[[#This Row],[precio_eur]]/100</f>
        <v>15.92</v>
      </c>
      <c r="G349">
        <v>1592</v>
      </c>
      <c r="H349">
        <v>1</v>
      </c>
      <c r="I349">
        <f>ventas_libreria[[#This Row],[precio]]*ventas_libreria[[#This Row],[cantidad]]</f>
        <v>15.92</v>
      </c>
      <c r="J349">
        <v>63</v>
      </c>
      <c r="K349" t="s">
        <v>38</v>
      </c>
      <c r="L349" s="1">
        <v>45981</v>
      </c>
      <c r="M349" t="s">
        <v>43</v>
      </c>
      <c r="N349" t="s">
        <v>32</v>
      </c>
      <c r="O349" t="s">
        <v>33</v>
      </c>
      <c r="P349" t="s">
        <v>24</v>
      </c>
      <c r="Q349">
        <v>4</v>
      </c>
      <c r="R349">
        <f>IF(ventas_libreria[[#This Row],[valoracion_cliente]]="","Sin valoración",ventas_libreria[[#This Row],[valoracion_cliente]])</f>
        <v>4</v>
      </c>
    </row>
    <row r="350" spans="1:18" x14ac:dyDescent="0.25">
      <c r="A350" t="s">
        <v>623</v>
      </c>
      <c r="B350" t="s">
        <v>327</v>
      </c>
      <c r="C350" t="s">
        <v>328</v>
      </c>
      <c r="D350" t="s">
        <v>288</v>
      </c>
      <c r="E350" t="s">
        <v>289</v>
      </c>
      <c r="F350">
        <f>ventas_libreria[[#This Row],[precio_eur]]/100</f>
        <v>20.61</v>
      </c>
      <c r="G350">
        <v>2061</v>
      </c>
      <c r="H350">
        <v>1</v>
      </c>
      <c r="I350">
        <f>ventas_libreria[[#This Row],[precio]]*ventas_libreria[[#This Row],[cantidad]]</f>
        <v>20.61</v>
      </c>
      <c r="J350">
        <v>22</v>
      </c>
      <c r="K350" t="s">
        <v>62</v>
      </c>
      <c r="L350" s="1">
        <v>45135</v>
      </c>
      <c r="M350" t="s">
        <v>43</v>
      </c>
      <c r="N350" t="s">
        <v>32</v>
      </c>
      <c r="O350" t="s">
        <v>33</v>
      </c>
      <c r="P350" t="s">
        <v>24</v>
      </c>
      <c r="Q350">
        <v>5</v>
      </c>
      <c r="R350">
        <f>IF(ventas_libreria[[#This Row],[valoracion_cliente]]="","Sin valoración",ventas_libreria[[#This Row],[valoracion_cliente]])</f>
        <v>5</v>
      </c>
    </row>
    <row r="351" spans="1:18" x14ac:dyDescent="0.25">
      <c r="A351" t="s">
        <v>624</v>
      </c>
      <c r="B351" t="s">
        <v>541</v>
      </c>
      <c r="C351" t="s">
        <v>542</v>
      </c>
      <c r="D351" t="s">
        <v>131</v>
      </c>
      <c r="E351" t="s">
        <v>107</v>
      </c>
      <c r="F351">
        <f>ventas_libreria[[#This Row],[precio_eur]]/100</f>
        <v>12.72</v>
      </c>
      <c r="G351">
        <v>1272</v>
      </c>
      <c r="H351">
        <v>2</v>
      </c>
      <c r="I351">
        <f>ventas_libreria[[#This Row],[precio]]*ventas_libreria[[#This Row],[cantidad]]</f>
        <v>25.44</v>
      </c>
      <c r="J351">
        <v>16</v>
      </c>
      <c r="K351" t="s">
        <v>62</v>
      </c>
      <c r="L351" s="1">
        <v>45312</v>
      </c>
      <c r="M351" t="s">
        <v>21</v>
      </c>
      <c r="N351" t="s">
        <v>22</v>
      </c>
      <c r="O351" t="s">
        <v>132</v>
      </c>
      <c r="P351" t="s">
        <v>24</v>
      </c>
      <c r="Q351">
        <v>4</v>
      </c>
      <c r="R351">
        <f>IF(ventas_libreria[[#This Row],[valoracion_cliente]]="","Sin valoración",ventas_libreria[[#This Row],[valoracion_cliente]])</f>
        <v>4</v>
      </c>
    </row>
    <row r="352" spans="1:18" x14ac:dyDescent="0.25">
      <c r="A352" t="s">
        <v>625</v>
      </c>
      <c r="B352" t="s">
        <v>129</v>
      </c>
      <c r="C352" t="s">
        <v>130</v>
      </c>
      <c r="D352" t="s">
        <v>131</v>
      </c>
      <c r="E352" t="s">
        <v>107</v>
      </c>
      <c r="F352">
        <f>ventas_libreria[[#This Row],[precio_eur]]/100</f>
        <v>17.489999999999998</v>
      </c>
      <c r="G352">
        <v>1749</v>
      </c>
      <c r="H352">
        <v>1</v>
      </c>
      <c r="I352">
        <f>ventas_libreria[[#This Row],[precio]]*ventas_libreria[[#This Row],[cantidad]]</f>
        <v>17.489999999999998</v>
      </c>
      <c r="J352">
        <v>20</v>
      </c>
      <c r="K352" t="s">
        <v>20</v>
      </c>
      <c r="L352" s="1">
        <v>45425</v>
      </c>
      <c r="M352" t="s">
        <v>21</v>
      </c>
      <c r="N352" t="s">
        <v>22</v>
      </c>
      <c r="O352" t="s">
        <v>23</v>
      </c>
      <c r="P352" t="s">
        <v>24</v>
      </c>
      <c r="Q352">
        <v>5</v>
      </c>
      <c r="R352">
        <f>IF(ventas_libreria[[#This Row],[valoracion_cliente]]="","Sin valoración",ventas_libreria[[#This Row],[valoracion_cliente]])</f>
        <v>5</v>
      </c>
    </row>
    <row r="353" spans="1:18" x14ac:dyDescent="0.25">
      <c r="A353" t="s">
        <v>626</v>
      </c>
      <c r="B353" t="s">
        <v>156</v>
      </c>
      <c r="C353" t="s">
        <v>157</v>
      </c>
      <c r="D353" t="s">
        <v>158</v>
      </c>
      <c r="E353" t="s">
        <v>149</v>
      </c>
      <c r="F353">
        <f>ventas_libreria[[#This Row],[precio_eur]]/100</f>
        <v>16.059999999999999</v>
      </c>
      <c r="G353">
        <v>1606</v>
      </c>
      <c r="H353">
        <v>1</v>
      </c>
      <c r="I353">
        <f>ventas_libreria[[#This Row],[precio]]*ventas_libreria[[#This Row],[cantidad]]</f>
        <v>16.059999999999999</v>
      </c>
      <c r="J353">
        <v>35</v>
      </c>
      <c r="K353" t="s">
        <v>30</v>
      </c>
      <c r="L353" s="1">
        <v>45027</v>
      </c>
      <c r="M353" t="s">
        <v>43</v>
      </c>
      <c r="N353" t="s">
        <v>32</v>
      </c>
      <c r="O353" t="s">
        <v>33</v>
      </c>
      <c r="P353" t="s">
        <v>84</v>
      </c>
      <c r="Q353">
        <v>3</v>
      </c>
      <c r="R353">
        <f>IF(ventas_libreria[[#This Row],[valoracion_cliente]]="","Sin valoración",ventas_libreria[[#This Row],[valoracion_cliente]])</f>
        <v>3</v>
      </c>
    </row>
    <row r="354" spans="1:18" x14ac:dyDescent="0.25">
      <c r="A354" t="s">
        <v>627</v>
      </c>
      <c r="B354" t="s">
        <v>104</v>
      </c>
      <c r="C354" t="s">
        <v>105</v>
      </c>
      <c r="D354" t="s">
        <v>106</v>
      </c>
      <c r="E354" t="s">
        <v>107</v>
      </c>
      <c r="F354">
        <f>ventas_libreria[[#This Row],[precio_eur]]/100</f>
        <v>12.66</v>
      </c>
      <c r="G354">
        <v>1266</v>
      </c>
      <c r="H354">
        <v>3</v>
      </c>
      <c r="I354">
        <f>ventas_libreria[[#This Row],[precio]]*ventas_libreria[[#This Row],[cantidad]]</f>
        <v>37.980000000000004</v>
      </c>
      <c r="J354">
        <v>22</v>
      </c>
      <c r="K354" t="s">
        <v>30</v>
      </c>
      <c r="L354" s="1">
        <v>45733</v>
      </c>
      <c r="M354" t="s">
        <v>21</v>
      </c>
      <c r="N354" t="s">
        <v>22</v>
      </c>
      <c r="O354" t="s">
        <v>132</v>
      </c>
      <c r="P354" t="s">
        <v>50</v>
      </c>
      <c r="Q354">
        <v>5</v>
      </c>
      <c r="R354">
        <f>IF(ventas_libreria[[#This Row],[valoracion_cliente]]="","Sin valoración",ventas_libreria[[#This Row],[valoracion_cliente]])</f>
        <v>5</v>
      </c>
    </row>
    <row r="355" spans="1:18" x14ac:dyDescent="0.25">
      <c r="A355" t="s">
        <v>628</v>
      </c>
      <c r="B355" t="s">
        <v>296</v>
      </c>
      <c r="C355" t="s">
        <v>297</v>
      </c>
      <c r="D355" t="s">
        <v>298</v>
      </c>
      <c r="E355" t="s">
        <v>154</v>
      </c>
      <c r="F355">
        <f>ventas_libreria[[#This Row],[precio_eur]]/100</f>
        <v>15.21</v>
      </c>
      <c r="G355">
        <v>1521</v>
      </c>
      <c r="H355">
        <v>2</v>
      </c>
      <c r="I355">
        <f>ventas_libreria[[#This Row],[precio]]*ventas_libreria[[#This Row],[cantidad]]</f>
        <v>30.42</v>
      </c>
      <c r="J355">
        <v>72</v>
      </c>
      <c r="K355" t="s">
        <v>20</v>
      </c>
      <c r="L355" s="1">
        <v>45861</v>
      </c>
      <c r="M355" t="s">
        <v>43</v>
      </c>
      <c r="N355" t="s">
        <v>32</v>
      </c>
      <c r="O355" t="s">
        <v>33</v>
      </c>
      <c r="P355" t="s">
        <v>24</v>
      </c>
      <c r="Q355">
        <v>5</v>
      </c>
      <c r="R355">
        <f>IF(ventas_libreria[[#This Row],[valoracion_cliente]]="","Sin valoración",ventas_libreria[[#This Row],[valoracion_cliente]])</f>
        <v>5</v>
      </c>
    </row>
    <row r="356" spans="1:18" x14ac:dyDescent="0.25">
      <c r="A356" t="s">
        <v>629</v>
      </c>
      <c r="B356" t="s">
        <v>156</v>
      </c>
      <c r="C356" t="s">
        <v>157</v>
      </c>
      <c r="D356" t="s">
        <v>158</v>
      </c>
      <c r="E356" t="s">
        <v>149</v>
      </c>
      <c r="F356">
        <f>ventas_libreria[[#This Row],[precio_eur]]/100</f>
        <v>15.12</v>
      </c>
      <c r="G356">
        <v>1512</v>
      </c>
      <c r="H356">
        <v>1</v>
      </c>
      <c r="I356">
        <f>ventas_libreria[[#This Row],[precio]]*ventas_libreria[[#This Row],[cantidad]]</f>
        <v>15.12</v>
      </c>
      <c r="J356">
        <v>46</v>
      </c>
      <c r="K356" t="s">
        <v>62</v>
      </c>
      <c r="L356" s="1">
        <v>45965</v>
      </c>
      <c r="M356" t="s">
        <v>43</v>
      </c>
      <c r="N356" t="s">
        <v>32</v>
      </c>
      <c r="O356" t="s">
        <v>33</v>
      </c>
      <c r="P356" t="s">
        <v>56</v>
      </c>
      <c r="Q356">
        <v>3</v>
      </c>
      <c r="R356">
        <f>IF(ventas_libreria[[#This Row],[valoracion_cliente]]="","Sin valoración",ventas_libreria[[#This Row],[valoracion_cliente]])</f>
        <v>3</v>
      </c>
    </row>
    <row r="357" spans="1:18" x14ac:dyDescent="0.25">
      <c r="A357" t="s">
        <v>630</v>
      </c>
      <c r="B357" t="s">
        <v>118</v>
      </c>
      <c r="C357" t="s">
        <v>119</v>
      </c>
      <c r="D357" t="s">
        <v>47</v>
      </c>
      <c r="E357" t="s">
        <v>48</v>
      </c>
      <c r="F357">
        <f>ventas_libreria[[#This Row],[precio_eur]]/100</f>
        <v>1.59</v>
      </c>
      <c r="G357">
        <v>159</v>
      </c>
      <c r="H357">
        <v>1</v>
      </c>
      <c r="I357">
        <f>ventas_libreria[[#This Row],[precio]]*ventas_libreria[[#This Row],[cantidad]]</f>
        <v>1.59</v>
      </c>
      <c r="J357">
        <v>59</v>
      </c>
      <c r="K357" t="s">
        <v>38</v>
      </c>
      <c r="L357" s="1">
        <v>45712</v>
      </c>
      <c r="M357" t="s">
        <v>31</v>
      </c>
      <c r="N357" t="s">
        <v>32</v>
      </c>
      <c r="O357" t="s">
        <v>33</v>
      </c>
      <c r="P357" t="s">
        <v>50</v>
      </c>
      <c r="Q357">
        <v>5</v>
      </c>
      <c r="R357">
        <f>IF(ventas_libreria[[#This Row],[valoracion_cliente]]="","Sin valoración",ventas_libreria[[#This Row],[valoracion_cliente]])</f>
        <v>5</v>
      </c>
    </row>
    <row r="358" spans="1:18" x14ac:dyDescent="0.25">
      <c r="A358" t="s">
        <v>631</v>
      </c>
      <c r="B358" t="s">
        <v>26</v>
      </c>
      <c r="C358" t="s">
        <v>27</v>
      </c>
      <c r="D358" t="s">
        <v>28</v>
      </c>
      <c r="E358" t="s">
        <v>29</v>
      </c>
      <c r="F358">
        <f>ventas_libreria[[#This Row],[precio_eur]]/100</f>
        <v>20.79</v>
      </c>
      <c r="G358">
        <v>2079</v>
      </c>
      <c r="H358">
        <v>1</v>
      </c>
      <c r="I358">
        <f>ventas_libreria[[#This Row],[precio]]*ventas_libreria[[#This Row],[cantidad]]</f>
        <v>20.79</v>
      </c>
      <c r="J358">
        <v>30</v>
      </c>
      <c r="K358" t="s">
        <v>38</v>
      </c>
      <c r="L358" s="1">
        <v>44932</v>
      </c>
      <c r="M358" t="s">
        <v>21</v>
      </c>
      <c r="N358" t="s">
        <v>32</v>
      </c>
      <c r="O358" t="s">
        <v>33</v>
      </c>
      <c r="P358" t="s">
        <v>50</v>
      </c>
      <c r="Q358">
        <v>5</v>
      </c>
      <c r="R358">
        <f>IF(ventas_libreria[[#This Row],[valoracion_cliente]]="","Sin valoración",ventas_libreria[[#This Row],[valoracion_cliente]])</f>
        <v>5</v>
      </c>
    </row>
    <row r="359" spans="1:18" x14ac:dyDescent="0.25">
      <c r="A359" t="s">
        <v>632</v>
      </c>
      <c r="B359" t="s">
        <v>224</v>
      </c>
      <c r="C359" t="s">
        <v>225</v>
      </c>
      <c r="D359" t="s">
        <v>226</v>
      </c>
      <c r="E359" t="s">
        <v>116</v>
      </c>
      <c r="F359">
        <f>ventas_libreria[[#This Row],[precio_eur]]/100</f>
        <v>2.4900000000000002</v>
      </c>
      <c r="G359">
        <v>249</v>
      </c>
      <c r="H359">
        <v>1</v>
      </c>
      <c r="I359">
        <f>ventas_libreria[[#This Row],[precio]]*ventas_libreria[[#This Row],[cantidad]]</f>
        <v>2.4900000000000002</v>
      </c>
      <c r="J359">
        <v>41</v>
      </c>
      <c r="K359" t="s">
        <v>30</v>
      </c>
      <c r="L359" s="1">
        <v>45407</v>
      </c>
      <c r="M359" t="s">
        <v>31</v>
      </c>
      <c r="N359" t="s">
        <v>22</v>
      </c>
      <c r="O359" t="s">
        <v>23</v>
      </c>
      <c r="P359" t="s">
        <v>24</v>
      </c>
      <c r="Q359">
        <v>4</v>
      </c>
      <c r="R359">
        <f>IF(ventas_libreria[[#This Row],[valoracion_cliente]]="","Sin valoración",ventas_libreria[[#This Row],[valoracion_cliente]])</f>
        <v>4</v>
      </c>
    </row>
    <row r="360" spans="1:18" x14ac:dyDescent="0.25">
      <c r="A360" t="s">
        <v>633</v>
      </c>
      <c r="B360" t="s">
        <v>58</v>
      </c>
      <c r="C360" t="s">
        <v>59</v>
      </c>
      <c r="D360" t="s">
        <v>60</v>
      </c>
      <c r="E360" t="s">
        <v>61</v>
      </c>
      <c r="F360">
        <f>ventas_libreria[[#This Row],[precio_eur]]/100</f>
        <v>1.29</v>
      </c>
      <c r="G360">
        <v>129</v>
      </c>
      <c r="H360">
        <v>1</v>
      </c>
      <c r="I360">
        <f>ventas_libreria[[#This Row],[precio]]*ventas_libreria[[#This Row],[cantidad]]</f>
        <v>1.29</v>
      </c>
      <c r="J360">
        <v>42</v>
      </c>
      <c r="K360" t="s">
        <v>62</v>
      </c>
      <c r="L360" s="1">
        <v>45115</v>
      </c>
      <c r="M360" t="s">
        <v>31</v>
      </c>
      <c r="N360" t="s">
        <v>22</v>
      </c>
      <c r="O360" t="s">
        <v>67</v>
      </c>
      <c r="P360" t="s">
        <v>34</v>
      </c>
      <c r="Q360">
        <v>4</v>
      </c>
      <c r="R360">
        <f>IF(ventas_libreria[[#This Row],[valoracion_cliente]]="","Sin valoración",ventas_libreria[[#This Row],[valoracion_cliente]])</f>
        <v>4</v>
      </c>
    </row>
    <row r="361" spans="1:18" x14ac:dyDescent="0.25">
      <c r="A361" t="s">
        <v>634</v>
      </c>
      <c r="B361" t="s">
        <v>121</v>
      </c>
      <c r="C361" t="s">
        <v>122</v>
      </c>
      <c r="D361" t="s">
        <v>123</v>
      </c>
      <c r="E361" t="s">
        <v>48</v>
      </c>
      <c r="F361">
        <f>ventas_libreria[[#This Row],[precio_eur]]/100</f>
        <v>14.36</v>
      </c>
      <c r="G361">
        <v>1436</v>
      </c>
      <c r="H361">
        <v>1</v>
      </c>
      <c r="I361">
        <f>ventas_libreria[[#This Row],[precio]]*ventas_libreria[[#This Row],[cantidad]]</f>
        <v>14.36</v>
      </c>
      <c r="J361">
        <v>72</v>
      </c>
      <c r="K361" t="s">
        <v>62</v>
      </c>
      <c r="L361" s="1">
        <v>45426</v>
      </c>
      <c r="M361" t="s">
        <v>43</v>
      </c>
      <c r="N361" t="s">
        <v>32</v>
      </c>
      <c r="O361" t="s">
        <v>33</v>
      </c>
      <c r="P361" t="s">
        <v>50</v>
      </c>
      <c r="Q361">
        <v>4</v>
      </c>
      <c r="R361">
        <f>IF(ventas_libreria[[#This Row],[valoracion_cliente]]="","Sin valoración",ventas_libreria[[#This Row],[valoracion_cliente]])</f>
        <v>4</v>
      </c>
    </row>
    <row r="362" spans="1:18" x14ac:dyDescent="0.25">
      <c r="A362" t="s">
        <v>635</v>
      </c>
      <c r="B362" t="s">
        <v>265</v>
      </c>
      <c r="C362" t="s">
        <v>266</v>
      </c>
      <c r="D362" t="s">
        <v>162</v>
      </c>
      <c r="E362" t="s">
        <v>29</v>
      </c>
      <c r="F362">
        <f>ventas_libreria[[#This Row],[precio_eur]]/100</f>
        <v>13.52</v>
      </c>
      <c r="G362">
        <v>1352</v>
      </c>
      <c r="H362">
        <v>2</v>
      </c>
      <c r="I362">
        <f>ventas_libreria[[#This Row],[precio]]*ventas_libreria[[#This Row],[cantidad]]</f>
        <v>27.04</v>
      </c>
      <c r="J362">
        <v>71</v>
      </c>
      <c r="K362" t="s">
        <v>38</v>
      </c>
      <c r="L362" s="1">
        <v>45606</v>
      </c>
      <c r="M362" t="s">
        <v>21</v>
      </c>
      <c r="N362" t="s">
        <v>22</v>
      </c>
      <c r="O362" t="s">
        <v>132</v>
      </c>
      <c r="P362" t="s">
        <v>50</v>
      </c>
      <c r="Q362">
        <v>5</v>
      </c>
      <c r="R362">
        <f>IF(ventas_libreria[[#This Row],[valoracion_cliente]]="","Sin valoración",ventas_libreria[[#This Row],[valoracion_cliente]])</f>
        <v>5</v>
      </c>
    </row>
    <row r="363" spans="1:18" x14ac:dyDescent="0.25">
      <c r="A363" t="s">
        <v>636</v>
      </c>
      <c r="B363" t="s">
        <v>406</v>
      </c>
      <c r="C363" t="s">
        <v>407</v>
      </c>
      <c r="D363" t="s">
        <v>88</v>
      </c>
      <c r="E363" t="s">
        <v>77</v>
      </c>
      <c r="F363">
        <f>ventas_libreria[[#This Row],[precio_eur]]/100</f>
        <v>1.19</v>
      </c>
      <c r="G363">
        <v>119</v>
      </c>
      <c r="H363">
        <v>1</v>
      </c>
      <c r="I363">
        <f>ventas_libreria[[#This Row],[precio]]*ventas_libreria[[#This Row],[cantidad]]</f>
        <v>1.19</v>
      </c>
      <c r="J363">
        <v>5</v>
      </c>
      <c r="K363" t="s">
        <v>20</v>
      </c>
      <c r="L363" s="1">
        <v>44976</v>
      </c>
      <c r="M363" t="s">
        <v>21</v>
      </c>
      <c r="N363" t="s">
        <v>32</v>
      </c>
      <c r="O363" t="s">
        <v>33</v>
      </c>
      <c r="P363" t="s">
        <v>34</v>
      </c>
      <c r="Q363">
        <v>4</v>
      </c>
      <c r="R363">
        <f>IF(ventas_libreria[[#This Row],[valoracion_cliente]]="","Sin valoración",ventas_libreria[[#This Row],[valoracion_cliente]])</f>
        <v>4</v>
      </c>
    </row>
    <row r="364" spans="1:18" x14ac:dyDescent="0.25">
      <c r="A364" t="s">
        <v>637</v>
      </c>
      <c r="B364" t="s">
        <v>338</v>
      </c>
      <c r="C364" t="s">
        <v>339</v>
      </c>
      <c r="D364" t="s">
        <v>167</v>
      </c>
      <c r="E364" t="s">
        <v>61</v>
      </c>
      <c r="F364">
        <f>ventas_libreria[[#This Row],[precio_eur]]/100</f>
        <v>2.29</v>
      </c>
      <c r="G364">
        <v>229</v>
      </c>
      <c r="H364">
        <v>2</v>
      </c>
      <c r="I364">
        <f>ventas_libreria[[#This Row],[precio]]*ventas_libreria[[#This Row],[cantidad]]</f>
        <v>4.58</v>
      </c>
      <c r="J364">
        <v>62</v>
      </c>
      <c r="K364" t="s">
        <v>62</v>
      </c>
      <c r="L364" s="1">
        <v>45528</v>
      </c>
      <c r="M364" t="s">
        <v>31</v>
      </c>
      <c r="N364" t="s">
        <v>22</v>
      </c>
      <c r="O364" t="s">
        <v>98</v>
      </c>
      <c r="P364" t="s">
        <v>84</v>
      </c>
      <c r="Q364">
        <v>5</v>
      </c>
      <c r="R364">
        <f>IF(ventas_libreria[[#This Row],[valoracion_cliente]]="","Sin valoración",ventas_libreria[[#This Row],[valoracion_cliente]])</f>
        <v>5</v>
      </c>
    </row>
    <row r="365" spans="1:18" x14ac:dyDescent="0.25">
      <c r="A365" t="s">
        <v>638</v>
      </c>
      <c r="B365" t="s">
        <v>211</v>
      </c>
      <c r="C365" t="s">
        <v>212</v>
      </c>
      <c r="D365" t="s">
        <v>131</v>
      </c>
      <c r="E365" t="s">
        <v>107</v>
      </c>
      <c r="F365">
        <f>ventas_libreria[[#This Row],[precio_eur]]/100</f>
        <v>18.59</v>
      </c>
      <c r="G365">
        <v>1859</v>
      </c>
      <c r="H365">
        <v>1</v>
      </c>
      <c r="I365">
        <f>ventas_libreria[[#This Row],[precio]]*ventas_libreria[[#This Row],[cantidad]]</f>
        <v>18.59</v>
      </c>
      <c r="J365">
        <v>21</v>
      </c>
      <c r="K365" t="s">
        <v>38</v>
      </c>
      <c r="L365" s="1">
        <v>45676</v>
      </c>
      <c r="M365" t="s">
        <v>31</v>
      </c>
      <c r="N365" t="s">
        <v>32</v>
      </c>
      <c r="O365" t="s">
        <v>33</v>
      </c>
      <c r="P365" t="s">
        <v>24</v>
      </c>
      <c r="Q365">
        <v>4</v>
      </c>
      <c r="R365">
        <f>IF(ventas_libreria[[#This Row],[valoracion_cliente]]="","Sin valoración",ventas_libreria[[#This Row],[valoracion_cliente]])</f>
        <v>4</v>
      </c>
    </row>
    <row r="366" spans="1:18" x14ac:dyDescent="0.25">
      <c r="A366" t="s">
        <v>639</v>
      </c>
      <c r="B366" t="s">
        <v>86</v>
      </c>
      <c r="C366" t="s">
        <v>87</v>
      </c>
      <c r="D366" t="s">
        <v>88</v>
      </c>
      <c r="E366" t="s">
        <v>77</v>
      </c>
      <c r="F366">
        <f>ventas_libreria[[#This Row],[precio_eur]]/100</f>
        <v>10.71</v>
      </c>
      <c r="G366">
        <v>1071</v>
      </c>
      <c r="H366">
        <v>1</v>
      </c>
      <c r="I366">
        <f>ventas_libreria[[#This Row],[precio]]*ventas_libreria[[#This Row],[cantidad]]</f>
        <v>10.71</v>
      </c>
      <c r="J366">
        <v>6</v>
      </c>
      <c r="K366" t="s">
        <v>62</v>
      </c>
      <c r="L366" s="1">
        <v>45679</v>
      </c>
      <c r="M366" t="s">
        <v>21</v>
      </c>
      <c r="N366" t="s">
        <v>22</v>
      </c>
      <c r="O366" t="s">
        <v>132</v>
      </c>
      <c r="P366" t="s">
        <v>24</v>
      </c>
      <c r="Q366">
        <v>5</v>
      </c>
      <c r="R366">
        <f>IF(ventas_libreria[[#This Row],[valoracion_cliente]]="","Sin valoración",ventas_libreria[[#This Row],[valoracion_cliente]])</f>
        <v>5</v>
      </c>
    </row>
    <row r="367" spans="1:18" x14ac:dyDescent="0.25">
      <c r="A367" t="s">
        <v>640</v>
      </c>
      <c r="B367" t="s">
        <v>109</v>
      </c>
      <c r="C367" t="s">
        <v>110</v>
      </c>
      <c r="D367" t="s">
        <v>111</v>
      </c>
      <c r="E367" t="s">
        <v>55</v>
      </c>
      <c r="F367">
        <f>ventas_libreria[[#This Row],[precio_eur]]/100</f>
        <v>17.91</v>
      </c>
      <c r="G367">
        <v>1791</v>
      </c>
      <c r="H367">
        <v>2</v>
      </c>
      <c r="I367">
        <f>ventas_libreria[[#This Row],[precio]]*ventas_libreria[[#This Row],[cantidad]]</f>
        <v>35.82</v>
      </c>
      <c r="J367">
        <v>28</v>
      </c>
      <c r="K367" t="s">
        <v>30</v>
      </c>
      <c r="L367" s="1">
        <v>45932</v>
      </c>
      <c r="M367" t="s">
        <v>31</v>
      </c>
      <c r="N367" t="s">
        <v>32</v>
      </c>
      <c r="O367" t="s">
        <v>33</v>
      </c>
      <c r="P367" t="s">
        <v>56</v>
      </c>
      <c r="Q367">
        <v>4</v>
      </c>
      <c r="R367">
        <f>IF(ventas_libreria[[#This Row],[valoracion_cliente]]="","Sin valoración",ventas_libreria[[#This Row],[valoracion_cliente]])</f>
        <v>4</v>
      </c>
    </row>
    <row r="368" spans="1:18" x14ac:dyDescent="0.25">
      <c r="A368" t="s">
        <v>641</v>
      </c>
      <c r="B368" t="s">
        <v>220</v>
      </c>
      <c r="C368" t="s">
        <v>221</v>
      </c>
      <c r="D368" t="s">
        <v>222</v>
      </c>
      <c r="E368" t="s">
        <v>116</v>
      </c>
      <c r="F368">
        <f>ventas_libreria[[#This Row],[precio_eur]]/100</f>
        <v>13.55</v>
      </c>
      <c r="G368">
        <v>1355</v>
      </c>
      <c r="H368">
        <v>2</v>
      </c>
      <c r="I368">
        <f>ventas_libreria[[#This Row],[precio]]*ventas_libreria[[#This Row],[cantidad]]</f>
        <v>27.1</v>
      </c>
      <c r="J368">
        <v>69</v>
      </c>
      <c r="K368" t="s">
        <v>38</v>
      </c>
      <c r="L368" s="1">
        <v>45176</v>
      </c>
      <c r="M368" t="s">
        <v>43</v>
      </c>
      <c r="N368" t="s">
        <v>32</v>
      </c>
      <c r="O368" t="s">
        <v>33</v>
      </c>
      <c r="P368" t="s">
        <v>50</v>
      </c>
      <c r="Q368">
        <v>4</v>
      </c>
      <c r="R368">
        <f>IF(ventas_libreria[[#This Row],[valoracion_cliente]]="","Sin valoración",ventas_libreria[[#This Row],[valoracion_cliente]])</f>
        <v>4</v>
      </c>
    </row>
    <row r="369" spans="1:18" x14ac:dyDescent="0.25">
      <c r="A369" t="s">
        <v>642</v>
      </c>
      <c r="B369" t="s">
        <v>26</v>
      </c>
      <c r="C369" t="s">
        <v>27</v>
      </c>
      <c r="D369" t="s">
        <v>28</v>
      </c>
      <c r="E369" t="s">
        <v>29</v>
      </c>
      <c r="F369">
        <f>ventas_libreria[[#This Row],[precio_eur]]/100</f>
        <v>20.79</v>
      </c>
      <c r="G369">
        <v>2079</v>
      </c>
      <c r="H369">
        <v>1</v>
      </c>
      <c r="I369">
        <f>ventas_libreria[[#This Row],[precio]]*ventas_libreria[[#This Row],[cantidad]]</f>
        <v>20.79</v>
      </c>
      <c r="J369">
        <v>25</v>
      </c>
      <c r="K369" t="s">
        <v>62</v>
      </c>
      <c r="L369" s="1">
        <v>45450</v>
      </c>
      <c r="M369" t="s">
        <v>43</v>
      </c>
      <c r="N369" t="s">
        <v>32</v>
      </c>
      <c r="O369" t="s">
        <v>33</v>
      </c>
      <c r="P369" t="s">
        <v>56</v>
      </c>
      <c r="Q369">
        <v>4</v>
      </c>
      <c r="R369">
        <f>IF(ventas_libreria[[#This Row],[valoracion_cliente]]="","Sin valoración",ventas_libreria[[#This Row],[valoracion_cliente]])</f>
        <v>4</v>
      </c>
    </row>
    <row r="370" spans="1:18" x14ac:dyDescent="0.25">
      <c r="A370" t="s">
        <v>643</v>
      </c>
      <c r="B370" t="s">
        <v>398</v>
      </c>
      <c r="C370" t="s">
        <v>399</v>
      </c>
      <c r="D370" t="s">
        <v>167</v>
      </c>
      <c r="E370" t="s">
        <v>61</v>
      </c>
      <c r="F370">
        <f>ventas_libreria[[#This Row],[precio_eur]]/100</f>
        <v>1.69</v>
      </c>
      <c r="G370">
        <v>169</v>
      </c>
      <c r="H370">
        <v>4</v>
      </c>
      <c r="I370">
        <f>ventas_libreria[[#This Row],[precio]]*ventas_libreria[[#This Row],[cantidad]]</f>
        <v>6.76</v>
      </c>
      <c r="J370">
        <v>47</v>
      </c>
      <c r="K370" t="s">
        <v>38</v>
      </c>
      <c r="L370" s="1">
        <v>45585</v>
      </c>
      <c r="M370" t="s">
        <v>31</v>
      </c>
      <c r="N370" t="s">
        <v>22</v>
      </c>
      <c r="O370" t="s">
        <v>67</v>
      </c>
      <c r="P370" t="s">
        <v>50</v>
      </c>
      <c r="Q370">
        <v>5</v>
      </c>
      <c r="R370">
        <f>IF(ventas_libreria[[#This Row],[valoracion_cliente]]="","Sin valoración",ventas_libreria[[#This Row],[valoracion_cliente]])</f>
        <v>5</v>
      </c>
    </row>
    <row r="371" spans="1:18" x14ac:dyDescent="0.25">
      <c r="A371" t="s">
        <v>644</v>
      </c>
      <c r="B371" t="s">
        <v>247</v>
      </c>
      <c r="C371" t="s">
        <v>248</v>
      </c>
      <c r="D371" t="s">
        <v>249</v>
      </c>
      <c r="E371" t="s">
        <v>172</v>
      </c>
      <c r="F371">
        <f>ventas_libreria[[#This Row],[precio_eur]]/100</f>
        <v>1.39</v>
      </c>
      <c r="G371">
        <v>139</v>
      </c>
      <c r="H371">
        <v>1</v>
      </c>
      <c r="I371">
        <f>ventas_libreria[[#This Row],[precio]]*ventas_libreria[[#This Row],[cantidad]]</f>
        <v>1.39</v>
      </c>
      <c r="J371">
        <v>23</v>
      </c>
      <c r="K371" t="s">
        <v>30</v>
      </c>
      <c r="L371" s="1">
        <v>45671</v>
      </c>
      <c r="M371" t="s">
        <v>43</v>
      </c>
      <c r="N371" t="s">
        <v>32</v>
      </c>
      <c r="O371" t="s">
        <v>33</v>
      </c>
      <c r="P371" t="s">
        <v>24</v>
      </c>
      <c r="Q371">
        <v>2</v>
      </c>
      <c r="R371">
        <f>IF(ventas_libreria[[#This Row],[valoracion_cliente]]="","Sin valoración",ventas_libreria[[#This Row],[valoracion_cliente]])</f>
        <v>2</v>
      </c>
    </row>
    <row r="372" spans="1:18" x14ac:dyDescent="0.25">
      <c r="A372" t="s">
        <v>645</v>
      </c>
      <c r="B372" t="s">
        <v>254</v>
      </c>
      <c r="C372" t="s">
        <v>255</v>
      </c>
      <c r="D372" t="s">
        <v>139</v>
      </c>
      <c r="E372" t="s">
        <v>116</v>
      </c>
      <c r="F372">
        <f>ventas_libreria[[#This Row],[precio_eur]]/100</f>
        <v>16.39</v>
      </c>
      <c r="G372">
        <v>1639</v>
      </c>
      <c r="H372">
        <v>1</v>
      </c>
      <c r="I372">
        <f>ventas_libreria[[#This Row],[precio]]*ventas_libreria[[#This Row],[cantidad]]</f>
        <v>16.39</v>
      </c>
      <c r="J372">
        <v>22</v>
      </c>
      <c r="K372" t="s">
        <v>30</v>
      </c>
      <c r="L372" s="1">
        <v>45357</v>
      </c>
      <c r="M372" t="s">
        <v>31</v>
      </c>
      <c r="N372" t="s">
        <v>32</v>
      </c>
      <c r="O372" t="s">
        <v>33</v>
      </c>
      <c r="P372" t="s">
        <v>56</v>
      </c>
      <c r="Q372">
        <v>4</v>
      </c>
      <c r="R372">
        <f>IF(ventas_libreria[[#This Row],[valoracion_cliente]]="","Sin valoración",ventas_libreria[[#This Row],[valoracion_cliente]])</f>
        <v>4</v>
      </c>
    </row>
    <row r="373" spans="1:18" x14ac:dyDescent="0.25">
      <c r="A373" t="s">
        <v>646</v>
      </c>
      <c r="B373" t="s">
        <v>296</v>
      </c>
      <c r="C373" t="s">
        <v>297</v>
      </c>
      <c r="D373" t="s">
        <v>298</v>
      </c>
      <c r="E373" t="s">
        <v>154</v>
      </c>
      <c r="F373">
        <f>ventas_libreria[[#This Row],[precio_eur]]/100</f>
        <v>14.32</v>
      </c>
      <c r="G373">
        <v>1432</v>
      </c>
      <c r="H373">
        <v>1</v>
      </c>
      <c r="I373">
        <f>ventas_libreria[[#This Row],[precio]]*ventas_libreria[[#This Row],[cantidad]]</f>
        <v>14.32</v>
      </c>
      <c r="J373">
        <v>63</v>
      </c>
      <c r="K373" t="s">
        <v>30</v>
      </c>
      <c r="L373" s="1">
        <v>45091</v>
      </c>
      <c r="M373" t="s">
        <v>43</v>
      </c>
      <c r="N373" t="s">
        <v>32</v>
      </c>
      <c r="O373" t="s">
        <v>33</v>
      </c>
      <c r="P373" t="s">
        <v>84</v>
      </c>
      <c r="Q373">
        <v>3</v>
      </c>
      <c r="R373">
        <f>IF(ventas_libreria[[#This Row],[valoracion_cliente]]="","Sin valoración",ventas_libreria[[#This Row],[valoracion_cliente]])</f>
        <v>3</v>
      </c>
    </row>
    <row r="374" spans="1:18" x14ac:dyDescent="0.25">
      <c r="A374" t="s">
        <v>647</v>
      </c>
      <c r="B374" t="s">
        <v>286</v>
      </c>
      <c r="C374" t="s">
        <v>287</v>
      </c>
      <c r="D374" t="s">
        <v>288</v>
      </c>
      <c r="E374" t="s">
        <v>289</v>
      </c>
      <c r="F374">
        <f>ventas_libreria[[#This Row],[precio_eur]]/100</f>
        <v>2.19</v>
      </c>
      <c r="G374">
        <v>219</v>
      </c>
      <c r="H374">
        <v>1</v>
      </c>
      <c r="I374">
        <f>ventas_libreria[[#This Row],[precio]]*ventas_libreria[[#This Row],[cantidad]]</f>
        <v>2.19</v>
      </c>
      <c r="J374">
        <v>42</v>
      </c>
      <c r="K374" t="s">
        <v>62</v>
      </c>
      <c r="L374" s="1">
        <v>44995</v>
      </c>
      <c r="M374" t="s">
        <v>21</v>
      </c>
      <c r="N374" t="s">
        <v>22</v>
      </c>
      <c r="O374" t="s">
        <v>132</v>
      </c>
      <c r="P374" t="s">
        <v>24</v>
      </c>
      <c r="Q374">
        <v>4</v>
      </c>
      <c r="R374">
        <f>IF(ventas_libreria[[#This Row],[valoracion_cliente]]="","Sin valoración",ventas_libreria[[#This Row],[valoracion_cliente]])</f>
        <v>4</v>
      </c>
    </row>
    <row r="375" spans="1:18" x14ac:dyDescent="0.25">
      <c r="A375" t="s">
        <v>648</v>
      </c>
      <c r="B375" t="s">
        <v>446</v>
      </c>
      <c r="C375" t="s">
        <v>447</v>
      </c>
      <c r="D375" t="s">
        <v>262</v>
      </c>
      <c r="E375" t="s">
        <v>263</v>
      </c>
      <c r="F375">
        <f>ventas_libreria[[#This Row],[precio_eur]]/100</f>
        <v>21.89</v>
      </c>
      <c r="G375">
        <v>2189</v>
      </c>
      <c r="H375">
        <v>1</v>
      </c>
      <c r="I375">
        <f>ventas_libreria[[#This Row],[precio]]*ventas_libreria[[#This Row],[cantidad]]</f>
        <v>21.89</v>
      </c>
      <c r="J375">
        <v>53</v>
      </c>
      <c r="K375" t="s">
        <v>20</v>
      </c>
      <c r="L375" s="1">
        <v>45843</v>
      </c>
      <c r="M375" t="s">
        <v>43</v>
      </c>
      <c r="N375" t="s">
        <v>32</v>
      </c>
      <c r="O375" t="s">
        <v>33</v>
      </c>
      <c r="P375" t="s">
        <v>84</v>
      </c>
      <c r="Q375">
        <v>4</v>
      </c>
      <c r="R375">
        <f>IF(ventas_libreria[[#This Row],[valoracion_cliente]]="","Sin valoración",ventas_libreria[[#This Row],[valoracion_cliente]])</f>
        <v>4</v>
      </c>
    </row>
    <row r="376" spans="1:18" x14ac:dyDescent="0.25">
      <c r="A376" t="s">
        <v>649</v>
      </c>
      <c r="B376" t="s">
        <v>265</v>
      </c>
      <c r="C376" t="s">
        <v>266</v>
      </c>
      <c r="D376" t="s">
        <v>162</v>
      </c>
      <c r="E376" t="s">
        <v>29</v>
      </c>
      <c r="F376">
        <f>ventas_libreria[[#This Row],[precio_eur]]/100</f>
        <v>1.69</v>
      </c>
      <c r="G376">
        <v>169</v>
      </c>
      <c r="H376">
        <v>1</v>
      </c>
      <c r="I376">
        <f>ventas_libreria[[#This Row],[precio]]*ventas_libreria[[#This Row],[cantidad]]</f>
        <v>1.69</v>
      </c>
      <c r="J376">
        <v>73</v>
      </c>
      <c r="K376" t="s">
        <v>38</v>
      </c>
      <c r="L376" s="1">
        <v>45129</v>
      </c>
      <c r="M376" t="s">
        <v>43</v>
      </c>
      <c r="N376" t="s">
        <v>32</v>
      </c>
      <c r="O376" t="s">
        <v>33</v>
      </c>
      <c r="P376" t="s">
        <v>50</v>
      </c>
      <c r="Q376">
        <v>5</v>
      </c>
      <c r="R376">
        <f>IF(ventas_libreria[[#This Row],[valoracion_cliente]]="","Sin valoración",ventas_libreria[[#This Row],[valoracion_cliente]])</f>
        <v>5</v>
      </c>
    </row>
    <row r="377" spans="1:18" x14ac:dyDescent="0.25">
      <c r="A377" t="s">
        <v>650</v>
      </c>
      <c r="B377" t="s">
        <v>80</v>
      </c>
      <c r="C377" t="s">
        <v>81</v>
      </c>
      <c r="D377" t="s">
        <v>82</v>
      </c>
      <c r="E377" t="s">
        <v>83</v>
      </c>
      <c r="F377">
        <f>ventas_libreria[[#This Row],[precio_eur]]/100</f>
        <v>8.91</v>
      </c>
      <c r="G377">
        <v>891</v>
      </c>
      <c r="H377">
        <v>1</v>
      </c>
      <c r="I377">
        <f>ventas_libreria[[#This Row],[precio]]*ventas_libreria[[#This Row],[cantidad]]</f>
        <v>8.91</v>
      </c>
      <c r="J377">
        <v>23</v>
      </c>
      <c r="K377" t="s">
        <v>38</v>
      </c>
      <c r="L377" s="1">
        <v>45308</v>
      </c>
      <c r="M377" t="s">
        <v>31</v>
      </c>
      <c r="N377" t="s">
        <v>32</v>
      </c>
      <c r="O377" t="s">
        <v>33</v>
      </c>
      <c r="P377" t="s">
        <v>84</v>
      </c>
      <c r="Q377">
        <v>5</v>
      </c>
      <c r="R377">
        <f>IF(ventas_libreria[[#This Row],[valoracion_cliente]]="","Sin valoración",ventas_libreria[[#This Row],[valoracion_cliente]])</f>
        <v>5</v>
      </c>
    </row>
    <row r="378" spans="1:18" x14ac:dyDescent="0.25">
      <c r="A378" t="s">
        <v>651</v>
      </c>
      <c r="B378" t="s">
        <v>268</v>
      </c>
      <c r="C378" t="s">
        <v>269</v>
      </c>
      <c r="D378" t="s">
        <v>270</v>
      </c>
      <c r="E378" t="s">
        <v>83</v>
      </c>
      <c r="F378">
        <f>ventas_libreria[[#This Row],[precio_eur]]/100</f>
        <v>9.81</v>
      </c>
      <c r="G378">
        <v>981</v>
      </c>
      <c r="H378">
        <v>1</v>
      </c>
      <c r="I378">
        <f>ventas_libreria[[#This Row],[precio]]*ventas_libreria[[#This Row],[cantidad]]</f>
        <v>9.81</v>
      </c>
      <c r="J378">
        <v>62</v>
      </c>
      <c r="K378" t="s">
        <v>20</v>
      </c>
      <c r="L378" s="1">
        <v>45132</v>
      </c>
      <c r="M378" t="s">
        <v>31</v>
      </c>
      <c r="N378" t="s">
        <v>32</v>
      </c>
      <c r="O378" t="s">
        <v>33</v>
      </c>
      <c r="P378" t="s">
        <v>56</v>
      </c>
      <c r="Q378">
        <v>2</v>
      </c>
      <c r="R378">
        <f>IF(ventas_libreria[[#This Row],[valoracion_cliente]]="","Sin valoración",ventas_libreria[[#This Row],[valoracion_cliente]])</f>
        <v>2</v>
      </c>
    </row>
    <row r="379" spans="1:18" x14ac:dyDescent="0.25">
      <c r="A379" t="s">
        <v>652</v>
      </c>
      <c r="B379" t="s">
        <v>247</v>
      </c>
      <c r="C379" t="s">
        <v>248</v>
      </c>
      <c r="D379" t="s">
        <v>249</v>
      </c>
      <c r="E379" t="s">
        <v>172</v>
      </c>
      <c r="F379">
        <f>ventas_libreria[[#This Row],[precio_eur]]/100</f>
        <v>11.81</v>
      </c>
      <c r="G379">
        <v>1181</v>
      </c>
      <c r="H379">
        <v>1</v>
      </c>
      <c r="I379">
        <f>ventas_libreria[[#This Row],[precio]]*ventas_libreria[[#This Row],[cantidad]]</f>
        <v>11.81</v>
      </c>
      <c r="J379">
        <v>32</v>
      </c>
      <c r="K379" t="s">
        <v>38</v>
      </c>
      <c r="L379" s="1">
        <v>45388</v>
      </c>
      <c r="M379" t="s">
        <v>21</v>
      </c>
      <c r="N379" t="s">
        <v>32</v>
      </c>
      <c r="O379" t="s">
        <v>33</v>
      </c>
      <c r="P379" t="s">
        <v>56</v>
      </c>
      <c r="Q379">
        <v>3</v>
      </c>
      <c r="R379">
        <f>IF(ventas_libreria[[#This Row],[valoracion_cliente]]="","Sin valoración",ventas_libreria[[#This Row],[valoracion_cliente]])</f>
        <v>3</v>
      </c>
    </row>
    <row r="380" spans="1:18" x14ac:dyDescent="0.25">
      <c r="A380" t="s">
        <v>653</v>
      </c>
      <c r="B380" t="s">
        <v>58</v>
      </c>
      <c r="C380" t="s">
        <v>59</v>
      </c>
      <c r="D380" t="s">
        <v>60</v>
      </c>
      <c r="E380" t="s">
        <v>61</v>
      </c>
      <c r="F380">
        <f>ventas_libreria[[#This Row],[precio_eur]]/100</f>
        <v>13.55</v>
      </c>
      <c r="G380">
        <v>1355</v>
      </c>
      <c r="H380">
        <v>1</v>
      </c>
      <c r="I380">
        <f>ventas_libreria[[#This Row],[precio]]*ventas_libreria[[#This Row],[cantidad]]</f>
        <v>13.55</v>
      </c>
      <c r="J380">
        <v>69</v>
      </c>
      <c r="K380" t="s">
        <v>62</v>
      </c>
      <c r="L380" s="1">
        <v>45347</v>
      </c>
      <c r="M380" t="s">
        <v>31</v>
      </c>
      <c r="N380" t="s">
        <v>22</v>
      </c>
      <c r="O380" t="s">
        <v>98</v>
      </c>
      <c r="P380" t="s">
        <v>50</v>
      </c>
      <c r="Q380">
        <v>4</v>
      </c>
      <c r="R380">
        <f>IF(ventas_libreria[[#This Row],[valoracion_cliente]]="","Sin valoración",ventas_libreria[[#This Row],[valoracion_cliente]])</f>
        <v>4</v>
      </c>
    </row>
    <row r="381" spans="1:18" x14ac:dyDescent="0.25">
      <c r="A381" t="s">
        <v>654</v>
      </c>
      <c r="B381" t="s">
        <v>160</v>
      </c>
      <c r="C381" t="s">
        <v>161</v>
      </c>
      <c r="D381" t="s">
        <v>162</v>
      </c>
      <c r="E381" t="s">
        <v>29</v>
      </c>
      <c r="F381">
        <f>ventas_libreria[[#This Row],[precio_eur]]/100</f>
        <v>1.69</v>
      </c>
      <c r="G381">
        <v>169</v>
      </c>
      <c r="H381">
        <v>1</v>
      </c>
      <c r="I381">
        <f>ventas_libreria[[#This Row],[precio]]*ventas_libreria[[#This Row],[cantidad]]</f>
        <v>1.69</v>
      </c>
      <c r="J381">
        <v>70</v>
      </c>
      <c r="K381" t="s">
        <v>38</v>
      </c>
      <c r="L381" s="1">
        <v>45039</v>
      </c>
      <c r="M381" t="s">
        <v>43</v>
      </c>
      <c r="N381" t="s">
        <v>32</v>
      </c>
      <c r="O381" t="s">
        <v>33</v>
      </c>
      <c r="P381" t="s">
        <v>56</v>
      </c>
      <c r="Q381">
        <v>5</v>
      </c>
      <c r="R381">
        <f>IF(ventas_libreria[[#This Row],[valoracion_cliente]]="","Sin valoración",ventas_libreria[[#This Row],[valoracion_cliente]])</f>
        <v>5</v>
      </c>
    </row>
    <row r="382" spans="1:18" x14ac:dyDescent="0.25">
      <c r="A382" t="s">
        <v>655</v>
      </c>
      <c r="B382" t="s">
        <v>541</v>
      </c>
      <c r="C382" t="s">
        <v>542</v>
      </c>
      <c r="D382" t="s">
        <v>131</v>
      </c>
      <c r="E382" t="s">
        <v>107</v>
      </c>
      <c r="F382">
        <f>ventas_libreria[[#This Row],[precio_eur]]/100</f>
        <v>12.72</v>
      </c>
      <c r="G382">
        <v>1272</v>
      </c>
      <c r="H382">
        <v>1</v>
      </c>
      <c r="I382">
        <f>ventas_libreria[[#This Row],[precio]]*ventas_libreria[[#This Row],[cantidad]]</f>
        <v>12.72</v>
      </c>
      <c r="J382">
        <v>21</v>
      </c>
      <c r="K382" t="s">
        <v>38</v>
      </c>
      <c r="L382" s="1">
        <v>45341</v>
      </c>
      <c r="M382" t="s">
        <v>21</v>
      </c>
      <c r="N382" t="s">
        <v>22</v>
      </c>
      <c r="O382" t="s">
        <v>132</v>
      </c>
      <c r="P382" t="s">
        <v>56</v>
      </c>
      <c r="Q382">
        <v>4</v>
      </c>
      <c r="R382">
        <f>IF(ventas_libreria[[#This Row],[valoracion_cliente]]="","Sin valoración",ventas_libreria[[#This Row],[valoracion_cliente]])</f>
        <v>4</v>
      </c>
    </row>
    <row r="383" spans="1:18" x14ac:dyDescent="0.25">
      <c r="A383" t="s">
        <v>656</v>
      </c>
      <c r="B383" t="s">
        <v>109</v>
      </c>
      <c r="C383" t="s">
        <v>110</v>
      </c>
      <c r="D383" t="s">
        <v>111</v>
      </c>
      <c r="E383" t="s">
        <v>55</v>
      </c>
      <c r="F383">
        <f>ventas_libreria[[#This Row],[precio_eur]]/100</f>
        <v>15.92</v>
      </c>
      <c r="G383">
        <v>1592</v>
      </c>
      <c r="H383">
        <v>1</v>
      </c>
      <c r="I383">
        <f>ventas_libreria[[#This Row],[precio]]*ventas_libreria[[#This Row],[cantidad]]</f>
        <v>15.92</v>
      </c>
      <c r="J383">
        <v>56</v>
      </c>
      <c r="K383" t="s">
        <v>38</v>
      </c>
      <c r="L383" s="1">
        <v>45081</v>
      </c>
      <c r="M383" t="s">
        <v>31</v>
      </c>
      <c r="N383" t="s">
        <v>22</v>
      </c>
      <c r="O383" t="s">
        <v>23</v>
      </c>
      <c r="P383" t="s">
        <v>84</v>
      </c>
      <c r="Q383">
        <v>5</v>
      </c>
      <c r="R383">
        <f>IF(ventas_libreria[[#This Row],[valoracion_cliente]]="","Sin valoración",ventas_libreria[[#This Row],[valoracion_cliente]])</f>
        <v>5</v>
      </c>
    </row>
    <row r="384" spans="1:18" x14ac:dyDescent="0.25">
      <c r="A384" t="s">
        <v>657</v>
      </c>
      <c r="B384" t="s">
        <v>186</v>
      </c>
      <c r="C384" t="s">
        <v>187</v>
      </c>
      <c r="D384" t="s">
        <v>188</v>
      </c>
      <c r="E384" t="s">
        <v>189</v>
      </c>
      <c r="F384">
        <f>ventas_libreria[[#This Row],[precio_eur]]/100</f>
        <v>21.89</v>
      </c>
      <c r="G384">
        <v>2189</v>
      </c>
      <c r="H384">
        <v>1</v>
      </c>
      <c r="I384">
        <f>ventas_libreria[[#This Row],[precio]]*ventas_libreria[[#This Row],[cantidad]]</f>
        <v>21.89</v>
      </c>
      <c r="J384">
        <v>69</v>
      </c>
      <c r="K384" t="s">
        <v>62</v>
      </c>
      <c r="L384" s="1">
        <v>45775</v>
      </c>
      <c r="M384" t="s">
        <v>31</v>
      </c>
      <c r="N384" t="s">
        <v>22</v>
      </c>
      <c r="O384" t="s">
        <v>49</v>
      </c>
      <c r="P384" t="s">
        <v>50</v>
      </c>
      <c r="Q384">
        <v>5</v>
      </c>
      <c r="R384">
        <f>IF(ventas_libreria[[#This Row],[valoracion_cliente]]="","Sin valoración",ventas_libreria[[#This Row],[valoracion_cliente]])</f>
        <v>5</v>
      </c>
    </row>
    <row r="385" spans="1:18" x14ac:dyDescent="0.25">
      <c r="A385" t="s">
        <v>658</v>
      </c>
      <c r="B385" t="s">
        <v>109</v>
      </c>
      <c r="C385" t="s">
        <v>110</v>
      </c>
      <c r="D385" t="s">
        <v>111</v>
      </c>
      <c r="E385" t="s">
        <v>55</v>
      </c>
      <c r="F385">
        <f>ventas_libreria[[#This Row],[precio_eur]]/100</f>
        <v>16.91</v>
      </c>
      <c r="G385">
        <v>1691</v>
      </c>
      <c r="H385">
        <v>4</v>
      </c>
      <c r="I385">
        <f>ventas_libreria[[#This Row],[precio]]*ventas_libreria[[#This Row],[cantidad]]</f>
        <v>67.64</v>
      </c>
      <c r="J385">
        <v>70</v>
      </c>
      <c r="K385" t="s">
        <v>38</v>
      </c>
      <c r="L385" s="1">
        <v>45204</v>
      </c>
      <c r="M385" t="s">
        <v>43</v>
      </c>
      <c r="N385" t="s">
        <v>32</v>
      </c>
      <c r="O385" t="s">
        <v>33</v>
      </c>
      <c r="P385" t="s">
        <v>24</v>
      </c>
      <c r="Q385">
        <v>5</v>
      </c>
      <c r="R385">
        <f>IF(ventas_libreria[[#This Row],[valoracion_cliente]]="","Sin valoración",ventas_libreria[[#This Row],[valoracion_cliente]])</f>
        <v>5</v>
      </c>
    </row>
    <row r="386" spans="1:18" x14ac:dyDescent="0.25">
      <c r="A386" t="s">
        <v>659</v>
      </c>
      <c r="B386" t="s">
        <v>125</v>
      </c>
      <c r="C386" t="s">
        <v>126</v>
      </c>
      <c r="D386" t="s">
        <v>127</v>
      </c>
      <c r="E386" t="s">
        <v>29</v>
      </c>
      <c r="F386">
        <f>ventas_libreria[[#This Row],[precio_eur]]/100</f>
        <v>1.79</v>
      </c>
      <c r="G386">
        <v>179</v>
      </c>
      <c r="H386">
        <v>1</v>
      </c>
      <c r="I386">
        <f>ventas_libreria[[#This Row],[precio]]*ventas_libreria[[#This Row],[cantidad]]</f>
        <v>1.79</v>
      </c>
      <c r="J386">
        <v>40</v>
      </c>
      <c r="K386" t="s">
        <v>20</v>
      </c>
      <c r="L386" s="1">
        <v>45688</v>
      </c>
      <c r="M386" t="s">
        <v>43</v>
      </c>
      <c r="N386" t="s">
        <v>32</v>
      </c>
      <c r="O386" t="s">
        <v>33</v>
      </c>
      <c r="P386" t="s">
        <v>56</v>
      </c>
      <c r="Q386">
        <v>4</v>
      </c>
      <c r="R386">
        <f>IF(ventas_libreria[[#This Row],[valoracion_cliente]]="","Sin valoración",ventas_libreria[[#This Row],[valoracion_cliente]])</f>
        <v>4</v>
      </c>
    </row>
    <row r="387" spans="1:18" x14ac:dyDescent="0.25">
      <c r="A387" t="s">
        <v>660</v>
      </c>
      <c r="B387" t="s">
        <v>247</v>
      </c>
      <c r="C387" t="s">
        <v>248</v>
      </c>
      <c r="D387" t="s">
        <v>249</v>
      </c>
      <c r="E387" t="s">
        <v>172</v>
      </c>
      <c r="F387">
        <f>ventas_libreria[[#This Row],[precio_eur]]/100</f>
        <v>1.46</v>
      </c>
      <c r="G387">
        <v>146</v>
      </c>
      <c r="H387">
        <v>1</v>
      </c>
      <c r="I387">
        <f>ventas_libreria[[#This Row],[precio]]*ventas_libreria[[#This Row],[cantidad]]</f>
        <v>1.46</v>
      </c>
      <c r="J387">
        <v>39</v>
      </c>
      <c r="K387" t="s">
        <v>38</v>
      </c>
      <c r="L387" s="1">
        <v>45395</v>
      </c>
      <c r="M387" t="s">
        <v>21</v>
      </c>
      <c r="N387" t="s">
        <v>22</v>
      </c>
      <c r="O387" t="s">
        <v>23</v>
      </c>
      <c r="P387" t="s">
        <v>84</v>
      </c>
      <c r="Q387">
        <v>2</v>
      </c>
      <c r="R387">
        <f>IF(ventas_libreria[[#This Row],[valoracion_cliente]]="","Sin valoración",ventas_libreria[[#This Row],[valoracion_cliente]])</f>
        <v>2</v>
      </c>
    </row>
    <row r="388" spans="1:18" x14ac:dyDescent="0.25">
      <c r="A388" t="s">
        <v>661</v>
      </c>
      <c r="B388" t="s">
        <v>461</v>
      </c>
      <c r="C388" t="s">
        <v>462</v>
      </c>
      <c r="D388" t="s">
        <v>143</v>
      </c>
      <c r="E388" t="s">
        <v>116</v>
      </c>
      <c r="F388">
        <f>ventas_libreria[[#This Row],[precio_eur]]/100</f>
        <v>12.51</v>
      </c>
      <c r="G388">
        <v>1251</v>
      </c>
      <c r="H388">
        <v>1</v>
      </c>
      <c r="I388">
        <f>ventas_libreria[[#This Row],[precio]]*ventas_libreria[[#This Row],[cantidad]]</f>
        <v>12.51</v>
      </c>
      <c r="J388">
        <v>68</v>
      </c>
      <c r="K388" t="s">
        <v>20</v>
      </c>
      <c r="L388" s="1">
        <v>45041</v>
      </c>
      <c r="M388" t="s">
        <v>43</v>
      </c>
      <c r="N388" t="s">
        <v>32</v>
      </c>
      <c r="O388" t="s">
        <v>33</v>
      </c>
      <c r="P388" t="s">
        <v>56</v>
      </c>
      <c r="Q388">
        <v>1</v>
      </c>
      <c r="R388">
        <f>IF(ventas_libreria[[#This Row],[valoracion_cliente]]="","Sin valoración",ventas_libreria[[#This Row],[valoracion_cliente]])</f>
        <v>1</v>
      </c>
    </row>
    <row r="389" spans="1:18" x14ac:dyDescent="0.25">
      <c r="A389" t="s">
        <v>662</v>
      </c>
      <c r="B389" t="s">
        <v>224</v>
      </c>
      <c r="C389" t="s">
        <v>225</v>
      </c>
      <c r="D389" t="s">
        <v>226</v>
      </c>
      <c r="E389" t="s">
        <v>116</v>
      </c>
      <c r="F389">
        <f>ventas_libreria[[#This Row],[precio_eur]]/100</f>
        <v>26.14</v>
      </c>
      <c r="G389">
        <v>2614</v>
      </c>
      <c r="H389">
        <v>1</v>
      </c>
      <c r="I389">
        <f>ventas_libreria[[#This Row],[precio]]*ventas_libreria[[#This Row],[cantidad]]</f>
        <v>26.14</v>
      </c>
      <c r="J389">
        <v>72</v>
      </c>
      <c r="K389" t="s">
        <v>30</v>
      </c>
      <c r="L389" s="1">
        <v>45950</v>
      </c>
      <c r="M389" t="s">
        <v>21</v>
      </c>
      <c r="N389" t="s">
        <v>32</v>
      </c>
      <c r="O389" t="s">
        <v>33</v>
      </c>
      <c r="P389" t="s">
        <v>56</v>
      </c>
      <c r="R389" t="str">
        <f>IF(ventas_libreria[[#This Row],[valoracion_cliente]]="","Sin valoración",ventas_libreria[[#This Row],[valoracion_cliente]])</f>
        <v>Sin valoración</v>
      </c>
    </row>
    <row r="390" spans="1:18" x14ac:dyDescent="0.25">
      <c r="A390" t="s">
        <v>663</v>
      </c>
      <c r="B390" t="s">
        <v>461</v>
      </c>
      <c r="C390" t="s">
        <v>462</v>
      </c>
      <c r="D390" t="s">
        <v>143</v>
      </c>
      <c r="E390" t="s">
        <v>116</v>
      </c>
      <c r="F390">
        <f>ventas_libreria[[#This Row],[precio_eur]]/100</f>
        <v>1.39</v>
      </c>
      <c r="G390">
        <v>139</v>
      </c>
      <c r="H390">
        <v>2</v>
      </c>
      <c r="I390">
        <f>ventas_libreria[[#This Row],[precio]]*ventas_libreria[[#This Row],[cantidad]]</f>
        <v>2.78</v>
      </c>
      <c r="J390">
        <v>38</v>
      </c>
      <c r="K390" t="s">
        <v>30</v>
      </c>
      <c r="L390" s="1">
        <v>45148</v>
      </c>
      <c r="M390" t="s">
        <v>43</v>
      </c>
      <c r="N390" t="s">
        <v>32</v>
      </c>
      <c r="O390" t="s">
        <v>33</v>
      </c>
      <c r="P390" t="s">
        <v>50</v>
      </c>
      <c r="R390" t="str">
        <f>IF(ventas_libreria[[#This Row],[valoracion_cliente]]="","Sin valoración",ventas_libreria[[#This Row],[valoracion_cliente]])</f>
        <v>Sin valoración</v>
      </c>
    </row>
    <row r="391" spans="1:18" x14ac:dyDescent="0.25">
      <c r="A391" t="s">
        <v>664</v>
      </c>
      <c r="B391" t="s">
        <v>273</v>
      </c>
      <c r="C391" t="s">
        <v>274</v>
      </c>
      <c r="D391" t="s">
        <v>262</v>
      </c>
      <c r="E391" t="s">
        <v>263</v>
      </c>
      <c r="F391">
        <f>ventas_libreria[[#This Row],[precio_eur]]/100</f>
        <v>2.19</v>
      </c>
      <c r="G391">
        <v>219</v>
      </c>
      <c r="H391">
        <v>2</v>
      </c>
      <c r="I391">
        <f>ventas_libreria[[#This Row],[precio]]*ventas_libreria[[#This Row],[cantidad]]</f>
        <v>4.38</v>
      </c>
      <c r="J391">
        <v>71</v>
      </c>
      <c r="K391" t="s">
        <v>30</v>
      </c>
      <c r="L391" s="1">
        <v>44990</v>
      </c>
      <c r="M391" t="s">
        <v>21</v>
      </c>
      <c r="N391" t="s">
        <v>22</v>
      </c>
      <c r="O391" t="s">
        <v>132</v>
      </c>
      <c r="P391" t="s">
        <v>34</v>
      </c>
      <c r="Q391">
        <v>4</v>
      </c>
      <c r="R391">
        <f>IF(ventas_libreria[[#This Row],[valoracion_cliente]]="","Sin valoración",ventas_libreria[[#This Row],[valoracion_cliente]])</f>
        <v>4</v>
      </c>
    </row>
    <row r="392" spans="1:18" x14ac:dyDescent="0.25">
      <c r="A392" t="s">
        <v>665</v>
      </c>
      <c r="B392" t="s">
        <v>398</v>
      </c>
      <c r="C392" t="s">
        <v>399</v>
      </c>
      <c r="D392" t="s">
        <v>167</v>
      </c>
      <c r="E392" t="s">
        <v>61</v>
      </c>
      <c r="F392">
        <f>ventas_libreria[[#This Row],[precio_eur]]/100</f>
        <v>17.75</v>
      </c>
      <c r="G392">
        <v>1775</v>
      </c>
      <c r="H392">
        <v>2</v>
      </c>
      <c r="I392">
        <f>ventas_libreria[[#This Row],[precio]]*ventas_libreria[[#This Row],[cantidad]]</f>
        <v>35.5</v>
      </c>
      <c r="J392">
        <v>50</v>
      </c>
      <c r="K392" t="s">
        <v>20</v>
      </c>
      <c r="L392" s="1">
        <v>45261</v>
      </c>
      <c r="M392" t="s">
        <v>43</v>
      </c>
      <c r="N392" t="s">
        <v>32</v>
      </c>
      <c r="O392" t="s">
        <v>33</v>
      </c>
      <c r="P392" t="s">
        <v>56</v>
      </c>
      <c r="Q392">
        <v>5</v>
      </c>
      <c r="R392">
        <f>IF(ventas_libreria[[#This Row],[valoracion_cliente]]="","Sin valoración",ventas_libreria[[#This Row],[valoracion_cliente]])</f>
        <v>5</v>
      </c>
    </row>
    <row r="393" spans="1:18" x14ac:dyDescent="0.25">
      <c r="A393" t="s">
        <v>666</v>
      </c>
      <c r="B393" t="s">
        <v>45</v>
      </c>
      <c r="C393" t="s">
        <v>46</v>
      </c>
      <c r="D393" t="s">
        <v>47</v>
      </c>
      <c r="E393" t="s">
        <v>48</v>
      </c>
      <c r="F393">
        <f>ventas_libreria[[#This Row],[precio_eur]]/100</f>
        <v>1.99</v>
      </c>
      <c r="G393">
        <v>199</v>
      </c>
      <c r="H393">
        <v>1</v>
      </c>
      <c r="I393">
        <f>ventas_libreria[[#This Row],[precio]]*ventas_libreria[[#This Row],[cantidad]]</f>
        <v>1.99</v>
      </c>
      <c r="J393">
        <v>41</v>
      </c>
      <c r="K393" t="s">
        <v>62</v>
      </c>
      <c r="L393" s="1">
        <v>45520</v>
      </c>
      <c r="M393" t="s">
        <v>31</v>
      </c>
      <c r="N393" t="s">
        <v>22</v>
      </c>
      <c r="O393" t="s">
        <v>23</v>
      </c>
      <c r="P393" t="s">
        <v>84</v>
      </c>
      <c r="Q393">
        <v>5</v>
      </c>
      <c r="R393">
        <f>IF(ventas_libreria[[#This Row],[valoracion_cliente]]="","Sin valoración",ventas_libreria[[#This Row],[valoracion_cliente]])</f>
        <v>5</v>
      </c>
    </row>
    <row r="394" spans="1:18" x14ac:dyDescent="0.25">
      <c r="A394" t="s">
        <v>667</v>
      </c>
      <c r="B394" t="s">
        <v>45</v>
      </c>
      <c r="C394" t="s">
        <v>46</v>
      </c>
      <c r="D394" t="s">
        <v>47</v>
      </c>
      <c r="E394" t="s">
        <v>48</v>
      </c>
      <c r="F394">
        <f>ventas_libreria[[#This Row],[precio_eur]]/100</f>
        <v>15.92</v>
      </c>
      <c r="G394">
        <v>1592</v>
      </c>
      <c r="H394">
        <v>1</v>
      </c>
      <c r="I394">
        <f>ventas_libreria[[#This Row],[precio]]*ventas_libreria[[#This Row],[cantidad]]</f>
        <v>15.92</v>
      </c>
      <c r="J394">
        <v>25</v>
      </c>
      <c r="K394" t="s">
        <v>30</v>
      </c>
      <c r="L394" s="1">
        <v>45375</v>
      </c>
      <c r="M394" t="s">
        <v>31</v>
      </c>
      <c r="N394" t="s">
        <v>32</v>
      </c>
      <c r="O394" t="s">
        <v>33</v>
      </c>
      <c r="P394" t="s">
        <v>84</v>
      </c>
      <c r="Q394">
        <v>5</v>
      </c>
      <c r="R394">
        <f>IF(ventas_libreria[[#This Row],[valoracion_cliente]]="","Sin valoración",ventas_libreria[[#This Row],[valoracion_cliente]])</f>
        <v>5</v>
      </c>
    </row>
    <row r="395" spans="1:18" x14ac:dyDescent="0.25">
      <c r="A395" t="s">
        <v>668</v>
      </c>
      <c r="B395" t="s">
        <v>215</v>
      </c>
      <c r="C395" t="s">
        <v>216</v>
      </c>
      <c r="D395" t="s">
        <v>217</v>
      </c>
      <c r="E395" t="s">
        <v>55</v>
      </c>
      <c r="F395">
        <f>ventas_libreria[[#This Row],[precio_eur]]/100</f>
        <v>15.72</v>
      </c>
      <c r="G395">
        <v>1572</v>
      </c>
      <c r="H395">
        <v>1</v>
      </c>
      <c r="I395">
        <f>ventas_libreria[[#This Row],[precio]]*ventas_libreria[[#This Row],[cantidad]]</f>
        <v>15.72</v>
      </c>
      <c r="J395">
        <v>27</v>
      </c>
      <c r="K395" t="s">
        <v>38</v>
      </c>
      <c r="L395" s="1">
        <v>44980</v>
      </c>
      <c r="M395" t="s">
        <v>31</v>
      </c>
      <c r="N395" t="s">
        <v>22</v>
      </c>
      <c r="O395" t="s">
        <v>23</v>
      </c>
      <c r="P395" t="s">
        <v>56</v>
      </c>
      <c r="R395" t="str">
        <f>IF(ventas_libreria[[#This Row],[valoracion_cliente]]="","Sin valoración",ventas_libreria[[#This Row],[valoracion_cliente]])</f>
        <v>Sin valoración</v>
      </c>
    </row>
    <row r="396" spans="1:18" x14ac:dyDescent="0.25">
      <c r="A396" t="s">
        <v>669</v>
      </c>
      <c r="B396" t="s">
        <v>375</v>
      </c>
      <c r="C396" t="s">
        <v>376</v>
      </c>
      <c r="D396" t="s">
        <v>377</v>
      </c>
      <c r="E396" t="s">
        <v>29</v>
      </c>
      <c r="F396">
        <f>ventas_libreria[[#This Row],[precio_eur]]/100</f>
        <v>1.59</v>
      </c>
      <c r="G396">
        <v>159</v>
      </c>
      <c r="H396">
        <v>1</v>
      </c>
      <c r="I396">
        <f>ventas_libreria[[#This Row],[precio]]*ventas_libreria[[#This Row],[cantidad]]</f>
        <v>1.59</v>
      </c>
      <c r="J396">
        <v>41</v>
      </c>
      <c r="K396" t="s">
        <v>20</v>
      </c>
      <c r="L396" s="1">
        <v>45216</v>
      </c>
      <c r="M396" t="s">
        <v>43</v>
      </c>
      <c r="N396" t="s">
        <v>32</v>
      </c>
      <c r="O396" t="s">
        <v>33</v>
      </c>
      <c r="P396" t="s">
        <v>84</v>
      </c>
      <c r="Q396">
        <v>4</v>
      </c>
      <c r="R396">
        <f>IF(ventas_libreria[[#This Row],[valoracion_cliente]]="","Sin valoración",ventas_libreria[[#This Row],[valoracion_cliente]])</f>
        <v>4</v>
      </c>
    </row>
    <row r="397" spans="1:18" x14ac:dyDescent="0.25">
      <c r="A397" t="s">
        <v>670</v>
      </c>
      <c r="B397" t="s">
        <v>671</v>
      </c>
      <c r="C397" t="s">
        <v>672</v>
      </c>
      <c r="D397" t="s">
        <v>673</v>
      </c>
      <c r="E397" t="s">
        <v>116</v>
      </c>
      <c r="F397">
        <f>ventas_libreria[[#This Row],[precio_eur]]/100</f>
        <v>1.29</v>
      </c>
      <c r="G397">
        <v>129</v>
      </c>
      <c r="H397">
        <v>3</v>
      </c>
      <c r="I397">
        <f>ventas_libreria[[#This Row],[precio]]*ventas_libreria[[#This Row],[cantidad]]</f>
        <v>3.87</v>
      </c>
      <c r="J397">
        <v>16</v>
      </c>
      <c r="K397" t="s">
        <v>20</v>
      </c>
      <c r="L397" s="1">
        <v>45734</v>
      </c>
      <c r="M397" t="s">
        <v>21</v>
      </c>
      <c r="N397" t="s">
        <v>32</v>
      </c>
      <c r="O397" t="s">
        <v>33</v>
      </c>
      <c r="P397" t="s">
        <v>24</v>
      </c>
      <c r="Q397">
        <v>2</v>
      </c>
      <c r="R397">
        <f>IF(ventas_libreria[[#This Row],[valoracion_cliente]]="","Sin valoración",ventas_libreria[[#This Row],[valoracion_cliente]])</f>
        <v>2</v>
      </c>
    </row>
    <row r="398" spans="1:18" x14ac:dyDescent="0.25">
      <c r="A398" t="s">
        <v>674</v>
      </c>
      <c r="B398" t="s">
        <v>276</v>
      </c>
      <c r="C398" t="s">
        <v>277</v>
      </c>
      <c r="D398" t="s">
        <v>278</v>
      </c>
      <c r="E398" t="s">
        <v>189</v>
      </c>
      <c r="F398">
        <f>ventas_libreria[[#This Row],[precio_eur]]/100</f>
        <v>16.11</v>
      </c>
      <c r="G398">
        <v>1611</v>
      </c>
      <c r="H398">
        <v>2</v>
      </c>
      <c r="I398">
        <f>ventas_libreria[[#This Row],[precio]]*ventas_libreria[[#This Row],[cantidad]]</f>
        <v>32.22</v>
      </c>
      <c r="J398">
        <v>67</v>
      </c>
      <c r="K398" t="s">
        <v>30</v>
      </c>
      <c r="L398" s="1">
        <v>45973</v>
      </c>
      <c r="M398" t="s">
        <v>43</v>
      </c>
      <c r="N398" t="s">
        <v>32</v>
      </c>
      <c r="O398" t="s">
        <v>33</v>
      </c>
      <c r="P398" t="s">
        <v>84</v>
      </c>
      <c r="R398" t="str">
        <f>IF(ventas_libreria[[#This Row],[valoracion_cliente]]="","Sin valoración",ventas_libreria[[#This Row],[valoracion_cliente]])</f>
        <v>Sin valoración</v>
      </c>
    </row>
    <row r="399" spans="1:18" x14ac:dyDescent="0.25">
      <c r="A399" t="s">
        <v>675</v>
      </c>
      <c r="B399" t="s">
        <v>375</v>
      </c>
      <c r="C399" t="s">
        <v>376</v>
      </c>
      <c r="D399" t="s">
        <v>377</v>
      </c>
      <c r="E399" t="s">
        <v>29</v>
      </c>
      <c r="F399">
        <f>ventas_libreria[[#This Row],[precio_eur]]/100</f>
        <v>1.59</v>
      </c>
      <c r="G399">
        <v>159</v>
      </c>
      <c r="H399">
        <v>1</v>
      </c>
      <c r="I399">
        <f>ventas_libreria[[#This Row],[precio]]*ventas_libreria[[#This Row],[cantidad]]</f>
        <v>1.59</v>
      </c>
      <c r="J399">
        <v>47</v>
      </c>
      <c r="K399" t="s">
        <v>38</v>
      </c>
      <c r="L399" s="1">
        <v>45280</v>
      </c>
      <c r="M399" t="s">
        <v>21</v>
      </c>
      <c r="N399" t="s">
        <v>22</v>
      </c>
      <c r="O399" t="s">
        <v>132</v>
      </c>
      <c r="P399" t="s">
        <v>34</v>
      </c>
      <c r="Q399">
        <v>5</v>
      </c>
      <c r="R399">
        <f>IF(ventas_libreria[[#This Row],[valoracion_cliente]]="","Sin valoración",ventas_libreria[[#This Row],[valoracion_cliente]])</f>
        <v>5</v>
      </c>
    </row>
    <row r="400" spans="1:18" x14ac:dyDescent="0.25">
      <c r="A400" t="s">
        <v>676</v>
      </c>
      <c r="B400" t="s">
        <v>332</v>
      </c>
      <c r="C400" t="s">
        <v>333</v>
      </c>
      <c r="D400" t="s">
        <v>334</v>
      </c>
      <c r="E400" t="s">
        <v>116</v>
      </c>
      <c r="F400">
        <f>ventas_libreria[[#This Row],[precio_eur]]/100</f>
        <v>1.69</v>
      </c>
      <c r="G400">
        <v>169</v>
      </c>
      <c r="H400">
        <v>4</v>
      </c>
      <c r="I400">
        <f>ventas_libreria[[#This Row],[precio]]*ventas_libreria[[#This Row],[cantidad]]</f>
        <v>6.76</v>
      </c>
      <c r="J400">
        <v>25</v>
      </c>
      <c r="K400" t="s">
        <v>38</v>
      </c>
      <c r="L400" s="1">
        <v>45937</v>
      </c>
      <c r="M400" t="s">
        <v>21</v>
      </c>
      <c r="N400" t="s">
        <v>32</v>
      </c>
      <c r="O400" t="s">
        <v>33</v>
      </c>
      <c r="P400" t="s">
        <v>50</v>
      </c>
      <c r="Q400">
        <v>4</v>
      </c>
      <c r="R400">
        <f>IF(ventas_libreria[[#This Row],[valoracion_cliente]]="","Sin valoración",ventas_libreria[[#This Row],[valoracion_cliente]])</f>
        <v>4</v>
      </c>
    </row>
    <row r="401" spans="1:18" x14ac:dyDescent="0.25">
      <c r="A401" t="s">
        <v>677</v>
      </c>
      <c r="B401" t="s">
        <v>40</v>
      </c>
      <c r="C401" t="s">
        <v>41</v>
      </c>
      <c r="D401" t="s">
        <v>42</v>
      </c>
      <c r="E401" t="s">
        <v>19</v>
      </c>
      <c r="F401">
        <f>ventas_libreria[[#This Row],[precio_eur]]/100</f>
        <v>11.61</v>
      </c>
      <c r="G401">
        <v>1161</v>
      </c>
      <c r="H401">
        <v>1</v>
      </c>
      <c r="I401">
        <f>ventas_libreria[[#This Row],[precio]]*ventas_libreria[[#This Row],[cantidad]]</f>
        <v>11.61</v>
      </c>
      <c r="J401">
        <v>47</v>
      </c>
      <c r="K401" t="s">
        <v>20</v>
      </c>
      <c r="L401" s="1">
        <v>45402</v>
      </c>
      <c r="M401" t="s">
        <v>31</v>
      </c>
      <c r="N401" t="s">
        <v>32</v>
      </c>
      <c r="O401" t="s">
        <v>33</v>
      </c>
      <c r="P401" t="s">
        <v>34</v>
      </c>
      <c r="Q401">
        <v>5</v>
      </c>
      <c r="R401">
        <f>IF(ventas_libreria[[#This Row],[valoracion_cliente]]="","Sin valoración",ventas_libreria[[#This Row],[valoracion_cliente]])</f>
        <v>5</v>
      </c>
    </row>
    <row r="402" spans="1:18" x14ac:dyDescent="0.25">
      <c r="A402" t="s">
        <v>678</v>
      </c>
      <c r="B402" t="s">
        <v>466</v>
      </c>
      <c r="C402" t="s">
        <v>467</v>
      </c>
      <c r="D402" t="s">
        <v>468</v>
      </c>
      <c r="E402" t="s">
        <v>154</v>
      </c>
      <c r="F402">
        <f>ventas_libreria[[#This Row],[precio_eur]]/100</f>
        <v>19.84</v>
      </c>
      <c r="G402">
        <v>1984</v>
      </c>
      <c r="H402">
        <v>1</v>
      </c>
      <c r="I402">
        <f>ventas_libreria[[#This Row],[precio]]*ventas_libreria[[#This Row],[cantidad]]</f>
        <v>19.84</v>
      </c>
      <c r="J402">
        <v>17</v>
      </c>
      <c r="K402" t="s">
        <v>38</v>
      </c>
      <c r="L402" s="1">
        <v>45388</v>
      </c>
      <c r="M402" t="s">
        <v>31</v>
      </c>
      <c r="N402" t="s">
        <v>32</v>
      </c>
      <c r="O402" t="s">
        <v>33</v>
      </c>
      <c r="P402" t="s">
        <v>56</v>
      </c>
      <c r="Q402">
        <v>5</v>
      </c>
      <c r="R402">
        <f>IF(ventas_libreria[[#This Row],[valoracion_cliente]]="","Sin valoración",ventas_libreria[[#This Row],[valoracion_cliente]])</f>
        <v>5</v>
      </c>
    </row>
    <row r="403" spans="1:18" x14ac:dyDescent="0.25">
      <c r="A403" t="s">
        <v>679</v>
      </c>
      <c r="B403" t="s">
        <v>418</v>
      </c>
      <c r="C403" t="s">
        <v>419</v>
      </c>
      <c r="D403" t="s">
        <v>420</v>
      </c>
      <c r="E403" t="s">
        <v>149</v>
      </c>
      <c r="F403">
        <f>ventas_libreria[[#This Row],[precio_eur]]/100</f>
        <v>1.69</v>
      </c>
      <c r="G403">
        <v>169</v>
      </c>
      <c r="H403">
        <v>2</v>
      </c>
      <c r="I403">
        <f>ventas_libreria[[#This Row],[precio]]*ventas_libreria[[#This Row],[cantidad]]</f>
        <v>3.38</v>
      </c>
      <c r="J403">
        <v>20</v>
      </c>
      <c r="K403" t="s">
        <v>20</v>
      </c>
      <c r="L403" s="1">
        <v>45060</v>
      </c>
      <c r="M403" t="s">
        <v>21</v>
      </c>
      <c r="N403" t="s">
        <v>22</v>
      </c>
      <c r="O403" t="s">
        <v>49</v>
      </c>
      <c r="P403" t="s">
        <v>84</v>
      </c>
      <c r="Q403">
        <v>4</v>
      </c>
      <c r="R403">
        <f>IF(ventas_libreria[[#This Row],[valoracion_cliente]]="","Sin valoración",ventas_libreria[[#This Row],[valoracion_cliente]])</f>
        <v>4</v>
      </c>
    </row>
    <row r="404" spans="1:18" x14ac:dyDescent="0.25">
      <c r="A404" t="s">
        <v>680</v>
      </c>
      <c r="B404" t="s">
        <v>204</v>
      </c>
      <c r="C404" t="s">
        <v>205</v>
      </c>
      <c r="D404" t="s">
        <v>206</v>
      </c>
      <c r="E404" t="s">
        <v>116</v>
      </c>
      <c r="F404">
        <f>ventas_libreria[[#This Row],[precio_eur]]/100</f>
        <v>1.29</v>
      </c>
      <c r="G404">
        <v>129</v>
      </c>
      <c r="H404">
        <v>2</v>
      </c>
      <c r="I404">
        <f>ventas_libreria[[#This Row],[precio]]*ventas_libreria[[#This Row],[cantidad]]</f>
        <v>2.58</v>
      </c>
      <c r="J404">
        <v>50</v>
      </c>
      <c r="K404" t="s">
        <v>38</v>
      </c>
      <c r="L404" s="1">
        <v>45307</v>
      </c>
      <c r="M404" t="s">
        <v>43</v>
      </c>
      <c r="N404" t="s">
        <v>32</v>
      </c>
      <c r="O404" t="s">
        <v>33</v>
      </c>
      <c r="P404" t="s">
        <v>56</v>
      </c>
      <c r="Q404">
        <v>5</v>
      </c>
      <c r="R404">
        <f>IF(ventas_libreria[[#This Row],[valoracion_cliente]]="","Sin valoración",ventas_libreria[[#This Row],[valoracion_cliente]])</f>
        <v>5</v>
      </c>
    </row>
    <row r="405" spans="1:18" x14ac:dyDescent="0.25">
      <c r="A405" t="s">
        <v>681</v>
      </c>
      <c r="B405" t="s">
        <v>113</v>
      </c>
      <c r="C405" t="s">
        <v>114</v>
      </c>
      <c r="D405" t="s">
        <v>115</v>
      </c>
      <c r="E405" t="s">
        <v>116</v>
      </c>
      <c r="F405">
        <f>ventas_libreria[[#This Row],[precio_eur]]/100</f>
        <v>11.12</v>
      </c>
      <c r="G405">
        <v>1112</v>
      </c>
      <c r="H405">
        <v>1</v>
      </c>
      <c r="I405">
        <f>ventas_libreria[[#This Row],[precio]]*ventas_libreria[[#This Row],[cantidad]]</f>
        <v>11.12</v>
      </c>
      <c r="J405">
        <v>17</v>
      </c>
      <c r="K405" t="s">
        <v>38</v>
      </c>
      <c r="L405" s="1">
        <v>45461</v>
      </c>
      <c r="M405" t="s">
        <v>21</v>
      </c>
      <c r="N405" t="s">
        <v>22</v>
      </c>
      <c r="O405" t="s">
        <v>67</v>
      </c>
      <c r="P405" t="s">
        <v>24</v>
      </c>
      <c r="Q405">
        <v>4</v>
      </c>
      <c r="R405">
        <f>IF(ventas_libreria[[#This Row],[valoracion_cliente]]="","Sin valoración",ventas_libreria[[#This Row],[valoracion_cliente]])</f>
        <v>4</v>
      </c>
    </row>
    <row r="406" spans="1:18" x14ac:dyDescent="0.25">
      <c r="A406" t="s">
        <v>682</v>
      </c>
      <c r="B406" t="s">
        <v>215</v>
      </c>
      <c r="C406" t="s">
        <v>216</v>
      </c>
      <c r="D406" t="s">
        <v>217</v>
      </c>
      <c r="E406" t="s">
        <v>55</v>
      </c>
      <c r="F406">
        <f>ventas_libreria[[#This Row],[precio_eur]]/100</f>
        <v>1.85</v>
      </c>
      <c r="G406">
        <v>185</v>
      </c>
      <c r="H406">
        <v>1</v>
      </c>
      <c r="I406">
        <f>ventas_libreria[[#This Row],[precio]]*ventas_libreria[[#This Row],[cantidad]]</f>
        <v>1.85</v>
      </c>
      <c r="J406">
        <v>18</v>
      </c>
      <c r="K406" t="s">
        <v>62</v>
      </c>
      <c r="L406" s="1">
        <v>45348</v>
      </c>
      <c r="M406" t="s">
        <v>43</v>
      </c>
      <c r="N406" t="s">
        <v>32</v>
      </c>
      <c r="O406" t="s">
        <v>33</v>
      </c>
      <c r="P406" t="s">
        <v>34</v>
      </c>
      <c r="Q406">
        <v>4</v>
      </c>
      <c r="R406">
        <f>IF(ventas_libreria[[#This Row],[valoracion_cliente]]="","Sin valoración",ventas_libreria[[#This Row],[valoracion_cliente]])</f>
        <v>4</v>
      </c>
    </row>
    <row r="407" spans="1:18" x14ac:dyDescent="0.25">
      <c r="A407" t="s">
        <v>683</v>
      </c>
      <c r="B407" t="s">
        <v>52</v>
      </c>
      <c r="C407" t="s">
        <v>53</v>
      </c>
      <c r="D407" t="s">
        <v>54</v>
      </c>
      <c r="E407" t="s">
        <v>55</v>
      </c>
      <c r="F407">
        <f>ventas_libreria[[#This Row],[precio_eur]]/100</f>
        <v>1</v>
      </c>
      <c r="G407">
        <v>100</v>
      </c>
      <c r="H407">
        <v>3</v>
      </c>
      <c r="I407">
        <f>ventas_libreria[[#This Row],[precio]]*ventas_libreria[[#This Row],[cantidad]]</f>
        <v>3</v>
      </c>
      <c r="J407">
        <v>52</v>
      </c>
      <c r="K407" t="s">
        <v>20</v>
      </c>
      <c r="L407" s="1">
        <v>45236</v>
      </c>
      <c r="M407" t="s">
        <v>31</v>
      </c>
      <c r="N407" t="s">
        <v>32</v>
      </c>
      <c r="O407" t="s">
        <v>33</v>
      </c>
      <c r="P407" t="s">
        <v>34</v>
      </c>
      <c r="R407" t="str">
        <f>IF(ventas_libreria[[#This Row],[valoracion_cliente]]="","Sin valoración",ventas_libreria[[#This Row],[valoracion_cliente]])</f>
        <v>Sin valoración</v>
      </c>
    </row>
    <row r="408" spans="1:18" x14ac:dyDescent="0.25">
      <c r="A408" t="s">
        <v>684</v>
      </c>
      <c r="B408" t="s">
        <v>273</v>
      </c>
      <c r="C408" t="s">
        <v>274</v>
      </c>
      <c r="D408" t="s">
        <v>262</v>
      </c>
      <c r="E408" t="s">
        <v>263</v>
      </c>
      <c r="F408">
        <f>ventas_libreria[[#This Row],[precio_eur]]/100</f>
        <v>2.19</v>
      </c>
      <c r="G408">
        <v>219</v>
      </c>
      <c r="H408">
        <v>1</v>
      </c>
      <c r="I408">
        <f>ventas_libreria[[#This Row],[precio]]*ventas_libreria[[#This Row],[cantidad]]</f>
        <v>2.19</v>
      </c>
      <c r="J408">
        <v>31</v>
      </c>
      <c r="K408" t="s">
        <v>20</v>
      </c>
      <c r="L408" s="1">
        <v>45535</v>
      </c>
      <c r="M408" t="s">
        <v>21</v>
      </c>
      <c r="N408" t="s">
        <v>22</v>
      </c>
      <c r="O408" t="s">
        <v>132</v>
      </c>
      <c r="P408" t="s">
        <v>34</v>
      </c>
      <c r="Q408">
        <v>4</v>
      </c>
      <c r="R408">
        <f>IF(ventas_libreria[[#This Row],[valoracion_cliente]]="","Sin valoración",ventas_libreria[[#This Row],[valoracion_cliente]])</f>
        <v>4</v>
      </c>
    </row>
    <row r="409" spans="1:18" x14ac:dyDescent="0.25">
      <c r="A409" t="s">
        <v>685</v>
      </c>
      <c r="B409" t="s">
        <v>332</v>
      </c>
      <c r="C409" t="s">
        <v>333</v>
      </c>
      <c r="D409" t="s">
        <v>334</v>
      </c>
      <c r="E409" t="s">
        <v>116</v>
      </c>
      <c r="F409">
        <f>ventas_libreria[[#This Row],[precio_eur]]/100</f>
        <v>1.69</v>
      </c>
      <c r="G409">
        <v>169</v>
      </c>
      <c r="H409">
        <v>2</v>
      </c>
      <c r="I409">
        <f>ventas_libreria[[#This Row],[precio]]*ventas_libreria[[#This Row],[cantidad]]</f>
        <v>3.38</v>
      </c>
      <c r="J409">
        <v>33</v>
      </c>
      <c r="K409" t="s">
        <v>30</v>
      </c>
      <c r="L409" s="1">
        <v>45090</v>
      </c>
      <c r="M409" t="s">
        <v>43</v>
      </c>
      <c r="N409" t="s">
        <v>32</v>
      </c>
      <c r="O409" t="s">
        <v>33</v>
      </c>
      <c r="P409" t="s">
        <v>84</v>
      </c>
      <c r="Q409">
        <v>5</v>
      </c>
      <c r="R409">
        <f>IF(ventas_libreria[[#This Row],[valoracion_cliente]]="","Sin valoración",ventas_libreria[[#This Row],[valoracion_cliente]])</f>
        <v>5</v>
      </c>
    </row>
    <row r="410" spans="1:18" x14ac:dyDescent="0.25">
      <c r="A410" t="s">
        <v>686</v>
      </c>
      <c r="B410" t="s">
        <v>375</v>
      </c>
      <c r="C410" t="s">
        <v>376</v>
      </c>
      <c r="D410" t="s">
        <v>377</v>
      </c>
      <c r="E410" t="s">
        <v>29</v>
      </c>
      <c r="F410">
        <f>ventas_libreria[[#This Row],[precio_eur]]/100</f>
        <v>1.59</v>
      </c>
      <c r="G410">
        <v>159</v>
      </c>
      <c r="H410">
        <v>2</v>
      </c>
      <c r="I410">
        <f>ventas_libreria[[#This Row],[precio]]*ventas_libreria[[#This Row],[cantidad]]</f>
        <v>3.18</v>
      </c>
      <c r="J410">
        <v>41</v>
      </c>
      <c r="K410" t="s">
        <v>30</v>
      </c>
      <c r="L410" s="1">
        <v>45615</v>
      </c>
      <c r="M410" t="s">
        <v>31</v>
      </c>
      <c r="N410" t="s">
        <v>32</v>
      </c>
      <c r="O410" t="s">
        <v>33</v>
      </c>
      <c r="P410" t="s">
        <v>50</v>
      </c>
      <c r="Q410">
        <v>4</v>
      </c>
      <c r="R410">
        <f>IF(ventas_libreria[[#This Row],[valoracion_cliente]]="","Sin valoración",ventas_libreria[[#This Row],[valoracion_cliente]])</f>
        <v>4</v>
      </c>
    </row>
    <row r="411" spans="1:18" x14ac:dyDescent="0.25">
      <c r="A411" t="s">
        <v>687</v>
      </c>
      <c r="B411" t="s">
        <v>64</v>
      </c>
      <c r="C411" t="s">
        <v>65</v>
      </c>
      <c r="D411" t="s">
        <v>66</v>
      </c>
      <c r="E411" t="s">
        <v>29</v>
      </c>
      <c r="F411">
        <f>ventas_libreria[[#This Row],[precio_eur]]/100</f>
        <v>17.32</v>
      </c>
      <c r="G411">
        <v>1732</v>
      </c>
      <c r="H411">
        <v>1</v>
      </c>
      <c r="I411">
        <f>ventas_libreria[[#This Row],[precio]]*ventas_libreria[[#This Row],[cantidad]]</f>
        <v>17.32</v>
      </c>
      <c r="J411">
        <v>44</v>
      </c>
      <c r="K411" t="s">
        <v>20</v>
      </c>
      <c r="L411" s="1">
        <v>45444</v>
      </c>
      <c r="M411" t="s">
        <v>21</v>
      </c>
      <c r="N411" t="s">
        <v>32</v>
      </c>
      <c r="O411" t="s">
        <v>33</v>
      </c>
      <c r="P411" t="s">
        <v>24</v>
      </c>
      <c r="Q411">
        <v>5</v>
      </c>
      <c r="R411">
        <f>IF(ventas_libreria[[#This Row],[valoracion_cliente]]="","Sin valoración",ventas_libreria[[#This Row],[valoracion_cliente]])</f>
        <v>5</v>
      </c>
    </row>
    <row r="412" spans="1:18" x14ac:dyDescent="0.25">
      <c r="A412" t="s">
        <v>688</v>
      </c>
      <c r="B412" t="s">
        <v>530</v>
      </c>
      <c r="C412" t="s">
        <v>531</v>
      </c>
      <c r="D412" t="s">
        <v>195</v>
      </c>
      <c r="E412" t="s">
        <v>48</v>
      </c>
      <c r="F412">
        <f>ventas_libreria[[#This Row],[precio_eur]]/100</f>
        <v>16.91</v>
      </c>
      <c r="G412">
        <v>1691</v>
      </c>
      <c r="H412">
        <v>2</v>
      </c>
      <c r="I412">
        <f>ventas_libreria[[#This Row],[precio]]*ventas_libreria[[#This Row],[cantidad]]</f>
        <v>33.82</v>
      </c>
      <c r="J412">
        <v>56</v>
      </c>
      <c r="K412" t="s">
        <v>38</v>
      </c>
      <c r="L412" s="1">
        <v>45585</v>
      </c>
      <c r="M412" t="s">
        <v>21</v>
      </c>
      <c r="N412" t="s">
        <v>32</v>
      </c>
      <c r="O412" t="s">
        <v>33</v>
      </c>
      <c r="P412" t="s">
        <v>56</v>
      </c>
      <c r="Q412">
        <v>5</v>
      </c>
      <c r="R412">
        <f>IF(ventas_libreria[[#This Row],[valoracion_cliente]]="","Sin valoración",ventas_libreria[[#This Row],[valoracion_cliente]])</f>
        <v>5</v>
      </c>
    </row>
    <row r="413" spans="1:18" x14ac:dyDescent="0.25">
      <c r="A413" t="s">
        <v>689</v>
      </c>
      <c r="B413" t="s">
        <v>104</v>
      </c>
      <c r="C413" t="s">
        <v>105</v>
      </c>
      <c r="D413" t="s">
        <v>106</v>
      </c>
      <c r="E413" t="s">
        <v>107</v>
      </c>
      <c r="F413">
        <f>ventas_libreria[[#This Row],[precio_eur]]/100</f>
        <v>15.65</v>
      </c>
      <c r="G413">
        <v>1565</v>
      </c>
      <c r="H413">
        <v>1</v>
      </c>
      <c r="I413">
        <f>ventas_libreria[[#This Row],[precio]]*ventas_libreria[[#This Row],[cantidad]]</f>
        <v>15.65</v>
      </c>
      <c r="J413">
        <v>18</v>
      </c>
      <c r="K413" t="s">
        <v>38</v>
      </c>
      <c r="L413" s="1">
        <v>45502</v>
      </c>
      <c r="M413" t="s">
        <v>43</v>
      </c>
      <c r="N413" t="s">
        <v>32</v>
      </c>
      <c r="O413" t="s">
        <v>33</v>
      </c>
      <c r="P413" t="s">
        <v>84</v>
      </c>
      <c r="Q413">
        <v>5</v>
      </c>
      <c r="R413">
        <f>IF(ventas_libreria[[#This Row],[valoracion_cliente]]="","Sin valoración",ventas_libreria[[#This Row],[valoracion_cliente]])</f>
        <v>5</v>
      </c>
    </row>
    <row r="414" spans="1:18" x14ac:dyDescent="0.25">
      <c r="A414" t="s">
        <v>690</v>
      </c>
      <c r="B414" t="s">
        <v>129</v>
      </c>
      <c r="C414" t="s">
        <v>130</v>
      </c>
      <c r="D414" t="s">
        <v>131</v>
      </c>
      <c r="E414" t="s">
        <v>107</v>
      </c>
      <c r="F414">
        <f>ventas_libreria[[#This Row],[precio_eur]]/100</f>
        <v>12.72</v>
      </c>
      <c r="G414">
        <v>1272</v>
      </c>
      <c r="H414">
        <v>2</v>
      </c>
      <c r="I414">
        <f>ventas_libreria[[#This Row],[precio]]*ventas_libreria[[#This Row],[cantidad]]</f>
        <v>25.44</v>
      </c>
      <c r="J414">
        <v>22</v>
      </c>
      <c r="K414" t="s">
        <v>38</v>
      </c>
      <c r="L414" s="1">
        <v>45340</v>
      </c>
      <c r="M414" t="s">
        <v>43</v>
      </c>
      <c r="N414" t="s">
        <v>32</v>
      </c>
      <c r="O414" t="s">
        <v>33</v>
      </c>
      <c r="P414" t="s">
        <v>24</v>
      </c>
      <c r="R414" t="str">
        <f>IF(ventas_libreria[[#This Row],[valoracion_cliente]]="","Sin valoración",ventas_libreria[[#This Row],[valoracion_cliente]])</f>
        <v>Sin valoración</v>
      </c>
    </row>
    <row r="415" spans="1:18" x14ac:dyDescent="0.25">
      <c r="A415" t="s">
        <v>691</v>
      </c>
      <c r="B415" t="s">
        <v>296</v>
      </c>
      <c r="C415" t="s">
        <v>297</v>
      </c>
      <c r="D415" t="s">
        <v>298</v>
      </c>
      <c r="E415" t="s">
        <v>154</v>
      </c>
      <c r="F415">
        <f>ventas_libreria[[#This Row],[precio_eur]]/100</f>
        <v>18.79</v>
      </c>
      <c r="G415">
        <v>1879</v>
      </c>
      <c r="H415">
        <v>1</v>
      </c>
      <c r="I415">
        <f>ventas_libreria[[#This Row],[precio]]*ventas_libreria[[#This Row],[cantidad]]</f>
        <v>18.79</v>
      </c>
      <c r="J415">
        <v>72</v>
      </c>
      <c r="K415" t="s">
        <v>38</v>
      </c>
      <c r="L415" s="1">
        <v>45596</v>
      </c>
      <c r="M415" t="s">
        <v>43</v>
      </c>
      <c r="N415" t="s">
        <v>32</v>
      </c>
      <c r="O415" t="s">
        <v>33</v>
      </c>
      <c r="P415" t="s">
        <v>24</v>
      </c>
      <c r="Q415">
        <v>3</v>
      </c>
      <c r="R415">
        <f>IF(ventas_libreria[[#This Row],[valoracion_cliente]]="","Sin valoración",ventas_libreria[[#This Row],[valoracion_cliente]])</f>
        <v>3</v>
      </c>
    </row>
    <row r="416" spans="1:18" x14ac:dyDescent="0.25">
      <c r="A416" t="s">
        <v>692</v>
      </c>
      <c r="B416" t="s">
        <v>403</v>
      </c>
      <c r="C416" t="s">
        <v>404</v>
      </c>
      <c r="D416" t="s">
        <v>123</v>
      </c>
      <c r="E416" t="s">
        <v>48</v>
      </c>
      <c r="F416">
        <f>ventas_libreria[[#This Row],[precio_eur]]/100</f>
        <v>2.99</v>
      </c>
      <c r="G416">
        <v>299</v>
      </c>
      <c r="H416">
        <v>1</v>
      </c>
      <c r="I416">
        <f>ventas_libreria[[#This Row],[precio]]*ventas_libreria[[#This Row],[cantidad]]</f>
        <v>2.99</v>
      </c>
      <c r="J416">
        <v>59</v>
      </c>
      <c r="K416" t="s">
        <v>62</v>
      </c>
      <c r="L416" s="1">
        <v>45646</v>
      </c>
      <c r="M416" t="s">
        <v>21</v>
      </c>
      <c r="N416" t="s">
        <v>32</v>
      </c>
      <c r="O416" t="s">
        <v>33</v>
      </c>
      <c r="P416" t="s">
        <v>56</v>
      </c>
      <c r="Q416">
        <v>5</v>
      </c>
      <c r="R416">
        <f>IF(ventas_libreria[[#This Row],[valoracion_cliente]]="","Sin valoración",ventas_libreria[[#This Row],[valoracion_cliente]])</f>
        <v>5</v>
      </c>
    </row>
    <row r="417" spans="1:18" x14ac:dyDescent="0.25">
      <c r="A417" t="s">
        <v>693</v>
      </c>
      <c r="B417" t="s">
        <v>186</v>
      </c>
      <c r="C417" t="s">
        <v>187</v>
      </c>
      <c r="D417" t="s">
        <v>188</v>
      </c>
      <c r="E417" t="s">
        <v>189</v>
      </c>
      <c r="F417">
        <f>ventas_libreria[[#This Row],[precio_eur]]/100</f>
        <v>16.91</v>
      </c>
      <c r="G417">
        <v>1691</v>
      </c>
      <c r="H417">
        <v>1</v>
      </c>
      <c r="I417">
        <f>ventas_libreria[[#This Row],[precio]]*ventas_libreria[[#This Row],[cantidad]]</f>
        <v>16.91</v>
      </c>
      <c r="J417">
        <v>74</v>
      </c>
      <c r="K417" t="s">
        <v>30</v>
      </c>
      <c r="L417" s="1">
        <v>45729</v>
      </c>
      <c r="M417" t="s">
        <v>21</v>
      </c>
      <c r="N417" t="s">
        <v>22</v>
      </c>
      <c r="O417" t="s">
        <v>67</v>
      </c>
      <c r="P417" t="s">
        <v>34</v>
      </c>
      <c r="Q417">
        <v>2</v>
      </c>
      <c r="R417">
        <f>IF(ventas_libreria[[#This Row],[valoracion_cliente]]="","Sin valoración",ventas_libreria[[#This Row],[valoracion_cliente]])</f>
        <v>2</v>
      </c>
    </row>
    <row r="418" spans="1:18" x14ac:dyDescent="0.25">
      <c r="A418" t="s">
        <v>694</v>
      </c>
      <c r="B418" t="s">
        <v>254</v>
      </c>
      <c r="C418" t="s">
        <v>255</v>
      </c>
      <c r="D418" t="s">
        <v>139</v>
      </c>
      <c r="E418" t="s">
        <v>116</v>
      </c>
      <c r="F418">
        <f>ventas_libreria[[#This Row],[precio_eur]]/100</f>
        <v>12.66</v>
      </c>
      <c r="G418">
        <v>1266</v>
      </c>
      <c r="H418">
        <v>1</v>
      </c>
      <c r="I418">
        <f>ventas_libreria[[#This Row],[precio]]*ventas_libreria[[#This Row],[cantidad]]</f>
        <v>12.66</v>
      </c>
      <c r="J418">
        <v>53</v>
      </c>
      <c r="K418" t="s">
        <v>62</v>
      </c>
      <c r="L418" s="1">
        <v>45122</v>
      </c>
      <c r="M418" t="s">
        <v>31</v>
      </c>
      <c r="N418" t="s">
        <v>22</v>
      </c>
      <c r="O418" t="s">
        <v>67</v>
      </c>
      <c r="P418" t="s">
        <v>84</v>
      </c>
      <c r="Q418">
        <v>3</v>
      </c>
      <c r="R418">
        <f>IF(ventas_libreria[[#This Row],[valoracion_cliente]]="","Sin valoración",ventas_libreria[[#This Row],[valoracion_cliente]])</f>
        <v>3</v>
      </c>
    </row>
    <row r="419" spans="1:18" x14ac:dyDescent="0.25">
      <c r="A419" t="s">
        <v>695</v>
      </c>
      <c r="B419" t="s">
        <v>80</v>
      </c>
      <c r="C419" t="s">
        <v>81</v>
      </c>
      <c r="D419" t="s">
        <v>82</v>
      </c>
      <c r="E419" t="s">
        <v>83</v>
      </c>
      <c r="F419">
        <f>ventas_libreria[[#This Row],[precio_eur]]/100</f>
        <v>0.99</v>
      </c>
      <c r="G419">
        <v>99</v>
      </c>
      <c r="H419">
        <v>1</v>
      </c>
      <c r="I419">
        <f>ventas_libreria[[#This Row],[precio]]*ventas_libreria[[#This Row],[cantidad]]</f>
        <v>0.99</v>
      </c>
      <c r="J419">
        <v>73</v>
      </c>
      <c r="K419" t="s">
        <v>62</v>
      </c>
      <c r="L419" s="1">
        <v>45179</v>
      </c>
      <c r="M419" t="s">
        <v>43</v>
      </c>
      <c r="N419" t="s">
        <v>32</v>
      </c>
      <c r="O419" t="s">
        <v>33</v>
      </c>
      <c r="P419" t="s">
        <v>56</v>
      </c>
      <c r="Q419">
        <v>3</v>
      </c>
      <c r="R419">
        <f>IF(ventas_libreria[[#This Row],[valoracion_cliente]]="","Sin valoración",ventas_libreria[[#This Row],[valoracion_cliente]])</f>
        <v>3</v>
      </c>
    </row>
    <row r="420" spans="1:18" x14ac:dyDescent="0.25">
      <c r="A420" t="s">
        <v>696</v>
      </c>
      <c r="B420" t="s">
        <v>204</v>
      </c>
      <c r="C420" t="s">
        <v>205</v>
      </c>
      <c r="D420" t="s">
        <v>206</v>
      </c>
      <c r="E420" t="s">
        <v>116</v>
      </c>
      <c r="F420">
        <f>ventas_libreria[[#This Row],[precio_eur]]/100</f>
        <v>1.29</v>
      </c>
      <c r="G420">
        <v>129</v>
      </c>
      <c r="H420">
        <v>1</v>
      </c>
      <c r="I420">
        <f>ventas_libreria[[#This Row],[precio]]*ventas_libreria[[#This Row],[cantidad]]</f>
        <v>1.29</v>
      </c>
      <c r="J420">
        <v>53</v>
      </c>
      <c r="K420" t="s">
        <v>30</v>
      </c>
      <c r="L420" s="1">
        <v>45336</v>
      </c>
      <c r="M420" t="s">
        <v>31</v>
      </c>
      <c r="N420" t="s">
        <v>32</v>
      </c>
      <c r="O420" t="s">
        <v>33</v>
      </c>
      <c r="P420" t="s">
        <v>34</v>
      </c>
      <c r="Q420">
        <v>5</v>
      </c>
      <c r="R420">
        <f>IF(ventas_libreria[[#This Row],[valoracion_cliente]]="","Sin valoración",ventas_libreria[[#This Row],[valoracion_cliente]])</f>
        <v>5</v>
      </c>
    </row>
    <row r="421" spans="1:18" x14ac:dyDescent="0.25">
      <c r="A421" t="s">
        <v>697</v>
      </c>
      <c r="B421" t="s">
        <v>413</v>
      </c>
      <c r="C421" t="s">
        <v>414</v>
      </c>
      <c r="D421" t="s">
        <v>270</v>
      </c>
      <c r="E421" t="s">
        <v>415</v>
      </c>
      <c r="F421">
        <f>ventas_libreria[[#This Row],[precio_eur]]/100</f>
        <v>10.89</v>
      </c>
      <c r="G421">
        <v>1089</v>
      </c>
      <c r="H421">
        <v>1</v>
      </c>
      <c r="I421">
        <f>ventas_libreria[[#This Row],[precio]]*ventas_libreria[[#This Row],[cantidad]]</f>
        <v>10.89</v>
      </c>
      <c r="J421">
        <v>26</v>
      </c>
      <c r="K421" t="s">
        <v>20</v>
      </c>
      <c r="L421" s="1">
        <v>45375</v>
      </c>
      <c r="M421" t="s">
        <v>43</v>
      </c>
      <c r="N421" t="s">
        <v>32</v>
      </c>
      <c r="O421" t="s">
        <v>33</v>
      </c>
      <c r="P421" t="s">
        <v>84</v>
      </c>
      <c r="Q421">
        <v>3</v>
      </c>
      <c r="R421">
        <f>IF(ventas_libreria[[#This Row],[valoracion_cliente]]="","Sin valoración",ventas_libreria[[#This Row],[valoracion_cliente]])</f>
        <v>3</v>
      </c>
    </row>
    <row r="422" spans="1:18" x14ac:dyDescent="0.25">
      <c r="A422" t="s">
        <v>698</v>
      </c>
      <c r="B422" t="s">
        <v>197</v>
      </c>
      <c r="C422" t="s">
        <v>198</v>
      </c>
      <c r="D422" t="s">
        <v>199</v>
      </c>
      <c r="E422" t="s">
        <v>55</v>
      </c>
      <c r="F422">
        <f>ventas_libreria[[#This Row],[precio_eur]]/100</f>
        <v>14.88</v>
      </c>
      <c r="G422">
        <v>1488</v>
      </c>
      <c r="H422">
        <v>4</v>
      </c>
      <c r="I422">
        <f>ventas_libreria[[#This Row],[precio]]*ventas_libreria[[#This Row],[cantidad]]</f>
        <v>59.52</v>
      </c>
      <c r="J422">
        <v>35</v>
      </c>
      <c r="K422" t="s">
        <v>62</v>
      </c>
      <c r="L422" s="1">
        <v>45457</v>
      </c>
      <c r="M422" t="s">
        <v>21</v>
      </c>
      <c r="N422" t="s">
        <v>22</v>
      </c>
      <c r="O422" t="s">
        <v>132</v>
      </c>
      <c r="P422" t="s">
        <v>84</v>
      </c>
      <c r="R422" t="str">
        <f>IF(ventas_libreria[[#This Row],[valoracion_cliente]]="","Sin valoración",ventas_libreria[[#This Row],[valoracion_cliente]])</f>
        <v>Sin valoración</v>
      </c>
    </row>
    <row r="423" spans="1:18" x14ac:dyDescent="0.25">
      <c r="A423" t="s">
        <v>699</v>
      </c>
      <c r="B423" t="s">
        <v>220</v>
      </c>
      <c r="C423" t="s">
        <v>221</v>
      </c>
      <c r="D423" t="s">
        <v>222</v>
      </c>
      <c r="E423" t="s">
        <v>116</v>
      </c>
      <c r="F423">
        <f>ventas_libreria[[#This Row],[precio_eur]]/100</f>
        <v>10.96</v>
      </c>
      <c r="G423">
        <v>1096</v>
      </c>
      <c r="H423">
        <v>3</v>
      </c>
      <c r="I423">
        <f>ventas_libreria[[#This Row],[precio]]*ventas_libreria[[#This Row],[cantidad]]</f>
        <v>32.880000000000003</v>
      </c>
      <c r="J423">
        <v>20</v>
      </c>
      <c r="K423" t="s">
        <v>62</v>
      </c>
      <c r="L423" s="1">
        <v>45083</v>
      </c>
      <c r="M423" t="s">
        <v>21</v>
      </c>
      <c r="N423" t="s">
        <v>32</v>
      </c>
      <c r="O423" t="s">
        <v>33</v>
      </c>
      <c r="P423" t="s">
        <v>50</v>
      </c>
      <c r="Q423">
        <v>4</v>
      </c>
      <c r="R423">
        <f>IF(ventas_libreria[[#This Row],[valoracion_cliente]]="","Sin valoración",ventas_libreria[[#This Row],[valoracion_cliente]])</f>
        <v>4</v>
      </c>
    </row>
    <row r="424" spans="1:18" x14ac:dyDescent="0.25">
      <c r="A424" t="s">
        <v>700</v>
      </c>
      <c r="B424" t="s">
        <v>201</v>
      </c>
      <c r="C424" t="s">
        <v>202</v>
      </c>
      <c r="D424" t="s">
        <v>47</v>
      </c>
      <c r="E424" t="s">
        <v>107</v>
      </c>
      <c r="F424">
        <f>ventas_libreria[[#This Row],[precio_eur]]/100</f>
        <v>15.29</v>
      </c>
      <c r="G424">
        <v>1529</v>
      </c>
      <c r="H424">
        <v>2</v>
      </c>
      <c r="I424">
        <f>ventas_libreria[[#This Row],[precio]]*ventas_libreria[[#This Row],[cantidad]]</f>
        <v>30.58</v>
      </c>
      <c r="J424">
        <v>10</v>
      </c>
      <c r="K424" t="s">
        <v>20</v>
      </c>
      <c r="L424" s="1">
        <v>45268</v>
      </c>
      <c r="M424" t="s">
        <v>31</v>
      </c>
      <c r="N424" t="s">
        <v>22</v>
      </c>
      <c r="O424" t="s">
        <v>132</v>
      </c>
      <c r="P424" t="s">
        <v>24</v>
      </c>
      <c r="Q424">
        <v>4</v>
      </c>
      <c r="R424">
        <f>IF(ventas_libreria[[#This Row],[valoracion_cliente]]="","Sin valoración",ventas_libreria[[#This Row],[valoracion_cliente]])</f>
        <v>4</v>
      </c>
    </row>
    <row r="425" spans="1:18" x14ac:dyDescent="0.25">
      <c r="A425" t="s">
        <v>701</v>
      </c>
      <c r="B425" t="s">
        <v>228</v>
      </c>
      <c r="C425" t="s">
        <v>229</v>
      </c>
      <c r="D425" t="s">
        <v>206</v>
      </c>
      <c r="E425" t="s">
        <v>116</v>
      </c>
      <c r="F425">
        <f>ventas_libreria[[#This Row],[precio_eur]]/100</f>
        <v>17.010000000000002</v>
      </c>
      <c r="G425">
        <v>1701</v>
      </c>
      <c r="H425">
        <v>1</v>
      </c>
      <c r="I425">
        <f>ventas_libreria[[#This Row],[precio]]*ventas_libreria[[#This Row],[cantidad]]</f>
        <v>17.010000000000002</v>
      </c>
      <c r="J425">
        <v>61</v>
      </c>
      <c r="K425" t="s">
        <v>62</v>
      </c>
      <c r="L425" s="1">
        <v>45633</v>
      </c>
      <c r="M425" t="s">
        <v>21</v>
      </c>
      <c r="N425" t="s">
        <v>32</v>
      </c>
      <c r="O425" t="s">
        <v>33</v>
      </c>
      <c r="P425" t="s">
        <v>50</v>
      </c>
      <c r="Q425">
        <v>5</v>
      </c>
      <c r="R425">
        <f>IF(ventas_libreria[[#This Row],[valoracion_cliente]]="","Sin valoración",ventas_libreria[[#This Row],[valoracion_cliente]])</f>
        <v>5</v>
      </c>
    </row>
    <row r="426" spans="1:18" x14ac:dyDescent="0.25">
      <c r="A426" t="s">
        <v>702</v>
      </c>
      <c r="B426" t="s">
        <v>671</v>
      </c>
      <c r="C426" t="s">
        <v>672</v>
      </c>
      <c r="D426" t="s">
        <v>673</v>
      </c>
      <c r="E426" t="s">
        <v>116</v>
      </c>
      <c r="F426">
        <f>ventas_libreria[[#This Row],[precio_eur]]/100</f>
        <v>11.61</v>
      </c>
      <c r="G426">
        <v>1161</v>
      </c>
      <c r="H426">
        <v>4</v>
      </c>
      <c r="I426">
        <f>ventas_libreria[[#This Row],[precio]]*ventas_libreria[[#This Row],[cantidad]]</f>
        <v>46.44</v>
      </c>
      <c r="J426">
        <v>55</v>
      </c>
      <c r="K426" t="s">
        <v>20</v>
      </c>
      <c r="L426" s="1">
        <v>45000</v>
      </c>
      <c r="M426" t="s">
        <v>31</v>
      </c>
      <c r="N426" t="s">
        <v>22</v>
      </c>
      <c r="O426" t="s">
        <v>49</v>
      </c>
      <c r="P426" t="s">
        <v>24</v>
      </c>
      <c r="Q426">
        <v>5</v>
      </c>
      <c r="R426">
        <f>IF(ventas_libreria[[#This Row],[valoracion_cliente]]="","Sin valoración",ventas_libreria[[#This Row],[valoracion_cliente]])</f>
        <v>5</v>
      </c>
    </row>
    <row r="427" spans="1:18" x14ac:dyDescent="0.25">
      <c r="A427" t="s">
        <v>703</v>
      </c>
      <c r="B427" t="s">
        <v>113</v>
      </c>
      <c r="C427" t="s">
        <v>114</v>
      </c>
      <c r="D427" t="s">
        <v>115</v>
      </c>
      <c r="E427" t="s">
        <v>116</v>
      </c>
      <c r="F427">
        <f>ventas_libreria[[#This Row],[precio_eur]]/100</f>
        <v>1.39</v>
      </c>
      <c r="G427">
        <v>139</v>
      </c>
      <c r="H427">
        <v>2</v>
      </c>
      <c r="I427">
        <f>ventas_libreria[[#This Row],[precio]]*ventas_libreria[[#This Row],[cantidad]]</f>
        <v>2.78</v>
      </c>
      <c r="J427">
        <v>40</v>
      </c>
      <c r="K427" t="s">
        <v>30</v>
      </c>
      <c r="L427" s="1">
        <v>46020</v>
      </c>
      <c r="M427" t="s">
        <v>21</v>
      </c>
      <c r="N427" t="s">
        <v>32</v>
      </c>
      <c r="O427" t="s">
        <v>33</v>
      </c>
      <c r="P427" t="s">
        <v>24</v>
      </c>
      <c r="Q427">
        <v>3</v>
      </c>
      <c r="R427">
        <f>IF(ventas_libreria[[#This Row],[valoracion_cliente]]="","Sin valoración",ventas_libreria[[#This Row],[valoracion_cliente]])</f>
        <v>3</v>
      </c>
    </row>
    <row r="428" spans="1:18" x14ac:dyDescent="0.25">
      <c r="A428" t="s">
        <v>704</v>
      </c>
      <c r="B428" t="s">
        <v>243</v>
      </c>
      <c r="C428" t="s">
        <v>244</v>
      </c>
      <c r="D428" t="s">
        <v>245</v>
      </c>
      <c r="E428" t="s">
        <v>48</v>
      </c>
      <c r="F428">
        <f>ventas_libreria[[#This Row],[precio_eur]]/100</f>
        <v>2.19</v>
      </c>
      <c r="G428">
        <v>219</v>
      </c>
      <c r="H428">
        <v>2</v>
      </c>
      <c r="I428">
        <f>ventas_libreria[[#This Row],[precio]]*ventas_libreria[[#This Row],[cantidad]]</f>
        <v>4.38</v>
      </c>
      <c r="J428">
        <v>56</v>
      </c>
      <c r="K428" t="s">
        <v>62</v>
      </c>
      <c r="L428" s="1">
        <v>45942</v>
      </c>
      <c r="M428" t="s">
        <v>21</v>
      </c>
      <c r="N428" t="s">
        <v>32</v>
      </c>
      <c r="O428" t="s">
        <v>33</v>
      </c>
      <c r="P428" t="s">
        <v>50</v>
      </c>
      <c r="Q428">
        <v>4</v>
      </c>
      <c r="R428">
        <f>IF(ventas_libreria[[#This Row],[valoracion_cliente]]="","Sin valoración",ventas_libreria[[#This Row],[valoracion_cliente]])</f>
        <v>4</v>
      </c>
    </row>
    <row r="429" spans="1:18" x14ac:dyDescent="0.25">
      <c r="A429" t="s">
        <v>705</v>
      </c>
      <c r="B429" t="s">
        <v>169</v>
      </c>
      <c r="C429" t="s">
        <v>170</v>
      </c>
      <c r="D429" t="s">
        <v>171</v>
      </c>
      <c r="E429" t="s">
        <v>172</v>
      </c>
      <c r="F429">
        <f>ventas_libreria[[#This Row],[precio_eur]]/100</f>
        <v>19.46</v>
      </c>
      <c r="G429">
        <v>1946</v>
      </c>
      <c r="H429">
        <v>1</v>
      </c>
      <c r="I429">
        <f>ventas_libreria[[#This Row],[precio]]*ventas_libreria[[#This Row],[cantidad]]</f>
        <v>19.46</v>
      </c>
      <c r="J429">
        <v>71</v>
      </c>
      <c r="K429" t="s">
        <v>62</v>
      </c>
      <c r="L429" s="1">
        <v>45160</v>
      </c>
      <c r="M429" t="s">
        <v>43</v>
      </c>
      <c r="N429" t="s">
        <v>32</v>
      </c>
      <c r="O429" t="s">
        <v>33</v>
      </c>
      <c r="P429" t="s">
        <v>24</v>
      </c>
      <c r="Q429">
        <v>5</v>
      </c>
      <c r="R429">
        <f>IF(ventas_libreria[[#This Row],[valoracion_cliente]]="","Sin valoración",ventas_libreria[[#This Row],[valoracion_cliente]])</f>
        <v>5</v>
      </c>
    </row>
    <row r="430" spans="1:18" x14ac:dyDescent="0.25">
      <c r="A430" t="s">
        <v>706</v>
      </c>
      <c r="B430" t="s">
        <v>291</v>
      </c>
      <c r="C430" t="s">
        <v>292</v>
      </c>
      <c r="D430" t="s">
        <v>76</v>
      </c>
      <c r="E430" t="s">
        <v>77</v>
      </c>
      <c r="F430">
        <f>ventas_libreria[[#This Row],[precio_eur]]/100</f>
        <v>10.89</v>
      </c>
      <c r="G430">
        <v>1089</v>
      </c>
      <c r="H430">
        <v>2</v>
      </c>
      <c r="I430">
        <f>ventas_libreria[[#This Row],[precio]]*ventas_libreria[[#This Row],[cantidad]]</f>
        <v>21.78</v>
      </c>
      <c r="J430">
        <v>5</v>
      </c>
      <c r="K430" t="s">
        <v>38</v>
      </c>
      <c r="L430" s="1">
        <v>45462</v>
      </c>
      <c r="M430" t="s">
        <v>43</v>
      </c>
      <c r="N430" t="s">
        <v>32</v>
      </c>
      <c r="O430" t="s">
        <v>33</v>
      </c>
      <c r="P430" t="s">
        <v>84</v>
      </c>
      <c r="Q430">
        <v>5</v>
      </c>
      <c r="R430">
        <f>IF(ventas_libreria[[#This Row],[valoracion_cliente]]="","Sin valoración",ventas_libreria[[#This Row],[valoracion_cliente]])</f>
        <v>5</v>
      </c>
    </row>
    <row r="431" spans="1:18" x14ac:dyDescent="0.25">
      <c r="A431" t="s">
        <v>707</v>
      </c>
      <c r="B431" t="s">
        <v>307</v>
      </c>
      <c r="C431" t="s">
        <v>308</v>
      </c>
      <c r="D431" t="s">
        <v>88</v>
      </c>
      <c r="E431" t="s">
        <v>77</v>
      </c>
      <c r="F431">
        <f>ventas_libreria[[#This Row],[precio_eur]]/100</f>
        <v>8.7200000000000006</v>
      </c>
      <c r="G431">
        <v>872</v>
      </c>
      <c r="H431">
        <v>1</v>
      </c>
      <c r="I431">
        <f>ventas_libreria[[#This Row],[precio]]*ventas_libreria[[#This Row],[cantidad]]</f>
        <v>8.7200000000000006</v>
      </c>
      <c r="J431">
        <v>5</v>
      </c>
      <c r="K431" t="s">
        <v>38</v>
      </c>
      <c r="L431" s="1">
        <v>45917</v>
      </c>
      <c r="M431" t="s">
        <v>21</v>
      </c>
      <c r="N431" t="s">
        <v>22</v>
      </c>
      <c r="O431" t="s">
        <v>23</v>
      </c>
      <c r="P431" t="s">
        <v>84</v>
      </c>
      <c r="Q431">
        <v>4</v>
      </c>
      <c r="R431">
        <f>IF(ventas_libreria[[#This Row],[valoracion_cliente]]="","Sin valoración",ventas_libreria[[#This Row],[valoracion_cliente]])</f>
        <v>4</v>
      </c>
    </row>
    <row r="432" spans="1:18" x14ac:dyDescent="0.25">
      <c r="A432" t="s">
        <v>708</v>
      </c>
      <c r="B432" t="s">
        <v>134</v>
      </c>
      <c r="C432" t="s">
        <v>135</v>
      </c>
      <c r="D432" t="s">
        <v>106</v>
      </c>
      <c r="E432" t="s">
        <v>107</v>
      </c>
      <c r="F432">
        <f>ventas_libreria[[#This Row],[precio_eur]]/100</f>
        <v>13.41</v>
      </c>
      <c r="G432">
        <v>1341</v>
      </c>
      <c r="H432">
        <v>2</v>
      </c>
      <c r="I432">
        <f>ventas_libreria[[#This Row],[precio]]*ventas_libreria[[#This Row],[cantidad]]</f>
        <v>26.82</v>
      </c>
      <c r="J432">
        <v>16</v>
      </c>
      <c r="K432" t="s">
        <v>38</v>
      </c>
      <c r="L432" s="1">
        <v>45375</v>
      </c>
      <c r="M432" t="s">
        <v>31</v>
      </c>
      <c r="N432" t="s">
        <v>22</v>
      </c>
      <c r="O432" t="s">
        <v>98</v>
      </c>
      <c r="P432" t="s">
        <v>84</v>
      </c>
      <c r="Q432">
        <v>5</v>
      </c>
      <c r="R432">
        <f>IF(ventas_libreria[[#This Row],[valoracion_cliente]]="","Sin valoración",ventas_libreria[[#This Row],[valoracion_cliente]])</f>
        <v>5</v>
      </c>
    </row>
    <row r="433" spans="1:18" x14ac:dyDescent="0.25">
      <c r="A433" t="s">
        <v>709</v>
      </c>
      <c r="B433" t="s">
        <v>254</v>
      </c>
      <c r="C433" t="s">
        <v>255</v>
      </c>
      <c r="D433" t="s">
        <v>139</v>
      </c>
      <c r="E433" t="s">
        <v>116</v>
      </c>
      <c r="F433">
        <f>ventas_libreria[[#This Row],[precio_eur]]/100</f>
        <v>1.49</v>
      </c>
      <c r="G433">
        <v>149</v>
      </c>
      <c r="H433">
        <v>1</v>
      </c>
      <c r="I433">
        <f>ventas_libreria[[#This Row],[precio]]*ventas_libreria[[#This Row],[cantidad]]</f>
        <v>1.49</v>
      </c>
      <c r="J433">
        <v>42</v>
      </c>
      <c r="K433" t="s">
        <v>62</v>
      </c>
      <c r="L433" s="1">
        <v>45083</v>
      </c>
      <c r="M433" t="s">
        <v>21</v>
      </c>
      <c r="N433" t="s">
        <v>32</v>
      </c>
      <c r="O433" t="s">
        <v>33</v>
      </c>
      <c r="P433" t="s">
        <v>24</v>
      </c>
      <c r="Q433">
        <v>4</v>
      </c>
      <c r="R433">
        <f>IF(ventas_libreria[[#This Row],[valoracion_cliente]]="","Sin valoración",ventas_libreria[[#This Row],[valoracion_cliente]])</f>
        <v>4</v>
      </c>
    </row>
    <row r="434" spans="1:18" x14ac:dyDescent="0.25">
      <c r="A434" t="s">
        <v>710</v>
      </c>
      <c r="B434" t="s">
        <v>121</v>
      </c>
      <c r="C434" t="s">
        <v>122</v>
      </c>
      <c r="D434" t="s">
        <v>123</v>
      </c>
      <c r="E434" t="s">
        <v>48</v>
      </c>
      <c r="F434">
        <f>ventas_libreria[[#This Row],[precio_eur]]/100</f>
        <v>14.36</v>
      </c>
      <c r="G434">
        <v>1436</v>
      </c>
      <c r="H434">
        <v>4</v>
      </c>
      <c r="I434">
        <f>ventas_libreria[[#This Row],[precio]]*ventas_libreria[[#This Row],[cantidad]]</f>
        <v>57.44</v>
      </c>
      <c r="J434">
        <v>68</v>
      </c>
      <c r="K434" t="s">
        <v>62</v>
      </c>
      <c r="L434" s="1">
        <v>45335</v>
      </c>
      <c r="M434" t="s">
        <v>21</v>
      </c>
      <c r="N434" t="s">
        <v>32</v>
      </c>
      <c r="O434" t="s">
        <v>33</v>
      </c>
      <c r="P434" t="s">
        <v>34</v>
      </c>
      <c r="Q434">
        <v>4</v>
      </c>
      <c r="R434">
        <f>IF(ventas_libreria[[#This Row],[valoracion_cliente]]="","Sin valoración",ventas_libreria[[#This Row],[valoracion_cliente]])</f>
        <v>4</v>
      </c>
    </row>
    <row r="435" spans="1:18" x14ac:dyDescent="0.25">
      <c r="A435" t="s">
        <v>711</v>
      </c>
      <c r="B435" t="s">
        <v>165</v>
      </c>
      <c r="C435" t="s">
        <v>166</v>
      </c>
      <c r="D435" t="s">
        <v>167</v>
      </c>
      <c r="E435" t="s">
        <v>61</v>
      </c>
      <c r="F435">
        <f>ventas_libreria[[#This Row],[precio_eur]]/100</f>
        <v>1.49</v>
      </c>
      <c r="G435">
        <v>149</v>
      </c>
      <c r="H435">
        <v>1</v>
      </c>
      <c r="I435">
        <f>ventas_libreria[[#This Row],[precio]]*ventas_libreria[[#This Row],[cantidad]]</f>
        <v>1.49</v>
      </c>
      <c r="J435">
        <v>73</v>
      </c>
      <c r="K435" t="s">
        <v>30</v>
      </c>
      <c r="L435" s="1">
        <v>45923</v>
      </c>
      <c r="M435" t="s">
        <v>31</v>
      </c>
      <c r="N435" t="s">
        <v>22</v>
      </c>
      <c r="O435" t="s">
        <v>98</v>
      </c>
      <c r="P435" t="s">
        <v>24</v>
      </c>
      <c r="Q435">
        <v>5</v>
      </c>
      <c r="R435">
        <f>IF(ventas_libreria[[#This Row],[valoracion_cliente]]="","Sin valoración",ventas_libreria[[#This Row],[valoracion_cliente]])</f>
        <v>5</v>
      </c>
    </row>
    <row r="436" spans="1:18" x14ac:dyDescent="0.25">
      <c r="A436" t="s">
        <v>712</v>
      </c>
      <c r="B436" t="s">
        <v>273</v>
      </c>
      <c r="C436" t="s">
        <v>274</v>
      </c>
      <c r="D436" t="s">
        <v>262</v>
      </c>
      <c r="E436" t="s">
        <v>263</v>
      </c>
      <c r="F436">
        <f>ventas_libreria[[#This Row],[precio_eur]]/100</f>
        <v>2.2999999999999998</v>
      </c>
      <c r="G436">
        <v>230</v>
      </c>
      <c r="H436">
        <v>1</v>
      </c>
      <c r="I436">
        <f>ventas_libreria[[#This Row],[precio]]*ventas_libreria[[#This Row],[cantidad]]</f>
        <v>2.2999999999999998</v>
      </c>
      <c r="J436">
        <v>71</v>
      </c>
      <c r="K436" t="s">
        <v>38</v>
      </c>
      <c r="L436" s="1">
        <v>45516</v>
      </c>
      <c r="M436" t="s">
        <v>31</v>
      </c>
      <c r="N436" t="s">
        <v>32</v>
      </c>
      <c r="O436" t="s">
        <v>33</v>
      </c>
      <c r="P436" t="s">
        <v>84</v>
      </c>
      <c r="Q436">
        <v>3</v>
      </c>
      <c r="R436">
        <f>IF(ventas_libreria[[#This Row],[valoracion_cliente]]="","Sin valoración",ventas_libreria[[#This Row],[valoracion_cliente]])</f>
        <v>3</v>
      </c>
    </row>
    <row r="437" spans="1:18" x14ac:dyDescent="0.25">
      <c r="A437" t="s">
        <v>713</v>
      </c>
      <c r="B437" t="s">
        <v>273</v>
      </c>
      <c r="C437" t="s">
        <v>274</v>
      </c>
      <c r="D437" t="s">
        <v>262</v>
      </c>
      <c r="E437" t="s">
        <v>263</v>
      </c>
      <c r="F437">
        <f>ventas_libreria[[#This Row],[precio_eur]]/100</f>
        <v>2.19</v>
      </c>
      <c r="G437">
        <v>219</v>
      </c>
      <c r="H437">
        <v>1</v>
      </c>
      <c r="I437">
        <f>ventas_libreria[[#This Row],[precio]]*ventas_libreria[[#This Row],[cantidad]]</f>
        <v>2.19</v>
      </c>
      <c r="J437">
        <v>18</v>
      </c>
      <c r="K437" t="s">
        <v>20</v>
      </c>
      <c r="L437" s="1">
        <v>45561</v>
      </c>
      <c r="M437" t="s">
        <v>31</v>
      </c>
      <c r="N437" t="s">
        <v>32</v>
      </c>
      <c r="O437" t="s">
        <v>33</v>
      </c>
      <c r="P437" t="s">
        <v>84</v>
      </c>
      <c r="Q437">
        <v>2</v>
      </c>
      <c r="R437">
        <f>IF(ventas_libreria[[#This Row],[valoracion_cliente]]="","Sin valoración",ventas_libreria[[#This Row],[valoracion_cliente]])</f>
        <v>2</v>
      </c>
    </row>
    <row r="438" spans="1:18" x14ac:dyDescent="0.25">
      <c r="A438" t="s">
        <v>714</v>
      </c>
      <c r="B438" t="s">
        <v>273</v>
      </c>
      <c r="C438" t="s">
        <v>274</v>
      </c>
      <c r="D438" t="s">
        <v>262</v>
      </c>
      <c r="E438" t="s">
        <v>263</v>
      </c>
      <c r="F438">
        <f>ventas_libreria[[#This Row],[precio_eur]]/100</f>
        <v>18.61</v>
      </c>
      <c r="G438">
        <v>1861</v>
      </c>
      <c r="H438">
        <v>2</v>
      </c>
      <c r="I438">
        <f>ventas_libreria[[#This Row],[precio]]*ventas_libreria[[#This Row],[cantidad]]</f>
        <v>37.22</v>
      </c>
      <c r="J438">
        <v>32</v>
      </c>
      <c r="K438" t="s">
        <v>30</v>
      </c>
      <c r="L438" s="1">
        <v>45977</v>
      </c>
      <c r="M438" t="s">
        <v>43</v>
      </c>
      <c r="N438" t="s">
        <v>32</v>
      </c>
      <c r="O438" t="s">
        <v>33</v>
      </c>
      <c r="P438" t="s">
        <v>50</v>
      </c>
      <c r="Q438">
        <v>4</v>
      </c>
      <c r="R438">
        <f>IF(ventas_libreria[[#This Row],[valoracion_cliente]]="","Sin valoración",ventas_libreria[[#This Row],[valoracion_cliente]])</f>
        <v>4</v>
      </c>
    </row>
    <row r="439" spans="1:18" x14ac:dyDescent="0.25">
      <c r="A439" t="s">
        <v>715</v>
      </c>
      <c r="B439" t="s">
        <v>602</v>
      </c>
      <c r="C439" t="s">
        <v>603</v>
      </c>
      <c r="D439" t="s">
        <v>217</v>
      </c>
      <c r="E439" t="s">
        <v>55</v>
      </c>
      <c r="F439">
        <f>ventas_libreria[[#This Row],[precio_eur]]/100</f>
        <v>1.79</v>
      </c>
      <c r="G439">
        <v>179</v>
      </c>
      <c r="H439">
        <v>2</v>
      </c>
      <c r="I439">
        <f>ventas_libreria[[#This Row],[precio]]*ventas_libreria[[#This Row],[cantidad]]</f>
        <v>3.58</v>
      </c>
      <c r="J439">
        <v>37</v>
      </c>
      <c r="K439" t="s">
        <v>62</v>
      </c>
      <c r="L439" s="1">
        <v>45208</v>
      </c>
      <c r="M439" t="s">
        <v>21</v>
      </c>
      <c r="N439" t="s">
        <v>32</v>
      </c>
      <c r="O439" t="s">
        <v>33</v>
      </c>
      <c r="P439" t="s">
        <v>84</v>
      </c>
      <c r="Q439">
        <v>5</v>
      </c>
      <c r="R439">
        <f>IF(ventas_libreria[[#This Row],[valoracion_cliente]]="","Sin valoración",ventas_libreria[[#This Row],[valoracion_cliente]])</f>
        <v>5</v>
      </c>
    </row>
    <row r="440" spans="1:18" x14ac:dyDescent="0.25">
      <c r="A440" t="s">
        <v>716</v>
      </c>
      <c r="B440" t="s">
        <v>286</v>
      </c>
      <c r="C440" t="s">
        <v>287</v>
      </c>
      <c r="D440" t="s">
        <v>288</v>
      </c>
      <c r="E440" t="s">
        <v>289</v>
      </c>
      <c r="F440">
        <f>ventas_libreria[[#This Row],[precio_eur]]/100</f>
        <v>2.2999999999999998</v>
      </c>
      <c r="G440">
        <v>230</v>
      </c>
      <c r="H440">
        <v>1</v>
      </c>
      <c r="I440">
        <f>ventas_libreria[[#This Row],[precio]]*ventas_libreria[[#This Row],[cantidad]]</f>
        <v>2.2999999999999998</v>
      </c>
      <c r="J440">
        <v>50</v>
      </c>
      <c r="K440" t="s">
        <v>62</v>
      </c>
      <c r="L440" s="1">
        <v>45749</v>
      </c>
      <c r="M440" t="s">
        <v>21</v>
      </c>
      <c r="N440" t="s">
        <v>32</v>
      </c>
      <c r="O440" t="s">
        <v>33</v>
      </c>
      <c r="P440" t="s">
        <v>84</v>
      </c>
      <c r="Q440">
        <v>4</v>
      </c>
      <c r="R440">
        <f>IF(ventas_libreria[[#This Row],[valoracion_cliente]]="","Sin valoración",ventas_libreria[[#This Row],[valoracion_cliente]])</f>
        <v>4</v>
      </c>
    </row>
    <row r="441" spans="1:18" x14ac:dyDescent="0.25">
      <c r="A441" t="s">
        <v>717</v>
      </c>
      <c r="B441" t="s">
        <v>64</v>
      </c>
      <c r="C441" t="s">
        <v>65</v>
      </c>
      <c r="D441" t="s">
        <v>66</v>
      </c>
      <c r="E441" t="s">
        <v>29</v>
      </c>
      <c r="F441">
        <f>ventas_libreria[[#This Row],[precio_eur]]/100</f>
        <v>1.65</v>
      </c>
      <c r="G441">
        <v>165</v>
      </c>
      <c r="H441">
        <v>1</v>
      </c>
      <c r="I441">
        <f>ventas_libreria[[#This Row],[precio]]*ventas_libreria[[#This Row],[cantidad]]</f>
        <v>1.65</v>
      </c>
      <c r="J441">
        <v>23</v>
      </c>
      <c r="K441" t="s">
        <v>30</v>
      </c>
      <c r="L441" s="1">
        <v>45626</v>
      </c>
      <c r="M441" t="s">
        <v>31</v>
      </c>
      <c r="N441" t="s">
        <v>22</v>
      </c>
      <c r="O441" t="s">
        <v>23</v>
      </c>
      <c r="P441" t="s">
        <v>56</v>
      </c>
      <c r="Q441">
        <v>5</v>
      </c>
      <c r="R441">
        <f>IF(ventas_libreria[[#This Row],[valoracion_cliente]]="","Sin valoración",ventas_libreria[[#This Row],[valoracion_cliente]])</f>
        <v>5</v>
      </c>
    </row>
    <row r="442" spans="1:18" x14ac:dyDescent="0.25">
      <c r="A442" t="s">
        <v>718</v>
      </c>
      <c r="B442" t="s">
        <v>204</v>
      </c>
      <c r="C442" t="s">
        <v>205</v>
      </c>
      <c r="D442" t="s">
        <v>206</v>
      </c>
      <c r="E442" t="s">
        <v>116</v>
      </c>
      <c r="F442">
        <f>ventas_libreria[[#This Row],[precio_eur]]/100</f>
        <v>13.55</v>
      </c>
      <c r="G442">
        <v>1355</v>
      </c>
      <c r="H442">
        <v>2</v>
      </c>
      <c r="I442">
        <f>ventas_libreria[[#This Row],[precio]]*ventas_libreria[[#This Row],[cantidad]]</f>
        <v>27.1</v>
      </c>
      <c r="J442">
        <v>30</v>
      </c>
      <c r="K442" t="s">
        <v>20</v>
      </c>
      <c r="L442" s="1">
        <v>45356</v>
      </c>
      <c r="M442" t="s">
        <v>31</v>
      </c>
      <c r="N442" t="s">
        <v>32</v>
      </c>
      <c r="O442" t="s">
        <v>33</v>
      </c>
      <c r="P442" t="s">
        <v>84</v>
      </c>
      <c r="Q442">
        <v>5</v>
      </c>
      <c r="R442">
        <f>IF(ventas_libreria[[#This Row],[valoracion_cliente]]="","Sin valoración",ventas_libreria[[#This Row],[valoracion_cliente]])</f>
        <v>5</v>
      </c>
    </row>
    <row r="443" spans="1:18" x14ac:dyDescent="0.25">
      <c r="A443" t="s">
        <v>719</v>
      </c>
      <c r="B443" t="s">
        <v>113</v>
      </c>
      <c r="C443" t="s">
        <v>114</v>
      </c>
      <c r="D443" t="s">
        <v>115</v>
      </c>
      <c r="E443" t="s">
        <v>116</v>
      </c>
      <c r="F443">
        <f>ventas_libreria[[#This Row],[precio_eur]]/100</f>
        <v>1.39</v>
      </c>
      <c r="G443">
        <v>139</v>
      </c>
      <c r="H443">
        <v>2</v>
      </c>
      <c r="I443">
        <f>ventas_libreria[[#This Row],[precio]]*ventas_libreria[[#This Row],[cantidad]]</f>
        <v>2.78</v>
      </c>
      <c r="J443">
        <v>65</v>
      </c>
      <c r="K443" t="s">
        <v>30</v>
      </c>
      <c r="L443" s="1">
        <v>45654</v>
      </c>
      <c r="M443" t="s">
        <v>31</v>
      </c>
      <c r="N443" t="s">
        <v>32</v>
      </c>
      <c r="O443" t="s">
        <v>33</v>
      </c>
      <c r="P443" t="s">
        <v>50</v>
      </c>
      <c r="Q443">
        <v>4</v>
      </c>
      <c r="R443">
        <f>IF(ventas_libreria[[#This Row],[valoracion_cliente]]="","Sin valoración",ventas_libreria[[#This Row],[valoracion_cliente]])</f>
        <v>4</v>
      </c>
    </row>
    <row r="444" spans="1:18" x14ac:dyDescent="0.25">
      <c r="A444" t="s">
        <v>720</v>
      </c>
      <c r="B444" t="s">
        <v>276</v>
      </c>
      <c r="C444" t="s">
        <v>277</v>
      </c>
      <c r="D444" t="s">
        <v>278</v>
      </c>
      <c r="E444" t="s">
        <v>189</v>
      </c>
      <c r="F444">
        <f>ventas_libreria[[#This Row],[precio_eur]]/100</f>
        <v>19.690000000000001</v>
      </c>
      <c r="G444">
        <v>1969</v>
      </c>
      <c r="H444">
        <v>1</v>
      </c>
      <c r="I444">
        <f>ventas_libreria[[#This Row],[precio]]*ventas_libreria[[#This Row],[cantidad]]</f>
        <v>19.690000000000001</v>
      </c>
      <c r="J444">
        <v>53</v>
      </c>
      <c r="K444" t="s">
        <v>62</v>
      </c>
      <c r="L444" s="1">
        <v>45600</v>
      </c>
      <c r="M444" t="s">
        <v>31</v>
      </c>
      <c r="N444" t="s">
        <v>32</v>
      </c>
      <c r="O444" t="s">
        <v>33</v>
      </c>
      <c r="P444" t="s">
        <v>84</v>
      </c>
      <c r="Q444">
        <v>4</v>
      </c>
      <c r="R444">
        <f>IF(ventas_libreria[[#This Row],[valoracion_cliente]]="","Sin valoración",ventas_libreria[[#This Row],[valoracion_cliente]])</f>
        <v>4</v>
      </c>
    </row>
    <row r="445" spans="1:18" x14ac:dyDescent="0.25">
      <c r="A445" t="s">
        <v>721</v>
      </c>
      <c r="B445" t="s">
        <v>365</v>
      </c>
      <c r="C445" t="s">
        <v>366</v>
      </c>
      <c r="D445" t="s">
        <v>367</v>
      </c>
      <c r="E445" t="s">
        <v>19</v>
      </c>
      <c r="F445">
        <f>ventas_libreria[[#This Row],[precio_eur]]/100</f>
        <v>1.89</v>
      </c>
      <c r="G445">
        <v>189</v>
      </c>
      <c r="H445">
        <v>1</v>
      </c>
      <c r="I445">
        <f>ventas_libreria[[#This Row],[precio]]*ventas_libreria[[#This Row],[cantidad]]</f>
        <v>1.89</v>
      </c>
      <c r="J445">
        <v>43</v>
      </c>
      <c r="K445" t="s">
        <v>20</v>
      </c>
      <c r="L445" s="1">
        <v>45510</v>
      </c>
      <c r="M445" t="s">
        <v>31</v>
      </c>
      <c r="N445" t="s">
        <v>22</v>
      </c>
      <c r="O445" t="s">
        <v>132</v>
      </c>
      <c r="P445" t="s">
        <v>24</v>
      </c>
      <c r="R445" t="str">
        <f>IF(ventas_libreria[[#This Row],[valoracion_cliente]]="","Sin valoración",ventas_libreria[[#This Row],[valoracion_cliente]])</f>
        <v>Sin valoración</v>
      </c>
    </row>
    <row r="446" spans="1:18" x14ac:dyDescent="0.25">
      <c r="A446" t="s">
        <v>722</v>
      </c>
      <c r="B446" t="s">
        <v>549</v>
      </c>
      <c r="C446" t="s">
        <v>550</v>
      </c>
      <c r="D446" t="s">
        <v>162</v>
      </c>
      <c r="E446" t="s">
        <v>29</v>
      </c>
      <c r="F446">
        <f>ventas_libreria[[#This Row],[precio_eur]]/100</f>
        <v>16.91</v>
      </c>
      <c r="G446">
        <v>1691</v>
      </c>
      <c r="H446">
        <v>1</v>
      </c>
      <c r="I446">
        <f>ventas_libreria[[#This Row],[precio]]*ventas_libreria[[#This Row],[cantidad]]</f>
        <v>16.91</v>
      </c>
      <c r="J446">
        <v>45</v>
      </c>
      <c r="K446" t="s">
        <v>20</v>
      </c>
      <c r="L446" s="1">
        <v>45131</v>
      </c>
      <c r="M446" t="s">
        <v>21</v>
      </c>
      <c r="N446" t="s">
        <v>22</v>
      </c>
      <c r="O446" t="s">
        <v>132</v>
      </c>
      <c r="P446" t="s">
        <v>50</v>
      </c>
      <c r="Q446">
        <v>3</v>
      </c>
      <c r="R446">
        <f>IF(ventas_libreria[[#This Row],[valoracion_cliente]]="","Sin valoración",ventas_libreria[[#This Row],[valoracion_cliente]])</f>
        <v>3</v>
      </c>
    </row>
    <row r="447" spans="1:18" x14ac:dyDescent="0.25">
      <c r="A447" t="s">
        <v>723</v>
      </c>
      <c r="B447" t="s">
        <v>160</v>
      </c>
      <c r="C447" t="s">
        <v>161</v>
      </c>
      <c r="D447" t="s">
        <v>162</v>
      </c>
      <c r="E447" t="s">
        <v>29</v>
      </c>
      <c r="F447">
        <f>ventas_libreria[[#This Row],[precio_eur]]/100</f>
        <v>14.36</v>
      </c>
      <c r="G447">
        <v>1436</v>
      </c>
      <c r="H447">
        <v>1</v>
      </c>
      <c r="I447">
        <f>ventas_libreria[[#This Row],[precio]]*ventas_libreria[[#This Row],[cantidad]]</f>
        <v>14.36</v>
      </c>
      <c r="J447">
        <v>46</v>
      </c>
      <c r="K447" t="s">
        <v>20</v>
      </c>
      <c r="L447" s="1">
        <v>45758</v>
      </c>
      <c r="M447" t="s">
        <v>21</v>
      </c>
      <c r="N447" t="s">
        <v>32</v>
      </c>
      <c r="O447" t="s">
        <v>33</v>
      </c>
      <c r="P447" t="s">
        <v>24</v>
      </c>
      <c r="Q447">
        <v>4</v>
      </c>
      <c r="R447">
        <f>IF(ventas_libreria[[#This Row],[valoracion_cliente]]="","Sin valoración",ventas_libreria[[#This Row],[valoracion_cliente]])</f>
        <v>4</v>
      </c>
    </row>
    <row r="448" spans="1:18" x14ac:dyDescent="0.25">
      <c r="A448" t="s">
        <v>724</v>
      </c>
      <c r="B448" t="s">
        <v>64</v>
      </c>
      <c r="C448" t="s">
        <v>65</v>
      </c>
      <c r="D448" t="s">
        <v>66</v>
      </c>
      <c r="E448" t="s">
        <v>29</v>
      </c>
      <c r="F448">
        <f>ventas_libreria[[#This Row],[precio_eur]]/100</f>
        <v>14.85</v>
      </c>
      <c r="G448">
        <v>1485</v>
      </c>
      <c r="H448">
        <v>2</v>
      </c>
      <c r="I448">
        <f>ventas_libreria[[#This Row],[precio]]*ventas_libreria[[#This Row],[cantidad]]</f>
        <v>29.7</v>
      </c>
      <c r="J448">
        <v>18</v>
      </c>
      <c r="K448" t="s">
        <v>62</v>
      </c>
      <c r="L448" s="1">
        <v>44998</v>
      </c>
      <c r="M448" t="s">
        <v>43</v>
      </c>
      <c r="N448" t="s">
        <v>32</v>
      </c>
      <c r="O448" t="s">
        <v>33</v>
      </c>
      <c r="P448" t="s">
        <v>84</v>
      </c>
      <c r="Q448">
        <v>4</v>
      </c>
      <c r="R448">
        <f>IF(ventas_libreria[[#This Row],[valoracion_cliente]]="","Sin valoración",ventas_libreria[[#This Row],[valoracion_cliente]])</f>
        <v>4</v>
      </c>
    </row>
    <row r="449" spans="1:18" x14ac:dyDescent="0.25">
      <c r="A449" t="s">
        <v>725</v>
      </c>
      <c r="B449" t="s">
        <v>332</v>
      </c>
      <c r="C449" t="s">
        <v>333</v>
      </c>
      <c r="D449" t="s">
        <v>334</v>
      </c>
      <c r="E449" t="s">
        <v>116</v>
      </c>
      <c r="F449">
        <f>ventas_libreria[[#This Row],[precio_eur]]/100</f>
        <v>1.69</v>
      </c>
      <c r="G449">
        <v>169</v>
      </c>
      <c r="H449">
        <v>1</v>
      </c>
      <c r="I449">
        <f>ventas_libreria[[#This Row],[precio]]*ventas_libreria[[#This Row],[cantidad]]</f>
        <v>1.69</v>
      </c>
      <c r="J449">
        <v>70</v>
      </c>
      <c r="K449" t="s">
        <v>20</v>
      </c>
      <c r="L449" s="1">
        <v>45954</v>
      </c>
      <c r="M449" t="s">
        <v>31</v>
      </c>
      <c r="N449" t="s">
        <v>32</v>
      </c>
      <c r="O449" t="s">
        <v>33</v>
      </c>
      <c r="P449" t="s">
        <v>56</v>
      </c>
      <c r="Q449">
        <v>4</v>
      </c>
      <c r="R449">
        <f>IF(ventas_libreria[[#This Row],[valoracion_cliente]]="","Sin valoración",ventas_libreria[[#This Row],[valoracion_cliente]])</f>
        <v>4</v>
      </c>
    </row>
    <row r="450" spans="1:18" x14ac:dyDescent="0.25">
      <c r="A450" t="s">
        <v>726</v>
      </c>
      <c r="B450" t="s">
        <v>91</v>
      </c>
      <c r="C450" t="s">
        <v>92</v>
      </c>
      <c r="D450" t="s">
        <v>93</v>
      </c>
      <c r="E450" t="s">
        <v>72</v>
      </c>
      <c r="F450">
        <f>ventas_libreria[[#This Row],[precio_eur]]/100</f>
        <v>11.81</v>
      </c>
      <c r="G450">
        <v>1181</v>
      </c>
      <c r="H450">
        <v>1</v>
      </c>
      <c r="I450">
        <f>ventas_libreria[[#This Row],[precio]]*ventas_libreria[[#This Row],[cantidad]]</f>
        <v>11.81</v>
      </c>
      <c r="J450">
        <v>51</v>
      </c>
      <c r="K450" t="s">
        <v>20</v>
      </c>
      <c r="L450" s="1">
        <v>45085</v>
      </c>
      <c r="M450" t="s">
        <v>31</v>
      </c>
      <c r="N450" t="s">
        <v>32</v>
      </c>
      <c r="O450" t="s">
        <v>33</v>
      </c>
      <c r="P450" t="s">
        <v>56</v>
      </c>
      <c r="Q450">
        <v>4</v>
      </c>
      <c r="R450">
        <f>IF(ventas_libreria[[#This Row],[valoracion_cliente]]="","Sin valoración",ventas_libreria[[#This Row],[valoracion_cliente]])</f>
        <v>4</v>
      </c>
    </row>
    <row r="451" spans="1:18" x14ac:dyDescent="0.25">
      <c r="A451" t="s">
        <v>727</v>
      </c>
      <c r="B451" t="s">
        <v>398</v>
      </c>
      <c r="C451" t="s">
        <v>399</v>
      </c>
      <c r="D451" t="s">
        <v>167</v>
      </c>
      <c r="E451" t="s">
        <v>61</v>
      </c>
      <c r="F451">
        <f>ventas_libreria[[#This Row],[precio_eur]]/100</f>
        <v>1.69</v>
      </c>
      <c r="G451">
        <v>169</v>
      </c>
      <c r="H451">
        <v>1</v>
      </c>
      <c r="I451">
        <f>ventas_libreria[[#This Row],[precio]]*ventas_libreria[[#This Row],[cantidad]]</f>
        <v>1.69</v>
      </c>
      <c r="J451">
        <v>28</v>
      </c>
      <c r="K451" t="s">
        <v>62</v>
      </c>
      <c r="L451" s="1">
        <v>45962</v>
      </c>
      <c r="M451" t="s">
        <v>43</v>
      </c>
      <c r="N451" t="s">
        <v>32</v>
      </c>
      <c r="O451" t="s">
        <v>33</v>
      </c>
      <c r="P451" t="s">
        <v>50</v>
      </c>
      <c r="Q451">
        <v>5</v>
      </c>
      <c r="R451">
        <f>IF(ventas_libreria[[#This Row],[valoracion_cliente]]="","Sin valoración",ventas_libreria[[#This Row],[valoracion_cliente]])</f>
        <v>5</v>
      </c>
    </row>
    <row r="452" spans="1:18" x14ac:dyDescent="0.25">
      <c r="A452" t="s">
        <v>728</v>
      </c>
      <c r="B452" t="s">
        <v>156</v>
      </c>
      <c r="C452" t="s">
        <v>157</v>
      </c>
      <c r="D452" t="s">
        <v>158</v>
      </c>
      <c r="E452" t="s">
        <v>149</v>
      </c>
      <c r="F452">
        <f>ventas_libreria[[#This Row],[precio_eur]]/100</f>
        <v>1.89</v>
      </c>
      <c r="G452">
        <v>189</v>
      </c>
      <c r="H452">
        <v>1</v>
      </c>
      <c r="I452">
        <f>ventas_libreria[[#This Row],[precio]]*ventas_libreria[[#This Row],[cantidad]]</f>
        <v>1.89</v>
      </c>
      <c r="J452">
        <v>38</v>
      </c>
      <c r="K452" t="s">
        <v>38</v>
      </c>
      <c r="L452" s="1">
        <v>45064</v>
      </c>
      <c r="M452" t="s">
        <v>43</v>
      </c>
      <c r="N452" t="s">
        <v>32</v>
      </c>
      <c r="O452" t="s">
        <v>33</v>
      </c>
      <c r="P452" t="s">
        <v>84</v>
      </c>
      <c r="Q452">
        <v>4</v>
      </c>
      <c r="R452">
        <f>IF(ventas_libreria[[#This Row],[valoracion_cliente]]="","Sin valoración",ventas_libreria[[#This Row],[valoracion_cliente]])</f>
        <v>4</v>
      </c>
    </row>
    <row r="453" spans="1:18" x14ac:dyDescent="0.25">
      <c r="A453" t="s">
        <v>729</v>
      </c>
      <c r="B453" t="s">
        <v>403</v>
      </c>
      <c r="C453" t="s">
        <v>404</v>
      </c>
      <c r="D453" t="s">
        <v>123</v>
      </c>
      <c r="E453" t="s">
        <v>48</v>
      </c>
      <c r="F453">
        <f>ventas_libreria[[#This Row],[precio_eur]]/100</f>
        <v>32.89</v>
      </c>
      <c r="G453">
        <v>3289</v>
      </c>
      <c r="H453">
        <v>1</v>
      </c>
      <c r="I453">
        <f>ventas_libreria[[#This Row],[precio]]*ventas_libreria[[#This Row],[cantidad]]</f>
        <v>32.89</v>
      </c>
      <c r="J453">
        <v>58</v>
      </c>
      <c r="K453" t="s">
        <v>30</v>
      </c>
      <c r="L453" s="1">
        <v>45654</v>
      </c>
      <c r="M453" t="s">
        <v>21</v>
      </c>
      <c r="N453" t="s">
        <v>32</v>
      </c>
      <c r="O453" t="s">
        <v>33</v>
      </c>
      <c r="P453" t="s">
        <v>84</v>
      </c>
      <c r="Q453">
        <v>5</v>
      </c>
      <c r="R453">
        <f>IF(ventas_libreria[[#This Row],[valoracion_cliente]]="","Sin valoración",ventas_libreria[[#This Row],[valoracion_cliente]])</f>
        <v>5</v>
      </c>
    </row>
    <row r="454" spans="1:18" x14ac:dyDescent="0.25">
      <c r="A454" t="s">
        <v>730</v>
      </c>
      <c r="B454" t="s">
        <v>104</v>
      </c>
      <c r="C454" t="s">
        <v>105</v>
      </c>
      <c r="D454" t="s">
        <v>106</v>
      </c>
      <c r="E454" t="s">
        <v>107</v>
      </c>
      <c r="F454">
        <f>ventas_libreria[[#This Row],[precio_eur]]/100</f>
        <v>12.66</v>
      </c>
      <c r="G454">
        <v>1266</v>
      </c>
      <c r="H454">
        <v>1</v>
      </c>
      <c r="I454">
        <f>ventas_libreria[[#This Row],[precio]]*ventas_libreria[[#This Row],[cantidad]]</f>
        <v>12.66</v>
      </c>
      <c r="J454">
        <v>22</v>
      </c>
      <c r="K454" t="s">
        <v>38</v>
      </c>
      <c r="L454" s="1">
        <v>45436</v>
      </c>
      <c r="M454" t="s">
        <v>43</v>
      </c>
      <c r="N454" t="s">
        <v>32</v>
      </c>
      <c r="O454" t="s">
        <v>33</v>
      </c>
      <c r="P454" t="s">
        <v>24</v>
      </c>
      <c r="Q454">
        <v>4</v>
      </c>
      <c r="R454">
        <f>IF(ventas_libreria[[#This Row],[valoracion_cliente]]="","Sin valoración",ventas_libreria[[#This Row],[valoracion_cliente]])</f>
        <v>4</v>
      </c>
    </row>
    <row r="455" spans="1:18" x14ac:dyDescent="0.25">
      <c r="A455" t="s">
        <v>731</v>
      </c>
      <c r="B455" t="s">
        <v>193</v>
      </c>
      <c r="C455" t="s">
        <v>194</v>
      </c>
      <c r="D455" t="s">
        <v>195</v>
      </c>
      <c r="E455" t="s">
        <v>48</v>
      </c>
      <c r="F455">
        <f>ventas_libreria[[#This Row],[precio_eur]]/100</f>
        <v>21.89</v>
      </c>
      <c r="G455">
        <v>2189</v>
      </c>
      <c r="H455">
        <v>1</v>
      </c>
      <c r="I455">
        <f>ventas_libreria[[#This Row],[precio]]*ventas_libreria[[#This Row],[cantidad]]</f>
        <v>21.89</v>
      </c>
      <c r="J455">
        <v>45</v>
      </c>
      <c r="K455" t="s">
        <v>38</v>
      </c>
      <c r="L455" s="1">
        <v>45369</v>
      </c>
      <c r="M455" t="s">
        <v>43</v>
      </c>
      <c r="N455" t="s">
        <v>32</v>
      </c>
      <c r="O455" t="s">
        <v>33</v>
      </c>
      <c r="P455" t="s">
        <v>56</v>
      </c>
      <c r="Q455">
        <v>5</v>
      </c>
      <c r="R455">
        <f>IF(ventas_libreria[[#This Row],[valoracion_cliente]]="","Sin valoración",ventas_libreria[[#This Row],[valoracion_cliente]])</f>
        <v>5</v>
      </c>
    </row>
    <row r="456" spans="1:18" x14ac:dyDescent="0.25">
      <c r="A456" t="s">
        <v>732</v>
      </c>
      <c r="B456" t="s">
        <v>26</v>
      </c>
      <c r="C456" t="s">
        <v>27</v>
      </c>
      <c r="D456" t="s">
        <v>28</v>
      </c>
      <c r="E456" t="s">
        <v>29</v>
      </c>
      <c r="F456">
        <f>ventas_libreria[[#This Row],[precio_eur]]/100</f>
        <v>17.010000000000002</v>
      </c>
      <c r="G456">
        <v>1701</v>
      </c>
      <c r="H456">
        <v>3</v>
      </c>
      <c r="I456">
        <f>ventas_libreria[[#This Row],[precio]]*ventas_libreria[[#This Row],[cantidad]]</f>
        <v>51.03</v>
      </c>
      <c r="J456">
        <v>63</v>
      </c>
      <c r="K456" t="s">
        <v>62</v>
      </c>
      <c r="L456" s="1">
        <v>45413</v>
      </c>
      <c r="M456" t="s">
        <v>31</v>
      </c>
      <c r="N456" t="s">
        <v>22</v>
      </c>
      <c r="O456" t="s">
        <v>67</v>
      </c>
      <c r="P456" t="s">
        <v>24</v>
      </c>
      <c r="Q456">
        <v>4</v>
      </c>
      <c r="R456">
        <f>IF(ventas_libreria[[#This Row],[valoracion_cliente]]="","Sin valoración",ventas_libreria[[#This Row],[valoracion_cliente]])</f>
        <v>4</v>
      </c>
    </row>
    <row r="457" spans="1:18" x14ac:dyDescent="0.25">
      <c r="A457" t="s">
        <v>733</v>
      </c>
      <c r="B457" t="s">
        <v>327</v>
      </c>
      <c r="C457" t="s">
        <v>328</v>
      </c>
      <c r="D457" t="s">
        <v>288</v>
      </c>
      <c r="E457" t="s">
        <v>289</v>
      </c>
      <c r="F457">
        <f>ventas_libreria[[#This Row],[precio_eur]]/100</f>
        <v>19.46</v>
      </c>
      <c r="G457">
        <v>1946</v>
      </c>
      <c r="H457">
        <v>1</v>
      </c>
      <c r="I457">
        <f>ventas_libreria[[#This Row],[precio]]*ventas_libreria[[#This Row],[cantidad]]</f>
        <v>19.46</v>
      </c>
      <c r="J457">
        <v>22</v>
      </c>
      <c r="K457" t="s">
        <v>62</v>
      </c>
      <c r="L457" s="1">
        <v>45010</v>
      </c>
      <c r="M457" t="s">
        <v>31</v>
      </c>
      <c r="N457" t="s">
        <v>22</v>
      </c>
      <c r="O457" t="s">
        <v>23</v>
      </c>
      <c r="P457" t="s">
        <v>34</v>
      </c>
      <c r="Q457">
        <v>2</v>
      </c>
      <c r="R457">
        <f>IF(ventas_libreria[[#This Row],[valoracion_cliente]]="","Sin valoración",ventas_libreria[[#This Row],[valoracion_cliente]])</f>
        <v>2</v>
      </c>
    </row>
    <row r="458" spans="1:18" x14ac:dyDescent="0.25">
      <c r="A458" t="s">
        <v>734</v>
      </c>
      <c r="B458" t="s">
        <v>413</v>
      </c>
      <c r="C458" t="s">
        <v>414</v>
      </c>
      <c r="D458" t="s">
        <v>270</v>
      </c>
      <c r="E458" t="s">
        <v>415</v>
      </c>
      <c r="F458">
        <f>ventas_libreria[[#This Row],[precio_eur]]/100</f>
        <v>8.42</v>
      </c>
      <c r="G458">
        <v>842</v>
      </c>
      <c r="H458">
        <v>2</v>
      </c>
      <c r="I458">
        <f>ventas_libreria[[#This Row],[precio]]*ventas_libreria[[#This Row],[cantidad]]</f>
        <v>16.84</v>
      </c>
      <c r="J458">
        <v>54</v>
      </c>
      <c r="K458" t="s">
        <v>38</v>
      </c>
      <c r="L458" s="1">
        <v>45213</v>
      </c>
      <c r="M458" t="s">
        <v>21</v>
      </c>
      <c r="N458" t="s">
        <v>32</v>
      </c>
      <c r="O458" t="s">
        <v>33</v>
      </c>
      <c r="P458" t="s">
        <v>56</v>
      </c>
      <c r="Q458">
        <v>5</v>
      </c>
      <c r="R458">
        <f>IF(ventas_libreria[[#This Row],[valoracion_cliente]]="","Sin valoración",ventas_libreria[[#This Row],[valoracion_cliente]])</f>
        <v>5</v>
      </c>
    </row>
    <row r="459" spans="1:18" x14ac:dyDescent="0.25">
      <c r="A459" t="s">
        <v>735</v>
      </c>
      <c r="B459" t="s">
        <v>193</v>
      </c>
      <c r="C459" t="s">
        <v>194</v>
      </c>
      <c r="D459" t="s">
        <v>195</v>
      </c>
      <c r="E459" t="s">
        <v>48</v>
      </c>
      <c r="F459">
        <f>ventas_libreria[[#This Row],[precio_eur]]/100</f>
        <v>15.92</v>
      </c>
      <c r="G459">
        <v>1592</v>
      </c>
      <c r="H459">
        <v>2</v>
      </c>
      <c r="I459">
        <f>ventas_libreria[[#This Row],[precio]]*ventas_libreria[[#This Row],[cantidad]]</f>
        <v>31.84</v>
      </c>
      <c r="J459">
        <v>63</v>
      </c>
      <c r="K459" t="s">
        <v>20</v>
      </c>
      <c r="L459" s="1">
        <v>45131</v>
      </c>
      <c r="M459" t="s">
        <v>43</v>
      </c>
      <c r="N459" t="s">
        <v>32</v>
      </c>
      <c r="O459" t="s">
        <v>33</v>
      </c>
      <c r="P459" t="s">
        <v>34</v>
      </c>
      <c r="Q459">
        <v>4</v>
      </c>
      <c r="R459">
        <f>IF(ventas_libreria[[#This Row],[valoracion_cliente]]="","Sin valoración",ventas_libreria[[#This Row],[valoracion_cliente]])</f>
        <v>4</v>
      </c>
    </row>
    <row r="460" spans="1:18" x14ac:dyDescent="0.25">
      <c r="A460" t="s">
        <v>736</v>
      </c>
      <c r="B460" t="s">
        <v>91</v>
      </c>
      <c r="C460" t="s">
        <v>92</v>
      </c>
      <c r="D460" t="s">
        <v>93</v>
      </c>
      <c r="E460" t="s">
        <v>72</v>
      </c>
      <c r="F460">
        <f>ventas_libreria[[#This Row],[precio_eur]]/100</f>
        <v>1.39</v>
      </c>
      <c r="G460">
        <v>139</v>
      </c>
      <c r="H460">
        <v>1</v>
      </c>
      <c r="I460">
        <f>ventas_libreria[[#This Row],[precio]]*ventas_libreria[[#This Row],[cantidad]]</f>
        <v>1.39</v>
      </c>
      <c r="J460">
        <v>52</v>
      </c>
      <c r="K460" t="s">
        <v>62</v>
      </c>
      <c r="L460" s="1">
        <v>45368</v>
      </c>
      <c r="M460" t="s">
        <v>21</v>
      </c>
      <c r="N460" t="s">
        <v>32</v>
      </c>
      <c r="O460" t="s">
        <v>33</v>
      </c>
      <c r="P460" t="s">
        <v>50</v>
      </c>
      <c r="Q460">
        <v>5</v>
      </c>
      <c r="R460">
        <f>IF(ventas_libreria[[#This Row],[valoracion_cliente]]="","Sin valoración",ventas_libreria[[#This Row],[valoracion_cliente]])</f>
        <v>5</v>
      </c>
    </row>
    <row r="461" spans="1:18" x14ac:dyDescent="0.25">
      <c r="A461" t="s">
        <v>737</v>
      </c>
      <c r="B461" t="s">
        <v>353</v>
      </c>
      <c r="C461" t="s">
        <v>354</v>
      </c>
      <c r="D461" t="s">
        <v>226</v>
      </c>
      <c r="E461" t="s">
        <v>116</v>
      </c>
      <c r="F461">
        <f>ventas_libreria[[#This Row],[precio_eur]]/100</f>
        <v>17.75</v>
      </c>
      <c r="G461">
        <v>1775</v>
      </c>
      <c r="H461">
        <v>2</v>
      </c>
      <c r="I461">
        <f>ventas_libreria[[#This Row],[precio]]*ventas_libreria[[#This Row],[cantidad]]</f>
        <v>35.5</v>
      </c>
      <c r="J461">
        <v>26</v>
      </c>
      <c r="K461" t="s">
        <v>38</v>
      </c>
      <c r="L461" s="1">
        <v>45072</v>
      </c>
      <c r="M461" t="s">
        <v>31</v>
      </c>
      <c r="N461" t="s">
        <v>22</v>
      </c>
      <c r="O461" t="s">
        <v>23</v>
      </c>
      <c r="P461" t="s">
        <v>56</v>
      </c>
      <c r="Q461">
        <v>3</v>
      </c>
      <c r="R461">
        <f>IF(ventas_libreria[[#This Row],[valoracion_cliente]]="","Sin valoración",ventas_libreria[[#This Row],[valoracion_cliente]])</f>
        <v>3</v>
      </c>
    </row>
    <row r="462" spans="1:18" x14ac:dyDescent="0.25">
      <c r="A462" t="s">
        <v>738</v>
      </c>
      <c r="B462" t="s">
        <v>307</v>
      </c>
      <c r="C462" t="s">
        <v>308</v>
      </c>
      <c r="D462" t="s">
        <v>88</v>
      </c>
      <c r="E462" t="s">
        <v>77</v>
      </c>
      <c r="F462">
        <f>ventas_libreria[[#This Row],[precio_eur]]/100</f>
        <v>11.45</v>
      </c>
      <c r="G462">
        <v>1145</v>
      </c>
      <c r="H462">
        <v>1</v>
      </c>
      <c r="I462">
        <f>ventas_libreria[[#This Row],[precio]]*ventas_libreria[[#This Row],[cantidad]]</f>
        <v>11.45</v>
      </c>
      <c r="J462">
        <v>12</v>
      </c>
      <c r="K462" t="s">
        <v>62</v>
      </c>
      <c r="L462" s="1">
        <v>45605</v>
      </c>
      <c r="M462" t="s">
        <v>43</v>
      </c>
      <c r="N462" t="s">
        <v>32</v>
      </c>
      <c r="O462" t="s">
        <v>33</v>
      </c>
      <c r="P462" t="s">
        <v>56</v>
      </c>
      <c r="Q462">
        <v>4</v>
      </c>
      <c r="R462">
        <f>IF(ventas_libreria[[#This Row],[valoracion_cliente]]="","Sin valoración",ventas_libreria[[#This Row],[valoracion_cliente]])</f>
        <v>4</v>
      </c>
    </row>
    <row r="463" spans="1:18" x14ac:dyDescent="0.25">
      <c r="A463" t="s">
        <v>739</v>
      </c>
      <c r="B463" t="s">
        <v>40</v>
      </c>
      <c r="C463" t="s">
        <v>41</v>
      </c>
      <c r="D463" t="s">
        <v>42</v>
      </c>
      <c r="E463" t="s">
        <v>19</v>
      </c>
      <c r="F463">
        <f>ventas_libreria[[#This Row],[precio_eur]]/100</f>
        <v>1.29</v>
      </c>
      <c r="G463">
        <v>129</v>
      </c>
      <c r="H463">
        <v>1</v>
      </c>
      <c r="I463">
        <f>ventas_libreria[[#This Row],[precio]]*ventas_libreria[[#This Row],[cantidad]]</f>
        <v>1.29</v>
      </c>
      <c r="J463">
        <v>55</v>
      </c>
      <c r="K463" t="s">
        <v>30</v>
      </c>
      <c r="L463" s="1">
        <v>45758</v>
      </c>
      <c r="M463" t="s">
        <v>31</v>
      </c>
      <c r="N463" t="s">
        <v>32</v>
      </c>
      <c r="O463" t="s">
        <v>33</v>
      </c>
      <c r="P463" t="s">
        <v>34</v>
      </c>
      <c r="Q463">
        <v>5</v>
      </c>
      <c r="R463">
        <f>IF(ventas_libreria[[#This Row],[valoracion_cliente]]="","Sin valoración",ventas_libreria[[#This Row],[valoracion_cliente]])</f>
        <v>5</v>
      </c>
    </row>
    <row r="464" spans="1:18" x14ac:dyDescent="0.25">
      <c r="A464" t="s">
        <v>740</v>
      </c>
      <c r="B464" t="s">
        <v>296</v>
      </c>
      <c r="C464" t="s">
        <v>297</v>
      </c>
      <c r="D464" t="s">
        <v>298</v>
      </c>
      <c r="E464" t="s">
        <v>154</v>
      </c>
      <c r="F464">
        <f>ventas_libreria[[#This Row],[precio_eur]]/100</f>
        <v>19.690000000000001</v>
      </c>
      <c r="G464">
        <v>1969</v>
      </c>
      <c r="H464">
        <v>1</v>
      </c>
      <c r="I464">
        <f>ventas_libreria[[#This Row],[precio]]*ventas_libreria[[#This Row],[cantidad]]</f>
        <v>19.690000000000001</v>
      </c>
      <c r="J464">
        <v>52</v>
      </c>
      <c r="K464" t="s">
        <v>20</v>
      </c>
      <c r="L464" s="1">
        <v>45594</v>
      </c>
      <c r="M464" t="s">
        <v>31</v>
      </c>
      <c r="N464" t="s">
        <v>22</v>
      </c>
      <c r="O464" t="s">
        <v>132</v>
      </c>
      <c r="P464" t="s">
        <v>34</v>
      </c>
      <c r="Q464">
        <v>5</v>
      </c>
      <c r="R464">
        <f>IF(ventas_libreria[[#This Row],[valoracion_cliente]]="","Sin valoración",ventas_libreria[[#This Row],[valoracion_cliente]])</f>
        <v>5</v>
      </c>
    </row>
    <row r="465" spans="1:18" x14ac:dyDescent="0.25">
      <c r="A465" t="s">
        <v>741</v>
      </c>
      <c r="B465" t="s">
        <v>69</v>
      </c>
      <c r="C465" t="s">
        <v>70</v>
      </c>
      <c r="D465" t="s">
        <v>71</v>
      </c>
      <c r="E465" t="s">
        <v>72</v>
      </c>
      <c r="F465">
        <f>ventas_libreria[[#This Row],[precio_eur]]/100</f>
        <v>14.36</v>
      </c>
      <c r="G465">
        <v>1436</v>
      </c>
      <c r="H465">
        <v>3</v>
      </c>
      <c r="I465">
        <f>ventas_libreria[[#This Row],[precio]]*ventas_libreria[[#This Row],[cantidad]]</f>
        <v>43.08</v>
      </c>
      <c r="J465">
        <v>35</v>
      </c>
      <c r="K465" t="s">
        <v>62</v>
      </c>
      <c r="L465" s="1">
        <v>45943</v>
      </c>
      <c r="M465" t="s">
        <v>31</v>
      </c>
      <c r="N465" t="s">
        <v>22</v>
      </c>
      <c r="O465" t="s">
        <v>98</v>
      </c>
      <c r="P465" t="s">
        <v>50</v>
      </c>
      <c r="Q465">
        <v>5</v>
      </c>
      <c r="R465">
        <f>IF(ventas_libreria[[#This Row],[valoracion_cliente]]="","Sin valoración",ventas_libreria[[#This Row],[valoracion_cliente]])</f>
        <v>5</v>
      </c>
    </row>
    <row r="466" spans="1:18" x14ac:dyDescent="0.25">
      <c r="A466" t="s">
        <v>742</v>
      </c>
      <c r="B466" t="s">
        <v>461</v>
      </c>
      <c r="C466" t="s">
        <v>462</v>
      </c>
      <c r="D466" t="s">
        <v>143</v>
      </c>
      <c r="E466" t="s">
        <v>116</v>
      </c>
      <c r="F466">
        <f>ventas_libreria[[#This Row],[precio_eur]]/100</f>
        <v>1.46</v>
      </c>
      <c r="G466">
        <v>146</v>
      </c>
      <c r="H466">
        <v>1</v>
      </c>
      <c r="I466">
        <f>ventas_libreria[[#This Row],[precio]]*ventas_libreria[[#This Row],[cantidad]]</f>
        <v>1.46</v>
      </c>
      <c r="J466">
        <v>28</v>
      </c>
      <c r="K466" t="s">
        <v>62</v>
      </c>
      <c r="L466" s="1">
        <v>45138</v>
      </c>
      <c r="M466" t="s">
        <v>43</v>
      </c>
      <c r="N466" t="s">
        <v>32</v>
      </c>
      <c r="O466" t="s">
        <v>33</v>
      </c>
      <c r="P466" t="s">
        <v>56</v>
      </c>
      <c r="Q466">
        <v>5</v>
      </c>
      <c r="R466">
        <f>IF(ventas_libreria[[#This Row],[valoracion_cliente]]="","Sin valoración",ventas_libreria[[#This Row],[valoracion_cliente]])</f>
        <v>5</v>
      </c>
    </row>
    <row r="467" spans="1:18" x14ac:dyDescent="0.25">
      <c r="A467" t="s">
        <v>743</v>
      </c>
      <c r="B467" t="s">
        <v>134</v>
      </c>
      <c r="C467" t="s">
        <v>135</v>
      </c>
      <c r="D467" t="s">
        <v>106</v>
      </c>
      <c r="E467" t="s">
        <v>107</v>
      </c>
      <c r="F467">
        <f>ventas_libreria[[#This Row],[precio_eur]]/100</f>
        <v>1.49</v>
      </c>
      <c r="G467">
        <v>149</v>
      </c>
      <c r="H467">
        <v>1</v>
      </c>
      <c r="I467">
        <f>ventas_libreria[[#This Row],[precio]]*ventas_libreria[[#This Row],[cantidad]]</f>
        <v>1.49</v>
      </c>
      <c r="J467">
        <v>21</v>
      </c>
      <c r="K467" t="s">
        <v>20</v>
      </c>
      <c r="L467" s="1">
        <v>45762</v>
      </c>
      <c r="M467" t="s">
        <v>21</v>
      </c>
      <c r="N467" t="s">
        <v>32</v>
      </c>
      <c r="O467" t="s">
        <v>33</v>
      </c>
      <c r="P467" t="s">
        <v>34</v>
      </c>
      <c r="Q467">
        <v>5</v>
      </c>
      <c r="R467">
        <f>IF(ventas_libreria[[#This Row],[valoracion_cliente]]="","Sin valoración",ventas_libreria[[#This Row],[valoracion_cliente]])</f>
        <v>5</v>
      </c>
    </row>
    <row r="468" spans="1:18" x14ac:dyDescent="0.25">
      <c r="A468" t="s">
        <v>744</v>
      </c>
      <c r="B468" t="s">
        <v>186</v>
      </c>
      <c r="C468" t="s">
        <v>187</v>
      </c>
      <c r="D468" t="s">
        <v>188</v>
      </c>
      <c r="E468" t="s">
        <v>189</v>
      </c>
      <c r="F468">
        <f>ventas_libreria[[#This Row],[precio_eur]]/100</f>
        <v>1.99</v>
      </c>
      <c r="G468">
        <v>199</v>
      </c>
      <c r="H468">
        <v>2</v>
      </c>
      <c r="I468">
        <f>ventas_libreria[[#This Row],[precio]]*ventas_libreria[[#This Row],[cantidad]]</f>
        <v>3.98</v>
      </c>
      <c r="J468">
        <v>64</v>
      </c>
      <c r="K468" t="s">
        <v>20</v>
      </c>
      <c r="L468" s="1">
        <v>45840</v>
      </c>
      <c r="M468" t="s">
        <v>21</v>
      </c>
      <c r="N468" t="s">
        <v>22</v>
      </c>
      <c r="O468" t="s">
        <v>98</v>
      </c>
      <c r="P468" t="s">
        <v>56</v>
      </c>
      <c r="Q468">
        <v>4</v>
      </c>
      <c r="R468">
        <f>IF(ventas_libreria[[#This Row],[valoracion_cliente]]="","Sin valoración",ventas_libreria[[#This Row],[valoracion_cliente]])</f>
        <v>4</v>
      </c>
    </row>
    <row r="469" spans="1:18" x14ac:dyDescent="0.25">
      <c r="A469" t="s">
        <v>745</v>
      </c>
      <c r="B469" t="s">
        <v>296</v>
      </c>
      <c r="C469" t="s">
        <v>297</v>
      </c>
      <c r="D469" t="s">
        <v>298</v>
      </c>
      <c r="E469" t="s">
        <v>154</v>
      </c>
      <c r="F469">
        <f>ventas_libreria[[#This Row],[precio_eur]]/100</f>
        <v>19.690000000000001</v>
      </c>
      <c r="G469">
        <v>1969</v>
      </c>
      <c r="H469">
        <v>3</v>
      </c>
      <c r="I469">
        <f>ventas_libreria[[#This Row],[precio]]*ventas_libreria[[#This Row],[cantidad]]</f>
        <v>59.070000000000007</v>
      </c>
      <c r="J469">
        <v>36</v>
      </c>
      <c r="K469" t="s">
        <v>30</v>
      </c>
      <c r="L469" s="1">
        <v>45774</v>
      </c>
      <c r="M469" t="s">
        <v>21</v>
      </c>
      <c r="N469" t="s">
        <v>22</v>
      </c>
      <c r="O469" t="s">
        <v>98</v>
      </c>
      <c r="P469" t="s">
        <v>56</v>
      </c>
      <c r="Q469">
        <v>2</v>
      </c>
      <c r="R469">
        <f>IF(ventas_libreria[[#This Row],[valoracion_cliente]]="","Sin valoración",ventas_libreria[[#This Row],[valoracion_cliente]])</f>
        <v>2</v>
      </c>
    </row>
    <row r="470" spans="1:18" x14ac:dyDescent="0.25">
      <c r="A470" t="s">
        <v>746</v>
      </c>
      <c r="B470" t="s">
        <v>549</v>
      </c>
      <c r="C470" t="s">
        <v>550</v>
      </c>
      <c r="D470" t="s">
        <v>162</v>
      </c>
      <c r="E470" t="s">
        <v>29</v>
      </c>
      <c r="F470">
        <f>ventas_libreria[[#This Row],[precio_eur]]/100</f>
        <v>1.99</v>
      </c>
      <c r="G470">
        <v>199</v>
      </c>
      <c r="H470">
        <v>2</v>
      </c>
      <c r="I470">
        <f>ventas_libreria[[#This Row],[precio]]*ventas_libreria[[#This Row],[cantidad]]</f>
        <v>3.98</v>
      </c>
      <c r="J470">
        <v>19</v>
      </c>
      <c r="K470" t="s">
        <v>20</v>
      </c>
      <c r="L470" s="1">
        <v>45786</v>
      </c>
      <c r="M470" t="s">
        <v>31</v>
      </c>
      <c r="N470" t="s">
        <v>22</v>
      </c>
      <c r="O470" t="s">
        <v>23</v>
      </c>
      <c r="P470" t="s">
        <v>24</v>
      </c>
      <c r="Q470">
        <v>4</v>
      </c>
      <c r="R470">
        <f>IF(ventas_libreria[[#This Row],[valoracion_cliente]]="","Sin valoración",ventas_libreria[[#This Row],[valoracion_cliente]])</f>
        <v>4</v>
      </c>
    </row>
    <row r="471" spans="1:18" x14ac:dyDescent="0.25">
      <c r="A471" t="s">
        <v>747</v>
      </c>
      <c r="B471" t="s">
        <v>307</v>
      </c>
      <c r="C471" t="s">
        <v>308</v>
      </c>
      <c r="D471" t="s">
        <v>88</v>
      </c>
      <c r="E471" t="s">
        <v>77</v>
      </c>
      <c r="F471">
        <f>ventas_libreria[[#This Row],[precio_eur]]/100</f>
        <v>9.27</v>
      </c>
      <c r="G471">
        <v>927</v>
      </c>
      <c r="H471">
        <v>1</v>
      </c>
      <c r="I471">
        <f>ventas_libreria[[#This Row],[precio]]*ventas_libreria[[#This Row],[cantidad]]</f>
        <v>9.27</v>
      </c>
      <c r="J471">
        <v>7</v>
      </c>
      <c r="K471" t="s">
        <v>20</v>
      </c>
      <c r="L471" s="1">
        <v>45130</v>
      </c>
      <c r="M471" t="s">
        <v>31</v>
      </c>
      <c r="N471" t="s">
        <v>32</v>
      </c>
      <c r="O471" t="s">
        <v>33</v>
      </c>
      <c r="P471" t="s">
        <v>34</v>
      </c>
      <c r="Q471">
        <v>5</v>
      </c>
      <c r="R471">
        <f>IF(ventas_libreria[[#This Row],[valoracion_cliente]]="","Sin valoración",ventas_libreria[[#This Row],[valoracion_cliente]])</f>
        <v>5</v>
      </c>
    </row>
    <row r="472" spans="1:18" x14ac:dyDescent="0.25">
      <c r="A472" t="s">
        <v>748</v>
      </c>
      <c r="B472" t="s">
        <v>461</v>
      </c>
      <c r="C472" t="s">
        <v>462</v>
      </c>
      <c r="D472" t="s">
        <v>143</v>
      </c>
      <c r="E472" t="s">
        <v>116</v>
      </c>
      <c r="F472">
        <f>ventas_libreria[[#This Row],[precio_eur]]/100</f>
        <v>1.39</v>
      </c>
      <c r="G472">
        <v>139</v>
      </c>
      <c r="H472">
        <v>1</v>
      </c>
      <c r="I472">
        <f>ventas_libreria[[#This Row],[precio]]*ventas_libreria[[#This Row],[cantidad]]</f>
        <v>1.39</v>
      </c>
      <c r="J472">
        <v>59</v>
      </c>
      <c r="K472" t="s">
        <v>62</v>
      </c>
      <c r="L472" s="1">
        <v>45274</v>
      </c>
      <c r="M472" t="s">
        <v>21</v>
      </c>
      <c r="N472" t="s">
        <v>32</v>
      </c>
      <c r="O472" t="s">
        <v>33</v>
      </c>
      <c r="P472" t="s">
        <v>50</v>
      </c>
      <c r="Q472">
        <v>3</v>
      </c>
      <c r="R472">
        <f>IF(ventas_libreria[[#This Row],[valoracion_cliente]]="","Sin valoración",ventas_libreria[[#This Row],[valoracion_cliente]])</f>
        <v>3</v>
      </c>
    </row>
    <row r="473" spans="1:18" x14ac:dyDescent="0.25">
      <c r="A473" t="s">
        <v>749</v>
      </c>
      <c r="B473" t="s">
        <v>134</v>
      </c>
      <c r="C473" t="s">
        <v>135</v>
      </c>
      <c r="D473" t="s">
        <v>106</v>
      </c>
      <c r="E473" t="s">
        <v>107</v>
      </c>
      <c r="F473">
        <f>ventas_libreria[[#This Row],[precio_eur]]/100</f>
        <v>1.49</v>
      </c>
      <c r="G473">
        <v>149</v>
      </c>
      <c r="H473">
        <v>1</v>
      </c>
      <c r="I473">
        <f>ventas_libreria[[#This Row],[precio]]*ventas_libreria[[#This Row],[cantidad]]</f>
        <v>1.49</v>
      </c>
      <c r="J473">
        <v>18</v>
      </c>
      <c r="K473" t="s">
        <v>62</v>
      </c>
      <c r="L473" s="1">
        <v>45848</v>
      </c>
      <c r="M473" t="s">
        <v>43</v>
      </c>
      <c r="N473" t="s">
        <v>32</v>
      </c>
      <c r="O473" t="s">
        <v>33</v>
      </c>
      <c r="P473" t="s">
        <v>34</v>
      </c>
      <c r="Q473">
        <v>5</v>
      </c>
      <c r="R473">
        <f>IF(ventas_libreria[[#This Row],[valoracion_cliente]]="","Sin valoración",ventas_libreria[[#This Row],[valoracion_cliente]])</f>
        <v>5</v>
      </c>
    </row>
    <row r="474" spans="1:18" x14ac:dyDescent="0.25">
      <c r="A474" t="s">
        <v>750</v>
      </c>
      <c r="B474" t="s">
        <v>160</v>
      </c>
      <c r="C474" t="s">
        <v>161</v>
      </c>
      <c r="D474" t="s">
        <v>162</v>
      </c>
      <c r="E474" t="s">
        <v>29</v>
      </c>
      <c r="F474">
        <f>ventas_libreria[[#This Row],[precio_eur]]/100</f>
        <v>14.36</v>
      </c>
      <c r="G474">
        <v>1436</v>
      </c>
      <c r="H474">
        <v>1</v>
      </c>
      <c r="I474">
        <f>ventas_libreria[[#This Row],[precio]]*ventas_libreria[[#This Row],[cantidad]]</f>
        <v>14.36</v>
      </c>
      <c r="J474">
        <v>46</v>
      </c>
      <c r="K474" t="s">
        <v>30</v>
      </c>
      <c r="L474" s="1">
        <v>45469</v>
      </c>
      <c r="M474" t="s">
        <v>21</v>
      </c>
      <c r="N474" t="s">
        <v>22</v>
      </c>
      <c r="O474" t="s">
        <v>98</v>
      </c>
      <c r="P474" t="s">
        <v>50</v>
      </c>
      <c r="Q474">
        <v>4</v>
      </c>
      <c r="R474">
        <f>IF(ventas_libreria[[#This Row],[valoracion_cliente]]="","Sin valoración",ventas_libreria[[#This Row],[valoracion_cliente]])</f>
        <v>4</v>
      </c>
    </row>
    <row r="475" spans="1:18" x14ac:dyDescent="0.25">
      <c r="A475" t="s">
        <v>751</v>
      </c>
      <c r="B475" t="s">
        <v>240</v>
      </c>
      <c r="C475" t="s">
        <v>241</v>
      </c>
      <c r="D475" t="s">
        <v>54</v>
      </c>
      <c r="E475" t="s">
        <v>172</v>
      </c>
      <c r="F475">
        <f>ventas_libreria[[#This Row],[precio_eur]]/100</f>
        <v>1.49</v>
      </c>
      <c r="G475">
        <v>149</v>
      </c>
      <c r="H475">
        <v>1</v>
      </c>
      <c r="I475">
        <f>ventas_libreria[[#This Row],[precio]]*ventas_libreria[[#This Row],[cantidad]]</f>
        <v>1.49</v>
      </c>
      <c r="J475">
        <v>52</v>
      </c>
      <c r="K475" t="s">
        <v>30</v>
      </c>
      <c r="L475" s="1">
        <v>45554</v>
      </c>
      <c r="M475" t="s">
        <v>31</v>
      </c>
      <c r="N475" t="s">
        <v>22</v>
      </c>
      <c r="O475" t="s">
        <v>49</v>
      </c>
      <c r="P475" t="s">
        <v>50</v>
      </c>
      <c r="Q475">
        <v>4</v>
      </c>
      <c r="R475">
        <f>IF(ventas_libreria[[#This Row],[valoracion_cliente]]="","Sin valoración",ventas_libreria[[#This Row],[valoracion_cliente]])</f>
        <v>4</v>
      </c>
    </row>
    <row r="476" spans="1:18" x14ac:dyDescent="0.25">
      <c r="A476" t="s">
        <v>752</v>
      </c>
      <c r="B476" t="s">
        <v>508</v>
      </c>
      <c r="C476" t="s">
        <v>509</v>
      </c>
      <c r="D476" t="s">
        <v>199</v>
      </c>
      <c r="E476" t="s">
        <v>55</v>
      </c>
      <c r="F476">
        <f>ventas_libreria[[#This Row],[precio_eur]]/100</f>
        <v>1.89</v>
      </c>
      <c r="G476">
        <v>189</v>
      </c>
      <c r="H476">
        <v>1</v>
      </c>
      <c r="I476">
        <f>ventas_libreria[[#This Row],[precio]]*ventas_libreria[[#This Row],[cantidad]]</f>
        <v>1.89</v>
      </c>
      <c r="J476">
        <v>68</v>
      </c>
      <c r="K476" t="s">
        <v>20</v>
      </c>
      <c r="L476" s="1">
        <v>45892</v>
      </c>
      <c r="M476" t="s">
        <v>43</v>
      </c>
      <c r="N476" t="s">
        <v>32</v>
      </c>
      <c r="O476" t="s">
        <v>33</v>
      </c>
      <c r="P476" t="s">
        <v>24</v>
      </c>
      <c r="Q476">
        <v>4</v>
      </c>
      <c r="R476">
        <f>IF(ventas_libreria[[#This Row],[valoracion_cliente]]="","Sin valoración",ventas_libreria[[#This Row],[valoracion_cliente]])</f>
        <v>4</v>
      </c>
    </row>
    <row r="477" spans="1:18" x14ac:dyDescent="0.25">
      <c r="A477" t="s">
        <v>753</v>
      </c>
      <c r="B477" t="s">
        <v>301</v>
      </c>
      <c r="C477" t="s">
        <v>302</v>
      </c>
      <c r="D477" t="s">
        <v>245</v>
      </c>
      <c r="E477" t="s">
        <v>48</v>
      </c>
      <c r="F477">
        <f>ventas_libreria[[#This Row],[precio_eur]]/100</f>
        <v>22.41</v>
      </c>
      <c r="G477">
        <v>2241</v>
      </c>
      <c r="H477">
        <v>1</v>
      </c>
      <c r="I477">
        <f>ventas_libreria[[#This Row],[precio]]*ventas_libreria[[#This Row],[cantidad]]</f>
        <v>22.41</v>
      </c>
      <c r="J477">
        <v>67</v>
      </c>
      <c r="K477" t="s">
        <v>20</v>
      </c>
      <c r="L477" s="1">
        <v>45143</v>
      </c>
      <c r="M477" t="s">
        <v>43</v>
      </c>
      <c r="N477" t="s">
        <v>32</v>
      </c>
      <c r="O477" t="s">
        <v>33</v>
      </c>
      <c r="P477" t="s">
        <v>24</v>
      </c>
      <c r="Q477">
        <v>5</v>
      </c>
      <c r="R477">
        <f>IF(ventas_libreria[[#This Row],[valoracion_cliente]]="","Sin valoración",ventas_libreria[[#This Row],[valoracion_cliente]])</f>
        <v>5</v>
      </c>
    </row>
    <row r="478" spans="1:18" x14ac:dyDescent="0.25">
      <c r="A478" t="s">
        <v>754</v>
      </c>
      <c r="B478" t="s">
        <v>338</v>
      </c>
      <c r="C478" t="s">
        <v>339</v>
      </c>
      <c r="D478" t="s">
        <v>167</v>
      </c>
      <c r="E478" t="s">
        <v>61</v>
      </c>
      <c r="F478">
        <f>ventas_libreria[[#This Row],[precio_eur]]/100</f>
        <v>2.29</v>
      </c>
      <c r="G478">
        <v>229</v>
      </c>
      <c r="H478">
        <v>1</v>
      </c>
      <c r="I478">
        <f>ventas_libreria[[#This Row],[precio]]*ventas_libreria[[#This Row],[cantidad]]</f>
        <v>2.29</v>
      </c>
      <c r="J478">
        <v>48</v>
      </c>
      <c r="K478" t="s">
        <v>20</v>
      </c>
      <c r="L478" s="1">
        <v>45598</v>
      </c>
      <c r="M478" t="s">
        <v>43</v>
      </c>
      <c r="N478" t="s">
        <v>32</v>
      </c>
      <c r="O478" t="s">
        <v>33</v>
      </c>
      <c r="P478" t="s">
        <v>34</v>
      </c>
      <c r="Q478">
        <v>3</v>
      </c>
      <c r="R478">
        <f>IF(ventas_libreria[[#This Row],[valoracion_cliente]]="","Sin valoración",ventas_libreria[[#This Row],[valoracion_cliente]])</f>
        <v>3</v>
      </c>
    </row>
    <row r="479" spans="1:18" x14ac:dyDescent="0.25">
      <c r="A479" t="s">
        <v>755</v>
      </c>
      <c r="B479" t="s">
        <v>186</v>
      </c>
      <c r="C479" t="s">
        <v>187</v>
      </c>
      <c r="D479" t="s">
        <v>188</v>
      </c>
      <c r="E479" t="s">
        <v>189</v>
      </c>
      <c r="F479">
        <f>ventas_libreria[[#This Row],[precio_eur]]/100</f>
        <v>21.89</v>
      </c>
      <c r="G479">
        <v>2189</v>
      </c>
      <c r="H479">
        <v>1</v>
      </c>
      <c r="I479">
        <f>ventas_libreria[[#This Row],[precio]]*ventas_libreria[[#This Row],[cantidad]]</f>
        <v>21.89</v>
      </c>
      <c r="J479">
        <v>58</v>
      </c>
      <c r="K479" t="s">
        <v>62</v>
      </c>
      <c r="L479" s="1">
        <v>44959</v>
      </c>
      <c r="M479" t="s">
        <v>21</v>
      </c>
      <c r="N479" t="s">
        <v>22</v>
      </c>
      <c r="O479" t="s">
        <v>23</v>
      </c>
      <c r="P479" t="s">
        <v>24</v>
      </c>
      <c r="Q479">
        <v>4</v>
      </c>
      <c r="R479">
        <f>IF(ventas_libreria[[#This Row],[valoracion_cliente]]="","Sin valoración",ventas_libreria[[#This Row],[valoracion_cliente]])</f>
        <v>4</v>
      </c>
    </row>
    <row r="480" spans="1:18" x14ac:dyDescent="0.25">
      <c r="A480" t="s">
        <v>756</v>
      </c>
      <c r="B480" t="s">
        <v>327</v>
      </c>
      <c r="C480" t="s">
        <v>328</v>
      </c>
      <c r="D480" t="s">
        <v>288</v>
      </c>
      <c r="E480" t="s">
        <v>289</v>
      </c>
      <c r="F480">
        <f>ventas_libreria[[#This Row],[precio_eur]]/100</f>
        <v>2.29</v>
      </c>
      <c r="G480">
        <v>229</v>
      </c>
      <c r="H480">
        <v>1</v>
      </c>
      <c r="I480">
        <f>ventas_libreria[[#This Row],[precio]]*ventas_libreria[[#This Row],[cantidad]]</f>
        <v>2.29</v>
      </c>
      <c r="J480">
        <v>34</v>
      </c>
      <c r="K480" t="s">
        <v>62</v>
      </c>
      <c r="L480" s="1">
        <v>45202</v>
      </c>
      <c r="M480" t="s">
        <v>21</v>
      </c>
      <c r="N480" t="s">
        <v>22</v>
      </c>
      <c r="O480" t="s">
        <v>67</v>
      </c>
      <c r="P480" t="s">
        <v>84</v>
      </c>
      <c r="Q480">
        <v>4</v>
      </c>
      <c r="R480">
        <f>IF(ventas_libreria[[#This Row],[valoracion_cliente]]="","Sin valoración",ventas_libreria[[#This Row],[valoracion_cliente]])</f>
        <v>4</v>
      </c>
    </row>
    <row r="481" spans="1:18" x14ac:dyDescent="0.25">
      <c r="A481" t="s">
        <v>757</v>
      </c>
      <c r="B481" t="s">
        <v>413</v>
      </c>
      <c r="C481" t="s">
        <v>414</v>
      </c>
      <c r="D481" t="s">
        <v>270</v>
      </c>
      <c r="E481" t="s">
        <v>415</v>
      </c>
      <c r="F481">
        <f>ventas_libreria[[#This Row],[precio_eur]]/100</f>
        <v>0.99</v>
      </c>
      <c r="G481">
        <v>99</v>
      </c>
      <c r="H481">
        <v>1</v>
      </c>
      <c r="I481">
        <f>ventas_libreria[[#This Row],[precio]]*ventas_libreria[[#This Row],[cantidad]]</f>
        <v>0.99</v>
      </c>
      <c r="J481">
        <v>53</v>
      </c>
      <c r="K481" t="s">
        <v>38</v>
      </c>
      <c r="L481" s="1">
        <v>45226</v>
      </c>
      <c r="M481" t="s">
        <v>31</v>
      </c>
      <c r="N481" t="s">
        <v>22</v>
      </c>
      <c r="O481" t="s">
        <v>49</v>
      </c>
      <c r="P481" t="s">
        <v>34</v>
      </c>
      <c r="Q481">
        <v>4</v>
      </c>
      <c r="R481">
        <f>IF(ventas_libreria[[#This Row],[valoracion_cliente]]="","Sin valoración",ventas_libreria[[#This Row],[valoracion_cliente]])</f>
        <v>4</v>
      </c>
    </row>
    <row r="482" spans="1:18" x14ac:dyDescent="0.25">
      <c r="A482" t="s">
        <v>758</v>
      </c>
      <c r="B482" t="s">
        <v>398</v>
      </c>
      <c r="C482" t="s">
        <v>399</v>
      </c>
      <c r="D482" t="s">
        <v>167</v>
      </c>
      <c r="E482" t="s">
        <v>61</v>
      </c>
      <c r="F482">
        <f>ventas_libreria[[#This Row],[precio_eur]]/100</f>
        <v>17.75</v>
      </c>
      <c r="G482">
        <v>1775</v>
      </c>
      <c r="H482">
        <v>1</v>
      </c>
      <c r="I482">
        <f>ventas_libreria[[#This Row],[precio]]*ventas_libreria[[#This Row],[cantidad]]</f>
        <v>17.75</v>
      </c>
      <c r="J482">
        <v>72</v>
      </c>
      <c r="K482" t="s">
        <v>62</v>
      </c>
      <c r="L482" s="1">
        <v>45794</v>
      </c>
      <c r="M482" t="s">
        <v>31</v>
      </c>
      <c r="N482" t="s">
        <v>32</v>
      </c>
      <c r="O482" t="s">
        <v>33</v>
      </c>
      <c r="P482" t="s">
        <v>34</v>
      </c>
      <c r="Q482">
        <v>5</v>
      </c>
      <c r="R482">
        <f>IF(ventas_libreria[[#This Row],[valoracion_cliente]]="","Sin valoración",ventas_libreria[[#This Row],[valoracion_cliente]])</f>
        <v>5</v>
      </c>
    </row>
    <row r="483" spans="1:18" x14ac:dyDescent="0.25">
      <c r="A483" t="s">
        <v>759</v>
      </c>
      <c r="B483" t="s">
        <v>296</v>
      </c>
      <c r="C483" t="s">
        <v>297</v>
      </c>
      <c r="D483" t="s">
        <v>298</v>
      </c>
      <c r="E483" t="s">
        <v>154</v>
      </c>
      <c r="F483">
        <f>ventas_libreria[[#This Row],[precio_eur]]/100</f>
        <v>19.690000000000001</v>
      </c>
      <c r="G483">
        <v>1969</v>
      </c>
      <c r="H483">
        <v>1</v>
      </c>
      <c r="I483">
        <f>ventas_libreria[[#This Row],[precio]]*ventas_libreria[[#This Row],[cantidad]]</f>
        <v>19.690000000000001</v>
      </c>
      <c r="J483">
        <v>39</v>
      </c>
      <c r="K483" t="s">
        <v>62</v>
      </c>
      <c r="L483" s="1">
        <v>45558</v>
      </c>
      <c r="M483" t="s">
        <v>31</v>
      </c>
      <c r="N483" t="s">
        <v>32</v>
      </c>
      <c r="O483" t="s">
        <v>33</v>
      </c>
      <c r="P483" t="s">
        <v>84</v>
      </c>
      <c r="R483" t="str">
        <f>IF(ventas_libreria[[#This Row],[valoracion_cliente]]="","Sin valoración",ventas_libreria[[#This Row],[valoracion_cliente]])</f>
        <v>Sin valoración</v>
      </c>
    </row>
    <row r="484" spans="1:18" x14ac:dyDescent="0.25">
      <c r="A484" t="s">
        <v>760</v>
      </c>
      <c r="B484" t="s">
        <v>36</v>
      </c>
      <c r="C484" t="s">
        <v>37</v>
      </c>
      <c r="D484" t="s">
        <v>28</v>
      </c>
      <c r="E484" t="s">
        <v>29</v>
      </c>
      <c r="F484">
        <f>ventas_libreria[[#This Row],[precio_eur]]/100</f>
        <v>20.79</v>
      </c>
      <c r="G484">
        <v>2079</v>
      </c>
      <c r="H484">
        <v>1</v>
      </c>
      <c r="I484">
        <f>ventas_libreria[[#This Row],[precio]]*ventas_libreria[[#This Row],[cantidad]]</f>
        <v>20.79</v>
      </c>
      <c r="J484">
        <v>21</v>
      </c>
      <c r="K484" t="s">
        <v>38</v>
      </c>
      <c r="L484" s="1">
        <v>45112</v>
      </c>
      <c r="M484" t="s">
        <v>21</v>
      </c>
      <c r="N484" t="s">
        <v>32</v>
      </c>
      <c r="O484" t="s">
        <v>33</v>
      </c>
      <c r="P484" t="s">
        <v>34</v>
      </c>
      <c r="R484" t="str">
        <f>IF(ventas_libreria[[#This Row],[valoracion_cliente]]="","Sin valoración",ventas_libreria[[#This Row],[valoracion_cliente]])</f>
        <v>Sin valoración</v>
      </c>
    </row>
    <row r="485" spans="1:18" x14ac:dyDescent="0.25">
      <c r="A485" t="s">
        <v>761</v>
      </c>
      <c r="B485" t="s">
        <v>286</v>
      </c>
      <c r="C485" t="s">
        <v>287</v>
      </c>
      <c r="D485" t="s">
        <v>288</v>
      </c>
      <c r="E485" t="s">
        <v>289</v>
      </c>
      <c r="F485">
        <f>ventas_libreria[[#This Row],[precio_eur]]/100</f>
        <v>2.19</v>
      </c>
      <c r="G485">
        <v>219</v>
      </c>
      <c r="H485">
        <v>1</v>
      </c>
      <c r="I485">
        <f>ventas_libreria[[#This Row],[precio]]*ventas_libreria[[#This Row],[cantidad]]</f>
        <v>2.19</v>
      </c>
      <c r="J485">
        <v>72</v>
      </c>
      <c r="K485" t="s">
        <v>38</v>
      </c>
      <c r="L485" s="1">
        <v>45630</v>
      </c>
      <c r="M485" t="s">
        <v>31</v>
      </c>
      <c r="N485" t="s">
        <v>22</v>
      </c>
      <c r="O485" t="s">
        <v>49</v>
      </c>
      <c r="P485" t="s">
        <v>84</v>
      </c>
      <c r="Q485">
        <v>5</v>
      </c>
      <c r="R485">
        <f>IF(ventas_libreria[[#This Row],[valoracion_cliente]]="","Sin valoración",ventas_libreria[[#This Row],[valoracion_cliente]])</f>
        <v>5</v>
      </c>
    </row>
    <row r="486" spans="1:18" x14ac:dyDescent="0.25">
      <c r="A486" t="s">
        <v>762</v>
      </c>
      <c r="B486" t="s">
        <v>406</v>
      </c>
      <c r="C486" t="s">
        <v>407</v>
      </c>
      <c r="D486" t="s">
        <v>88</v>
      </c>
      <c r="E486" t="s">
        <v>77</v>
      </c>
      <c r="F486">
        <f>ventas_libreria[[#This Row],[precio_eur]]/100</f>
        <v>9.52</v>
      </c>
      <c r="G486">
        <v>952</v>
      </c>
      <c r="H486">
        <v>2</v>
      </c>
      <c r="I486">
        <f>ventas_libreria[[#This Row],[precio]]*ventas_libreria[[#This Row],[cantidad]]</f>
        <v>19.04</v>
      </c>
      <c r="J486">
        <v>10</v>
      </c>
      <c r="K486" t="s">
        <v>62</v>
      </c>
      <c r="L486" s="1">
        <v>45499</v>
      </c>
      <c r="M486" t="s">
        <v>31</v>
      </c>
      <c r="N486" t="s">
        <v>22</v>
      </c>
      <c r="O486" t="s">
        <v>98</v>
      </c>
      <c r="P486" t="s">
        <v>56</v>
      </c>
      <c r="Q486">
        <v>5</v>
      </c>
      <c r="R486">
        <f>IF(ventas_libreria[[#This Row],[valoracion_cliente]]="","Sin valoración",ventas_libreria[[#This Row],[valoracion_cliente]])</f>
        <v>5</v>
      </c>
    </row>
    <row r="487" spans="1:18" x14ac:dyDescent="0.25">
      <c r="A487" t="s">
        <v>763</v>
      </c>
      <c r="B487" t="s">
        <v>16</v>
      </c>
      <c r="C487" t="s">
        <v>17</v>
      </c>
      <c r="D487" t="s">
        <v>18</v>
      </c>
      <c r="E487" t="s">
        <v>19</v>
      </c>
      <c r="F487">
        <f>ventas_libreria[[#This Row],[precio_eur]]/100</f>
        <v>12.66</v>
      </c>
      <c r="G487">
        <v>1266</v>
      </c>
      <c r="H487">
        <v>1</v>
      </c>
      <c r="I487">
        <f>ventas_libreria[[#This Row],[precio]]*ventas_libreria[[#This Row],[cantidad]]</f>
        <v>12.66</v>
      </c>
      <c r="J487">
        <v>46</v>
      </c>
      <c r="K487" t="s">
        <v>62</v>
      </c>
      <c r="L487" s="1">
        <v>45358</v>
      </c>
      <c r="M487" t="s">
        <v>43</v>
      </c>
      <c r="N487" t="s">
        <v>32</v>
      </c>
      <c r="O487" t="s">
        <v>33</v>
      </c>
      <c r="P487" t="s">
        <v>56</v>
      </c>
      <c r="Q487">
        <v>5</v>
      </c>
      <c r="R487">
        <f>IF(ventas_libreria[[#This Row],[valoracion_cliente]]="","Sin valoración",ventas_libreria[[#This Row],[valoracion_cliente]])</f>
        <v>5</v>
      </c>
    </row>
    <row r="488" spans="1:18" x14ac:dyDescent="0.25">
      <c r="A488" t="s">
        <v>764</v>
      </c>
      <c r="B488" t="s">
        <v>424</v>
      </c>
      <c r="C488" t="s">
        <v>425</v>
      </c>
      <c r="D488" t="s">
        <v>426</v>
      </c>
      <c r="E488" t="s">
        <v>55</v>
      </c>
      <c r="F488">
        <f>ventas_libreria[[#This Row],[precio_eur]]/100</f>
        <v>1.89</v>
      </c>
      <c r="G488">
        <v>189</v>
      </c>
      <c r="H488">
        <v>1</v>
      </c>
      <c r="I488">
        <f>ventas_libreria[[#This Row],[precio]]*ventas_libreria[[#This Row],[cantidad]]</f>
        <v>1.89</v>
      </c>
      <c r="J488">
        <v>62</v>
      </c>
      <c r="K488" t="s">
        <v>62</v>
      </c>
      <c r="L488" s="1">
        <v>45454</v>
      </c>
      <c r="M488" t="s">
        <v>43</v>
      </c>
      <c r="N488" t="s">
        <v>32</v>
      </c>
      <c r="O488" t="s">
        <v>33</v>
      </c>
      <c r="P488" t="s">
        <v>84</v>
      </c>
      <c r="Q488">
        <v>4</v>
      </c>
      <c r="R488">
        <f>IF(ventas_libreria[[#This Row],[valoracion_cliente]]="","Sin valoración",ventas_libreria[[#This Row],[valoracion_cliente]])</f>
        <v>4</v>
      </c>
    </row>
    <row r="489" spans="1:18" x14ac:dyDescent="0.25">
      <c r="A489" t="s">
        <v>765</v>
      </c>
      <c r="B489" t="s">
        <v>338</v>
      </c>
      <c r="C489" t="s">
        <v>339</v>
      </c>
      <c r="D489" t="s">
        <v>167</v>
      </c>
      <c r="E489" t="s">
        <v>61</v>
      </c>
      <c r="F489">
        <f>ventas_libreria[[#This Row],[precio_eur]]/100</f>
        <v>18.32</v>
      </c>
      <c r="G489">
        <v>1832</v>
      </c>
      <c r="H489">
        <v>2</v>
      </c>
      <c r="I489">
        <f>ventas_libreria[[#This Row],[precio]]*ventas_libreria[[#This Row],[cantidad]]</f>
        <v>36.64</v>
      </c>
      <c r="J489">
        <v>42</v>
      </c>
      <c r="K489" t="s">
        <v>30</v>
      </c>
      <c r="L489" s="1">
        <v>45530</v>
      </c>
      <c r="M489" t="s">
        <v>21</v>
      </c>
      <c r="N489" t="s">
        <v>32</v>
      </c>
      <c r="O489" t="s">
        <v>33</v>
      </c>
      <c r="P489" t="s">
        <v>84</v>
      </c>
      <c r="Q489">
        <v>5</v>
      </c>
      <c r="R489">
        <f>IF(ventas_libreria[[#This Row],[valoracion_cliente]]="","Sin valoración",ventas_libreria[[#This Row],[valoracion_cliente]])</f>
        <v>5</v>
      </c>
    </row>
    <row r="490" spans="1:18" x14ac:dyDescent="0.25">
      <c r="A490" t="s">
        <v>766</v>
      </c>
      <c r="B490" t="s">
        <v>243</v>
      </c>
      <c r="C490" t="s">
        <v>244</v>
      </c>
      <c r="D490" t="s">
        <v>245</v>
      </c>
      <c r="E490" t="s">
        <v>48</v>
      </c>
      <c r="F490">
        <f>ventas_libreria[[#This Row],[precio_eur]]/100</f>
        <v>24.09</v>
      </c>
      <c r="G490">
        <v>2409</v>
      </c>
      <c r="H490">
        <v>3</v>
      </c>
      <c r="I490">
        <f>ventas_libreria[[#This Row],[precio]]*ventas_libreria[[#This Row],[cantidad]]</f>
        <v>72.27</v>
      </c>
      <c r="J490">
        <v>52</v>
      </c>
      <c r="K490" t="s">
        <v>62</v>
      </c>
      <c r="L490" s="1">
        <v>45377</v>
      </c>
      <c r="M490" t="s">
        <v>43</v>
      </c>
      <c r="N490" t="s">
        <v>32</v>
      </c>
      <c r="O490" t="s">
        <v>33</v>
      </c>
      <c r="P490" t="s">
        <v>24</v>
      </c>
      <c r="Q490">
        <v>5</v>
      </c>
      <c r="R490">
        <f>IF(ventas_libreria[[#This Row],[valoracion_cliente]]="","Sin valoración",ventas_libreria[[#This Row],[valoracion_cliente]])</f>
        <v>5</v>
      </c>
    </row>
    <row r="491" spans="1:18" x14ac:dyDescent="0.25">
      <c r="A491" t="s">
        <v>767</v>
      </c>
      <c r="B491" t="s">
        <v>446</v>
      </c>
      <c r="C491" t="s">
        <v>447</v>
      </c>
      <c r="D491" t="s">
        <v>262</v>
      </c>
      <c r="E491" t="s">
        <v>263</v>
      </c>
      <c r="F491">
        <f>ventas_libreria[[#This Row],[precio_eur]]/100</f>
        <v>17.91</v>
      </c>
      <c r="G491">
        <v>1791</v>
      </c>
      <c r="H491">
        <v>2</v>
      </c>
      <c r="I491">
        <f>ventas_libreria[[#This Row],[precio]]*ventas_libreria[[#This Row],[cantidad]]</f>
        <v>35.82</v>
      </c>
      <c r="J491">
        <v>25</v>
      </c>
      <c r="K491" t="s">
        <v>62</v>
      </c>
      <c r="L491" s="1">
        <v>45394</v>
      </c>
      <c r="M491" t="s">
        <v>21</v>
      </c>
      <c r="N491" t="s">
        <v>32</v>
      </c>
      <c r="O491" t="s">
        <v>33</v>
      </c>
      <c r="P491" t="s">
        <v>50</v>
      </c>
      <c r="R491" t="str">
        <f>IF(ventas_libreria[[#This Row],[valoracion_cliente]]="","Sin valoración",ventas_libreria[[#This Row],[valoracion_cliente]])</f>
        <v>Sin valoración</v>
      </c>
    </row>
    <row r="492" spans="1:18" x14ac:dyDescent="0.25">
      <c r="A492" t="s">
        <v>768</v>
      </c>
      <c r="B492" t="s">
        <v>301</v>
      </c>
      <c r="C492" t="s">
        <v>302</v>
      </c>
      <c r="D492" t="s">
        <v>245</v>
      </c>
      <c r="E492" t="s">
        <v>48</v>
      </c>
      <c r="F492">
        <f>ventas_libreria[[#This Row],[precio_eur]]/100</f>
        <v>27.39</v>
      </c>
      <c r="G492">
        <v>2739</v>
      </c>
      <c r="H492">
        <v>1</v>
      </c>
      <c r="I492">
        <f>ventas_libreria[[#This Row],[precio]]*ventas_libreria[[#This Row],[cantidad]]</f>
        <v>27.39</v>
      </c>
      <c r="J492">
        <v>59</v>
      </c>
      <c r="K492" t="s">
        <v>38</v>
      </c>
      <c r="L492" s="1">
        <v>45293</v>
      </c>
      <c r="M492" t="s">
        <v>31</v>
      </c>
      <c r="N492" t="s">
        <v>22</v>
      </c>
      <c r="O492" t="s">
        <v>49</v>
      </c>
      <c r="P492" t="s">
        <v>34</v>
      </c>
      <c r="Q492">
        <v>3</v>
      </c>
      <c r="R492">
        <f>IF(ventas_libreria[[#This Row],[valoracion_cliente]]="","Sin valoración",ventas_libreria[[#This Row],[valoracion_cliente]])</f>
        <v>3</v>
      </c>
    </row>
    <row r="493" spans="1:18" x14ac:dyDescent="0.25">
      <c r="A493" t="s">
        <v>769</v>
      </c>
      <c r="B493" t="s">
        <v>40</v>
      </c>
      <c r="C493" t="s">
        <v>41</v>
      </c>
      <c r="D493" t="s">
        <v>42</v>
      </c>
      <c r="E493" t="s">
        <v>19</v>
      </c>
      <c r="F493">
        <f>ventas_libreria[[#This Row],[precio_eur]]/100</f>
        <v>1.29</v>
      </c>
      <c r="G493">
        <v>129</v>
      </c>
      <c r="H493">
        <v>1</v>
      </c>
      <c r="I493">
        <f>ventas_libreria[[#This Row],[precio]]*ventas_libreria[[#This Row],[cantidad]]</f>
        <v>1.29</v>
      </c>
      <c r="J493">
        <v>75</v>
      </c>
      <c r="K493" t="s">
        <v>30</v>
      </c>
      <c r="L493" s="1">
        <v>45448</v>
      </c>
      <c r="M493" t="s">
        <v>31</v>
      </c>
      <c r="N493" t="s">
        <v>32</v>
      </c>
      <c r="O493" t="s">
        <v>33</v>
      </c>
      <c r="P493" t="s">
        <v>24</v>
      </c>
      <c r="Q493">
        <v>5</v>
      </c>
      <c r="R493">
        <f>IF(ventas_libreria[[#This Row],[valoracion_cliente]]="","Sin valoración",ventas_libreria[[#This Row],[valoracion_cliente]])</f>
        <v>5</v>
      </c>
    </row>
    <row r="494" spans="1:18" x14ac:dyDescent="0.25">
      <c r="A494" t="s">
        <v>770</v>
      </c>
      <c r="B494" t="s">
        <v>247</v>
      </c>
      <c r="C494" t="s">
        <v>248</v>
      </c>
      <c r="D494" t="s">
        <v>249</v>
      </c>
      <c r="E494" t="s">
        <v>172</v>
      </c>
      <c r="F494">
        <f>ventas_libreria[[#This Row],[precio_eur]]/100</f>
        <v>1.39</v>
      </c>
      <c r="G494">
        <v>139</v>
      </c>
      <c r="H494">
        <v>1</v>
      </c>
      <c r="I494">
        <f>ventas_libreria[[#This Row],[precio]]*ventas_libreria[[#This Row],[cantidad]]</f>
        <v>1.39</v>
      </c>
      <c r="J494">
        <v>44</v>
      </c>
      <c r="K494" t="s">
        <v>30</v>
      </c>
      <c r="L494" s="1">
        <v>44987</v>
      </c>
      <c r="M494" t="s">
        <v>43</v>
      </c>
      <c r="N494" t="s">
        <v>32</v>
      </c>
      <c r="O494" t="s">
        <v>33</v>
      </c>
      <c r="P494" t="s">
        <v>50</v>
      </c>
      <c r="R494" t="str">
        <f>IF(ventas_libreria[[#This Row],[valoracion_cliente]]="","Sin valoración",ventas_libreria[[#This Row],[valoracion_cliente]])</f>
        <v>Sin valoración</v>
      </c>
    </row>
    <row r="495" spans="1:18" x14ac:dyDescent="0.25">
      <c r="A495" t="s">
        <v>771</v>
      </c>
      <c r="B495" t="s">
        <v>100</v>
      </c>
      <c r="C495" t="s">
        <v>101</v>
      </c>
      <c r="D495" t="s">
        <v>102</v>
      </c>
      <c r="E495" t="s">
        <v>61</v>
      </c>
      <c r="F495">
        <f>ventas_libreria[[#This Row],[precio_eur]]/100</f>
        <v>1.19</v>
      </c>
      <c r="G495">
        <v>119</v>
      </c>
      <c r="H495">
        <v>1</v>
      </c>
      <c r="I495">
        <f>ventas_libreria[[#This Row],[precio]]*ventas_libreria[[#This Row],[cantidad]]</f>
        <v>1.19</v>
      </c>
      <c r="J495">
        <v>40</v>
      </c>
      <c r="K495" t="s">
        <v>38</v>
      </c>
      <c r="L495" s="1">
        <v>45804</v>
      </c>
      <c r="M495" t="s">
        <v>21</v>
      </c>
      <c r="N495" t="s">
        <v>32</v>
      </c>
      <c r="O495" t="s">
        <v>33</v>
      </c>
      <c r="P495" t="s">
        <v>56</v>
      </c>
      <c r="Q495">
        <v>4</v>
      </c>
      <c r="R495">
        <f>IF(ventas_libreria[[#This Row],[valoracion_cliente]]="","Sin valoración",ventas_libreria[[#This Row],[valoracion_cliente]])</f>
        <v>4</v>
      </c>
    </row>
    <row r="496" spans="1:18" x14ac:dyDescent="0.25">
      <c r="A496" t="s">
        <v>772</v>
      </c>
      <c r="B496" t="s">
        <v>16</v>
      </c>
      <c r="C496" t="s">
        <v>17</v>
      </c>
      <c r="D496" t="s">
        <v>18</v>
      </c>
      <c r="E496" t="s">
        <v>19</v>
      </c>
      <c r="F496">
        <f>ventas_libreria[[#This Row],[precio_eur]]/100</f>
        <v>1.49</v>
      </c>
      <c r="G496">
        <v>149</v>
      </c>
      <c r="H496">
        <v>3</v>
      </c>
      <c r="I496">
        <f>ventas_libreria[[#This Row],[precio]]*ventas_libreria[[#This Row],[cantidad]]</f>
        <v>4.47</v>
      </c>
      <c r="J496">
        <v>48</v>
      </c>
      <c r="K496" t="s">
        <v>38</v>
      </c>
      <c r="L496" s="1">
        <v>45294</v>
      </c>
      <c r="M496" t="s">
        <v>21</v>
      </c>
      <c r="N496" t="s">
        <v>32</v>
      </c>
      <c r="O496" t="s">
        <v>33</v>
      </c>
      <c r="P496" t="s">
        <v>24</v>
      </c>
      <c r="Q496">
        <v>2</v>
      </c>
      <c r="R496">
        <f>IF(ventas_libreria[[#This Row],[valoracion_cliente]]="","Sin valoración",ventas_libreria[[#This Row],[valoracion_cliente]])</f>
        <v>2</v>
      </c>
    </row>
    <row r="497" spans="1:18" x14ac:dyDescent="0.25">
      <c r="A497" t="s">
        <v>773</v>
      </c>
      <c r="B497" t="s">
        <v>64</v>
      </c>
      <c r="C497" t="s">
        <v>65</v>
      </c>
      <c r="D497" t="s">
        <v>66</v>
      </c>
      <c r="E497" t="s">
        <v>29</v>
      </c>
      <c r="F497">
        <f>ventas_libreria[[#This Row],[precio_eur]]/100</f>
        <v>18.149999999999999</v>
      </c>
      <c r="G497">
        <v>1815</v>
      </c>
      <c r="H497">
        <v>1</v>
      </c>
      <c r="I497">
        <f>ventas_libreria[[#This Row],[precio]]*ventas_libreria[[#This Row],[cantidad]]</f>
        <v>18.149999999999999</v>
      </c>
      <c r="J497">
        <v>29</v>
      </c>
      <c r="K497" t="s">
        <v>30</v>
      </c>
      <c r="L497" s="1">
        <v>45965</v>
      </c>
      <c r="M497" t="s">
        <v>31</v>
      </c>
      <c r="N497" t="s">
        <v>22</v>
      </c>
      <c r="O497" t="s">
        <v>49</v>
      </c>
      <c r="P497" t="s">
        <v>34</v>
      </c>
      <c r="Q497">
        <v>5</v>
      </c>
      <c r="R497">
        <f>IF(ventas_libreria[[#This Row],[valoracion_cliente]]="","Sin valoración",ventas_libreria[[#This Row],[valoracion_cliente]])</f>
        <v>5</v>
      </c>
    </row>
    <row r="498" spans="1:18" x14ac:dyDescent="0.25">
      <c r="A498" t="s">
        <v>774</v>
      </c>
      <c r="B498" t="s">
        <v>16</v>
      </c>
      <c r="C498" t="s">
        <v>17</v>
      </c>
      <c r="D498" t="s">
        <v>18</v>
      </c>
      <c r="E498" t="s">
        <v>19</v>
      </c>
      <c r="F498">
        <f>ventas_libreria[[#This Row],[precio_eur]]/100</f>
        <v>1.49</v>
      </c>
      <c r="G498">
        <v>149</v>
      </c>
      <c r="H498">
        <v>1</v>
      </c>
      <c r="I498">
        <f>ventas_libreria[[#This Row],[precio]]*ventas_libreria[[#This Row],[cantidad]]</f>
        <v>1.49</v>
      </c>
      <c r="J498">
        <v>68</v>
      </c>
      <c r="K498" t="s">
        <v>30</v>
      </c>
      <c r="L498" s="1">
        <v>46010</v>
      </c>
      <c r="M498" t="s">
        <v>21</v>
      </c>
      <c r="N498" t="s">
        <v>32</v>
      </c>
      <c r="O498" t="s">
        <v>33</v>
      </c>
      <c r="P498" t="s">
        <v>34</v>
      </c>
      <c r="Q498">
        <v>4</v>
      </c>
      <c r="R498">
        <f>IF(ventas_libreria[[#This Row],[valoracion_cliente]]="","Sin valoración",ventas_libreria[[#This Row],[valoracion_cliente]])</f>
        <v>4</v>
      </c>
    </row>
    <row r="499" spans="1:18" x14ac:dyDescent="0.25">
      <c r="A499" t="s">
        <v>775</v>
      </c>
      <c r="B499" t="s">
        <v>36</v>
      </c>
      <c r="C499" t="s">
        <v>37</v>
      </c>
      <c r="D499" t="s">
        <v>28</v>
      </c>
      <c r="E499" t="s">
        <v>29</v>
      </c>
      <c r="F499">
        <f>ventas_libreria[[#This Row],[precio_eur]]/100</f>
        <v>19.84</v>
      </c>
      <c r="G499">
        <v>1984</v>
      </c>
      <c r="H499">
        <v>1</v>
      </c>
      <c r="I499">
        <f>ventas_libreria[[#This Row],[precio]]*ventas_libreria[[#This Row],[cantidad]]</f>
        <v>19.84</v>
      </c>
      <c r="J499">
        <v>27</v>
      </c>
      <c r="K499" t="s">
        <v>30</v>
      </c>
      <c r="L499" s="1">
        <v>46015</v>
      </c>
      <c r="M499" t="s">
        <v>43</v>
      </c>
      <c r="N499" t="s">
        <v>32</v>
      </c>
      <c r="O499" t="s">
        <v>33</v>
      </c>
      <c r="P499" t="s">
        <v>50</v>
      </c>
      <c r="Q499">
        <v>4</v>
      </c>
      <c r="R499">
        <f>IF(ventas_libreria[[#This Row],[valoracion_cliente]]="","Sin valoración",ventas_libreria[[#This Row],[valoracion_cliente]])</f>
        <v>4</v>
      </c>
    </row>
    <row r="500" spans="1:18" x14ac:dyDescent="0.25">
      <c r="A500" t="s">
        <v>776</v>
      </c>
      <c r="B500" t="s">
        <v>193</v>
      </c>
      <c r="C500" t="s">
        <v>194</v>
      </c>
      <c r="D500" t="s">
        <v>195</v>
      </c>
      <c r="E500" t="s">
        <v>48</v>
      </c>
      <c r="F500">
        <f>ventas_libreria[[#This Row],[precio_eur]]/100</f>
        <v>21.89</v>
      </c>
      <c r="G500">
        <v>2189</v>
      </c>
      <c r="H500">
        <v>3</v>
      </c>
      <c r="I500">
        <f>ventas_libreria[[#This Row],[precio]]*ventas_libreria[[#This Row],[cantidad]]</f>
        <v>65.67</v>
      </c>
      <c r="J500">
        <v>73</v>
      </c>
      <c r="K500" t="s">
        <v>62</v>
      </c>
      <c r="L500" s="1">
        <v>44974</v>
      </c>
      <c r="M500" t="s">
        <v>43</v>
      </c>
      <c r="N500" t="s">
        <v>32</v>
      </c>
      <c r="O500" t="s">
        <v>33</v>
      </c>
      <c r="P500" t="s">
        <v>24</v>
      </c>
      <c r="Q500">
        <v>3</v>
      </c>
      <c r="R500">
        <f>IF(ventas_libreria[[#This Row],[valoracion_cliente]]="","Sin valoración",ventas_libreria[[#This Row],[valoracion_cliente]])</f>
        <v>3</v>
      </c>
    </row>
    <row r="501" spans="1:18" x14ac:dyDescent="0.25">
      <c r="A501" t="s">
        <v>777</v>
      </c>
      <c r="B501" t="s">
        <v>332</v>
      </c>
      <c r="C501" t="s">
        <v>333</v>
      </c>
      <c r="D501" t="s">
        <v>334</v>
      </c>
      <c r="E501" t="s">
        <v>116</v>
      </c>
      <c r="F501">
        <f>ventas_libreria[[#This Row],[precio_eur]]/100</f>
        <v>17.75</v>
      </c>
      <c r="G501">
        <v>1775</v>
      </c>
      <c r="H501">
        <v>1</v>
      </c>
      <c r="I501">
        <f>ventas_libreria[[#This Row],[precio]]*ventas_libreria[[#This Row],[cantidad]]</f>
        <v>17.75</v>
      </c>
      <c r="J501">
        <v>71</v>
      </c>
      <c r="K501" t="s">
        <v>38</v>
      </c>
      <c r="L501" s="1">
        <v>45346</v>
      </c>
      <c r="M501" t="s">
        <v>31</v>
      </c>
      <c r="N501" t="s">
        <v>32</v>
      </c>
      <c r="O501" t="s">
        <v>33</v>
      </c>
      <c r="P501" t="s">
        <v>24</v>
      </c>
      <c r="R501" t="str">
        <f>IF(ventas_libreria[[#This Row],[valoracion_cliente]]="","Sin valoración",ventas_libreria[[#This Row],[valoracion_cliente]])</f>
        <v>Sin valoración</v>
      </c>
    </row>
    <row r="502" spans="1:18" x14ac:dyDescent="0.25">
      <c r="A502" t="s">
        <v>778</v>
      </c>
      <c r="B502" t="s">
        <v>424</v>
      </c>
      <c r="C502" t="s">
        <v>425</v>
      </c>
      <c r="D502" t="s">
        <v>426</v>
      </c>
      <c r="E502" t="s">
        <v>55</v>
      </c>
      <c r="F502">
        <f>ventas_libreria[[#This Row],[precio_eur]]/100</f>
        <v>17.010000000000002</v>
      </c>
      <c r="G502">
        <v>1701</v>
      </c>
      <c r="H502">
        <v>1</v>
      </c>
      <c r="I502">
        <f>ventas_libreria[[#This Row],[precio]]*ventas_libreria[[#This Row],[cantidad]]</f>
        <v>17.010000000000002</v>
      </c>
      <c r="J502">
        <v>38</v>
      </c>
      <c r="K502" t="s">
        <v>30</v>
      </c>
      <c r="L502" s="1">
        <v>45509</v>
      </c>
      <c r="M502" t="s">
        <v>43</v>
      </c>
      <c r="N502" t="s">
        <v>32</v>
      </c>
      <c r="O502" t="s">
        <v>33</v>
      </c>
      <c r="P502" t="s">
        <v>84</v>
      </c>
      <c r="Q502">
        <v>5</v>
      </c>
      <c r="R502">
        <f>IF(ventas_libreria[[#This Row],[valoracion_cliente]]="","Sin valoración",ventas_libreria[[#This Row],[valoracion_cliente]])</f>
        <v>5</v>
      </c>
    </row>
    <row r="503" spans="1:18" x14ac:dyDescent="0.25">
      <c r="A503" t="s">
        <v>779</v>
      </c>
      <c r="B503" t="s">
        <v>286</v>
      </c>
      <c r="C503" t="s">
        <v>287</v>
      </c>
      <c r="D503" t="s">
        <v>288</v>
      </c>
      <c r="E503" t="s">
        <v>289</v>
      </c>
      <c r="F503">
        <f>ventas_libreria[[#This Row],[precio_eur]]/100</f>
        <v>2.19</v>
      </c>
      <c r="G503">
        <v>219</v>
      </c>
      <c r="H503">
        <v>1</v>
      </c>
      <c r="I503">
        <f>ventas_libreria[[#This Row],[precio]]*ventas_libreria[[#This Row],[cantidad]]</f>
        <v>2.19</v>
      </c>
      <c r="J503">
        <v>26</v>
      </c>
      <c r="K503" t="s">
        <v>20</v>
      </c>
      <c r="L503" s="1">
        <v>45004</v>
      </c>
      <c r="M503" t="s">
        <v>43</v>
      </c>
      <c r="N503" t="s">
        <v>32</v>
      </c>
      <c r="O503" t="s">
        <v>33</v>
      </c>
      <c r="P503" t="s">
        <v>84</v>
      </c>
      <c r="Q503">
        <v>4</v>
      </c>
      <c r="R503">
        <f>IF(ventas_libreria[[#This Row],[valoracion_cliente]]="","Sin valoración",ventas_libreria[[#This Row],[valoracion_cliente]])</f>
        <v>4</v>
      </c>
    </row>
    <row r="504" spans="1:18" x14ac:dyDescent="0.25">
      <c r="A504" t="s">
        <v>780</v>
      </c>
      <c r="B504" t="s">
        <v>193</v>
      </c>
      <c r="C504" t="s">
        <v>194</v>
      </c>
      <c r="D504" t="s">
        <v>195</v>
      </c>
      <c r="E504" t="s">
        <v>48</v>
      </c>
      <c r="F504">
        <f>ventas_libreria[[#This Row],[precio_eur]]/100</f>
        <v>1.99</v>
      </c>
      <c r="G504">
        <v>199</v>
      </c>
      <c r="H504">
        <v>2</v>
      </c>
      <c r="I504">
        <f>ventas_libreria[[#This Row],[precio]]*ventas_libreria[[#This Row],[cantidad]]</f>
        <v>3.98</v>
      </c>
      <c r="J504">
        <v>71</v>
      </c>
      <c r="K504" t="s">
        <v>20</v>
      </c>
      <c r="L504" s="1">
        <v>45227</v>
      </c>
      <c r="M504" t="s">
        <v>31</v>
      </c>
      <c r="N504" t="s">
        <v>32</v>
      </c>
      <c r="O504" t="s">
        <v>33</v>
      </c>
      <c r="P504" t="s">
        <v>50</v>
      </c>
      <c r="Q504">
        <v>3</v>
      </c>
      <c r="R504">
        <f>IF(ventas_libreria[[#This Row],[valoracion_cliente]]="","Sin valoración",ventas_libreria[[#This Row],[valoracion_cliente]])</f>
        <v>3</v>
      </c>
    </row>
    <row r="505" spans="1:18" x14ac:dyDescent="0.25">
      <c r="A505" t="s">
        <v>781</v>
      </c>
      <c r="B505" t="s">
        <v>446</v>
      </c>
      <c r="C505" t="s">
        <v>447</v>
      </c>
      <c r="D505" t="s">
        <v>262</v>
      </c>
      <c r="E505" t="s">
        <v>263</v>
      </c>
      <c r="F505">
        <f>ventas_libreria[[#This Row],[precio_eur]]/100</f>
        <v>1.99</v>
      </c>
      <c r="G505">
        <v>199</v>
      </c>
      <c r="H505">
        <v>2</v>
      </c>
      <c r="I505">
        <f>ventas_libreria[[#This Row],[precio]]*ventas_libreria[[#This Row],[cantidad]]</f>
        <v>3.98</v>
      </c>
      <c r="J505">
        <v>41</v>
      </c>
      <c r="K505" t="s">
        <v>38</v>
      </c>
      <c r="L505" s="1">
        <v>45601</v>
      </c>
      <c r="M505" t="s">
        <v>31</v>
      </c>
      <c r="N505" t="s">
        <v>32</v>
      </c>
      <c r="O505" t="s">
        <v>33</v>
      </c>
      <c r="P505" t="s">
        <v>84</v>
      </c>
      <c r="Q505">
        <v>5</v>
      </c>
      <c r="R505">
        <f>IF(ventas_libreria[[#This Row],[valoracion_cliente]]="","Sin valoración",ventas_libreria[[#This Row],[valoracion_cliente]])</f>
        <v>5</v>
      </c>
    </row>
    <row r="506" spans="1:18" x14ac:dyDescent="0.25">
      <c r="A506" t="s">
        <v>782</v>
      </c>
      <c r="B506" t="s">
        <v>314</v>
      </c>
      <c r="C506" t="s">
        <v>315</v>
      </c>
      <c r="D506" t="s">
        <v>217</v>
      </c>
      <c r="E506" t="s">
        <v>55</v>
      </c>
      <c r="F506">
        <f>ventas_libreria[[#This Row],[precio_eur]]/100</f>
        <v>1.48</v>
      </c>
      <c r="G506">
        <v>148</v>
      </c>
      <c r="H506">
        <v>1</v>
      </c>
      <c r="I506">
        <f>ventas_libreria[[#This Row],[precio]]*ventas_libreria[[#This Row],[cantidad]]</f>
        <v>1.48</v>
      </c>
      <c r="J506">
        <v>23</v>
      </c>
      <c r="K506" t="s">
        <v>20</v>
      </c>
      <c r="L506" s="1">
        <v>44987</v>
      </c>
      <c r="M506" t="s">
        <v>31</v>
      </c>
      <c r="N506" t="s">
        <v>32</v>
      </c>
      <c r="O506" t="s">
        <v>33</v>
      </c>
      <c r="P506" t="s">
        <v>56</v>
      </c>
      <c r="Q506">
        <v>4</v>
      </c>
      <c r="R506">
        <f>IF(ventas_libreria[[#This Row],[valoracion_cliente]]="","Sin valoración",ventas_libreria[[#This Row],[valoracion_cliente]])</f>
        <v>4</v>
      </c>
    </row>
    <row r="507" spans="1:18" x14ac:dyDescent="0.25">
      <c r="A507" t="s">
        <v>783</v>
      </c>
      <c r="B507" t="s">
        <v>74</v>
      </c>
      <c r="C507" t="s">
        <v>75</v>
      </c>
      <c r="D507" t="s">
        <v>76</v>
      </c>
      <c r="E507" t="s">
        <v>77</v>
      </c>
      <c r="F507">
        <f>ventas_libreria[[#This Row],[precio_eur]]/100</f>
        <v>1.59</v>
      </c>
      <c r="G507">
        <v>159</v>
      </c>
      <c r="H507">
        <v>1</v>
      </c>
      <c r="I507">
        <f>ventas_libreria[[#This Row],[precio]]*ventas_libreria[[#This Row],[cantidad]]</f>
        <v>1.59</v>
      </c>
      <c r="J507">
        <v>7</v>
      </c>
      <c r="K507" t="s">
        <v>30</v>
      </c>
      <c r="L507" s="1">
        <v>45704</v>
      </c>
      <c r="M507" t="s">
        <v>31</v>
      </c>
      <c r="N507" t="s">
        <v>32</v>
      </c>
      <c r="O507" t="s">
        <v>33</v>
      </c>
      <c r="P507" t="s">
        <v>50</v>
      </c>
      <c r="R507" t="str">
        <f>IF(ventas_libreria[[#This Row],[valoracion_cliente]]="","Sin valoración",ventas_libreria[[#This Row],[valoracion_cliente]])</f>
        <v>Sin valoración</v>
      </c>
    </row>
    <row r="508" spans="1:18" x14ac:dyDescent="0.25">
      <c r="A508" t="s">
        <v>784</v>
      </c>
      <c r="B508" t="s">
        <v>530</v>
      </c>
      <c r="C508" t="s">
        <v>531</v>
      </c>
      <c r="D508" t="s">
        <v>195</v>
      </c>
      <c r="E508" t="s">
        <v>48</v>
      </c>
      <c r="F508">
        <f>ventas_libreria[[#This Row],[precio_eur]]/100</f>
        <v>16.91</v>
      </c>
      <c r="G508">
        <v>1691</v>
      </c>
      <c r="H508">
        <v>1</v>
      </c>
      <c r="I508">
        <f>ventas_libreria[[#This Row],[precio]]*ventas_libreria[[#This Row],[cantidad]]</f>
        <v>16.91</v>
      </c>
      <c r="J508">
        <v>44</v>
      </c>
      <c r="K508" t="s">
        <v>20</v>
      </c>
      <c r="L508" s="1">
        <v>45527</v>
      </c>
      <c r="M508" t="s">
        <v>21</v>
      </c>
      <c r="N508" t="s">
        <v>32</v>
      </c>
      <c r="O508" t="s">
        <v>33</v>
      </c>
      <c r="P508" t="s">
        <v>56</v>
      </c>
      <c r="Q508">
        <v>4</v>
      </c>
      <c r="R508">
        <f>IF(ventas_libreria[[#This Row],[valoracion_cliente]]="","Sin valoración",ventas_libreria[[#This Row],[valoracion_cliente]])</f>
        <v>4</v>
      </c>
    </row>
    <row r="509" spans="1:18" x14ac:dyDescent="0.25">
      <c r="A509" t="s">
        <v>785</v>
      </c>
      <c r="B509" t="s">
        <v>461</v>
      </c>
      <c r="C509" t="s">
        <v>462</v>
      </c>
      <c r="D509" t="s">
        <v>143</v>
      </c>
      <c r="E509" t="s">
        <v>116</v>
      </c>
      <c r="F509">
        <f>ventas_libreria[[#This Row],[precio_eur]]/100</f>
        <v>1.39</v>
      </c>
      <c r="G509">
        <v>139</v>
      </c>
      <c r="H509">
        <v>1</v>
      </c>
      <c r="I509">
        <f>ventas_libreria[[#This Row],[precio]]*ventas_libreria[[#This Row],[cantidad]]</f>
        <v>1.39</v>
      </c>
      <c r="J509">
        <v>50</v>
      </c>
      <c r="K509" t="s">
        <v>30</v>
      </c>
      <c r="L509" s="1">
        <v>45179</v>
      </c>
      <c r="M509" t="s">
        <v>21</v>
      </c>
      <c r="N509" t="s">
        <v>32</v>
      </c>
      <c r="O509" t="s">
        <v>33</v>
      </c>
      <c r="P509" t="s">
        <v>84</v>
      </c>
      <c r="Q509">
        <v>5</v>
      </c>
      <c r="R509">
        <f>IF(ventas_libreria[[#This Row],[valoracion_cliente]]="","Sin valoración",ventas_libreria[[#This Row],[valoracion_cliente]])</f>
        <v>5</v>
      </c>
    </row>
    <row r="510" spans="1:18" x14ac:dyDescent="0.25">
      <c r="A510" t="s">
        <v>786</v>
      </c>
      <c r="B510" t="s">
        <v>129</v>
      </c>
      <c r="C510" t="s">
        <v>130</v>
      </c>
      <c r="D510" t="s">
        <v>131</v>
      </c>
      <c r="E510" t="s">
        <v>107</v>
      </c>
      <c r="F510">
        <f>ventas_libreria[[#This Row],[precio_eur]]/100</f>
        <v>1.59</v>
      </c>
      <c r="G510">
        <v>159</v>
      </c>
      <c r="H510">
        <v>1</v>
      </c>
      <c r="I510">
        <f>ventas_libreria[[#This Row],[precio]]*ventas_libreria[[#This Row],[cantidad]]</f>
        <v>1.59</v>
      </c>
      <c r="J510">
        <v>22</v>
      </c>
      <c r="K510" t="s">
        <v>62</v>
      </c>
      <c r="L510" s="1">
        <v>44959</v>
      </c>
      <c r="M510" t="s">
        <v>21</v>
      </c>
      <c r="N510" t="s">
        <v>32</v>
      </c>
      <c r="O510" t="s">
        <v>33</v>
      </c>
      <c r="P510" t="s">
        <v>84</v>
      </c>
      <c r="Q510">
        <v>5</v>
      </c>
      <c r="R510">
        <f>IF(ventas_libreria[[#This Row],[valoracion_cliente]]="","Sin valoración",ventas_libreria[[#This Row],[valoracion_cliente]])</f>
        <v>5</v>
      </c>
    </row>
    <row r="511" spans="1:18" x14ac:dyDescent="0.25">
      <c r="A511" t="s">
        <v>787</v>
      </c>
      <c r="B511" t="s">
        <v>91</v>
      </c>
      <c r="C511" t="s">
        <v>92</v>
      </c>
      <c r="D511" t="s">
        <v>93</v>
      </c>
      <c r="E511" t="s">
        <v>72</v>
      </c>
      <c r="F511">
        <f>ventas_libreria[[#This Row],[precio_eur]]/100</f>
        <v>1.39</v>
      </c>
      <c r="G511">
        <v>139</v>
      </c>
      <c r="H511">
        <v>2</v>
      </c>
      <c r="I511">
        <f>ventas_libreria[[#This Row],[precio]]*ventas_libreria[[#This Row],[cantidad]]</f>
        <v>2.78</v>
      </c>
      <c r="J511">
        <v>41</v>
      </c>
      <c r="K511" t="s">
        <v>30</v>
      </c>
      <c r="L511" s="1">
        <v>45413</v>
      </c>
      <c r="M511" t="s">
        <v>21</v>
      </c>
      <c r="N511" t="s">
        <v>32</v>
      </c>
      <c r="O511" t="s">
        <v>33</v>
      </c>
      <c r="P511" t="s">
        <v>34</v>
      </c>
      <c r="Q511">
        <v>1</v>
      </c>
      <c r="R511">
        <f>IF(ventas_libreria[[#This Row],[valoracion_cliente]]="","Sin valoración",ventas_libreria[[#This Row],[valoracion_cliente]])</f>
        <v>1</v>
      </c>
    </row>
    <row r="512" spans="1:18" x14ac:dyDescent="0.25">
      <c r="A512" t="s">
        <v>788</v>
      </c>
      <c r="B512" t="s">
        <v>134</v>
      </c>
      <c r="C512" t="s">
        <v>135</v>
      </c>
      <c r="D512" t="s">
        <v>106</v>
      </c>
      <c r="E512" t="s">
        <v>107</v>
      </c>
      <c r="F512">
        <f>ventas_libreria[[#This Row],[precio_eur]]/100</f>
        <v>12.66</v>
      </c>
      <c r="G512">
        <v>1266</v>
      </c>
      <c r="H512">
        <v>3</v>
      </c>
      <c r="I512">
        <f>ventas_libreria[[#This Row],[precio]]*ventas_libreria[[#This Row],[cantidad]]</f>
        <v>37.980000000000004</v>
      </c>
      <c r="J512">
        <v>14</v>
      </c>
      <c r="K512" t="s">
        <v>62</v>
      </c>
      <c r="L512" s="1">
        <v>45163</v>
      </c>
      <c r="M512" t="s">
        <v>31</v>
      </c>
      <c r="N512" t="s">
        <v>22</v>
      </c>
      <c r="O512" t="s">
        <v>98</v>
      </c>
      <c r="P512" t="s">
        <v>84</v>
      </c>
      <c r="R512" t="str">
        <f>IF(ventas_libreria[[#This Row],[valoracion_cliente]]="","Sin valoración",ventas_libreria[[#This Row],[valoracion_cliente]])</f>
        <v>Sin valoración</v>
      </c>
    </row>
    <row r="513" spans="1:18" x14ac:dyDescent="0.25">
      <c r="A513" t="s">
        <v>789</v>
      </c>
      <c r="B513" t="s">
        <v>260</v>
      </c>
      <c r="C513" t="s">
        <v>261</v>
      </c>
      <c r="D513" t="s">
        <v>262</v>
      </c>
      <c r="E513" t="s">
        <v>263</v>
      </c>
      <c r="F513">
        <f>ventas_libreria[[#This Row],[precio_eur]]/100</f>
        <v>2.19</v>
      </c>
      <c r="G513">
        <v>219</v>
      </c>
      <c r="H513">
        <v>2</v>
      </c>
      <c r="I513">
        <f>ventas_libreria[[#This Row],[precio]]*ventas_libreria[[#This Row],[cantidad]]</f>
        <v>4.38</v>
      </c>
      <c r="J513">
        <v>75</v>
      </c>
      <c r="K513" t="s">
        <v>20</v>
      </c>
      <c r="L513" s="1">
        <v>45489</v>
      </c>
      <c r="M513" t="s">
        <v>21</v>
      </c>
      <c r="N513" t="s">
        <v>22</v>
      </c>
      <c r="O513" t="s">
        <v>132</v>
      </c>
      <c r="P513" t="s">
        <v>84</v>
      </c>
      <c r="Q513">
        <v>4</v>
      </c>
      <c r="R513">
        <f>IF(ventas_libreria[[#This Row],[valoracion_cliente]]="","Sin valoración",ventas_libreria[[#This Row],[valoracion_cliente]])</f>
        <v>4</v>
      </c>
    </row>
    <row r="514" spans="1:18" x14ac:dyDescent="0.25">
      <c r="A514" t="s">
        <v>790</v>
      </c>
      <c r="B514" t="s">
        <v>671</v>
      </c>
      <c r="C514" t="s">
        <v>672</v>
      </c>
      <c r="D514" t="s">
        <v>673</v>
      </c>
      <c r="E514" t="s">
        <v>116</v>
      </c>
      <c r="F514">
        <f>ventas_libreria[[#This Row],[precio_eur]]/100</f>
        <v>13.55</v>
      </c>
      <c r="G514">
        <v>1355</v>
      </c>
      <c r="H514">
        <v>2</v>
      </c>
      <c r="I514">
        <f>ventas_libreria[[#This Row],[precio]]*ventas_libreria[[#This Row],[cantidad]]</f>
        <v>27.1</v>
      </c>
      <c r="J514">
        <v>65</v>
      </c>
      <c r="K514" t="s">
        <v>62</v>
      </c>
      <c r="L514" s="1">
        <v>45534</v>
      </c>
      <c r="M514" t="s">
        <v>43</v>
      </c>
      <c r="N514" t="s">
        <v>32</v>
      </c>
      <c r="O514" t="s">
        <v>33</v>
      </c>
      <c r="P514" t="s">
        <v>84</v>
      </c>
      <c r="Q514">
        <v>5</v>
      </c>
      <c r="R514">
        <f>IF(ventas_libreria[[#This Row],[valoracion_cliente]]="","Sin valoración",ventas_libreria[[#This Row],[valoracion_cliente]])</f>
        <v>5</v>
      </c>
    </row>
    <row r="515" spans="1:18" x14ac:dyDescent="0.25">
      <c r="A515" t="s">
        <v>791</v>
      </c>
      <c r="B515" t="s">
        <v>201</v>
      </c>
      <c r="C515" t="s">
        <v>202</v>
      </c>
      <c r="D515" t="s">
        <v>47</v>
      </c>
      <c r="E515" t="s">
        <v>107</v>
      </c>
      <c r="F515">
        <f>ventas_libreria[[#This Row],[precio_eur]]/100</f>
        <v>11.12</v>
      </c>
      <c r="G515">
        <v>1112</v>
      </c>
      <c r="H515">
        <v>1</v>
      </c>
      <c r="I515">
        <f>ventas_libreria[[#This Row],[precio]]*ventas_libreria[[#This Row],[cantidad]]</f>
        <v>11.12</v>
      </c>
      <c r="J515">
        <v>16</v>
      </c>
      <c r="K515" t="s">
        <v>30</v>
      </c>
      <c r="L515" s="1">
        <v>45507</v>
      </c>
      <c r="M515" t="s">
        <v>31</v>
      </c>
      <c r="N515" t="s">
        <v>22</v>
      </c>
      <c r="O515" t="s">
        <v>132</v>
      </c>
      <c r="P515" t="s">
        <v>50</v>
      </c>
      <c r="Q515">
        <v>5</v>
      </c>
      <c r="R515">
        <f>IF(ventas_libreria[[#This Row],[valoracion_cliente]]="","Sin valoración",ventas_libreria[[#This Row],[valoracion_cliente]])</f>
        <v>5</v>
      </c>
    </row>
    <row r="516" spans="1:18" x14ac:dyDescent="0.25">
      <c r="A516" t="s">
        <v>792</v>
      </c>
      <c r="B516" t="s">
        <v>74</v>
      </c>
      <c r="C516" t="s">
        <v>75</v>
      </c>
      <c r="D516" t="s">
        <v>76</v>
      </c>
      <c r="E516" t="s">
        <v>77</v>
      </c>
      <c r="F516">
        <f>ventas_libreria[[#This Row],[precio_eur]]/100</f>
        <v>1.59</v>
      </c>
      <c r="G516">
        <v>159</v>
      </c>
      <c r="H516">
        <v>1</v>
      </c>
      <c r="I516">
        <f>ventas_libreria[[#This Row],[precio]]*ventas_libreria[[#This Row],[cantidad]]</f>
        <v>1.59</v>
      </c>
      <c r="J516">
        <v>12</v>
      </c>
      <c r="K516" t="s">
        <v>38</v>
      </c>
      <c r="L516" s="1">
        <v>45405</v>
      </c>
      <c r="M516" t="s">
        <v>21</v>
      </c>
      <c r="N516" t="s">
        <v>32</v>
      </c>
      <c r="O516" t="s">
        <v>33</v>
      </c>
      <c r="P516" t="s">
        <v>24</v>
      </c>
      <c r="Q516">
        <v>2</v>
      </c>
      <c r="R516">
        <f>IF(ventas_libreria[[#This Row],[valoracion_cliente]]="","Sin valoración",ventas_libreria[[#This Row],[valoracion_cliente]])</f>
        <v>2</v>
      </c>
    </row>
    <row r="517" spans="1:18" x14ac:dyDescent="0.25">
      <c r="A517" t="s">
        <v>793</v>
      </c>
      <c r="B517" t="s">
        <v>220</v>
      </c>
      <c r="C517" t="s">
        <v>221</v>
      </c>
      <c r="D517" t="s">
        <v>222</v>
      </c>
      <c r="E517" t="s">
        <v>116</v>
      </c>
      <c r="F517">
        <f>ventas_libreria[[#This Row],[precio_eur]]/100</f>
        <v>10.32</v>
      </c>
      <c r="G517">
        <v>1032</v>
      </c>
      <c r="H517">
        <v>1</v>
      </c>
      <c r="I517">
        <f>ventas_libreria[[#This Row],[precio]]*ventas_libreria[[#This Row],[cantidad]]</f>
        <v>10.32</v>
      </c>
      <c r="J517">
        <v>44</v>
      </c>
      <c r="K517" t="s">
        <v>62</v>
      </c>
      <c r="L517" s="1">
        <v>45740</v>
      </c>
      <c r="M517" t="s">
        <v>21</v>
      </c>
      <c r="N517" t="s">
        <v>32</v>
      </c>
      <c r="O517" t="s">
        <v>33</v>
      </c>
      <c r="P517" t="s">
        <v>34</v>
      </c>
      <c r="Q517">
        <v>5</v>
      </c>
      <c r="R517">
        <f>IF(ventas_libreria[[#This Row],[valoracion_cliente]]="","Sin valoración",ventas_libreria[[#This Row],[valoracion_cliente]])</f>
        <v>5</v>
      </c>
    </row>
    <row r="518" spans="1:18" x14ac:dyDescent="0.25">
      <c r="A518" t="s">
        <v>794</v>
      </c>
      <c r="B518" t="s">
        <v>247</v>
      </c>
      <c r="C518" t="s">
        <v>248</v>
      </c>
      <c r="D518" t="s">
        <v>249</v>
      </c>
      <c r="E518" t="s">
        <v>172</v>
      </c>
      <c r="F518">
        <f>ventas_libreria[[#This Row],[precio_eur]]/100</f>
        <v>11.12</v>
      </c>
      <c r="G518">
        <v>1112</v>
      </c>
      <c r="H518">
        <v>1</v>
      </c>
      <c r="I518">
        <f>ventas_libreria[[#This Row],[precio]]*ventas_libreria[[#This Row],[cantidad]]</f>
        <v>11.12</v>
      </c>
      <c r="J518">
        <v>21</v>
      </c>
      <c r="K518" t="s">
        <v>20</v>
      </c>
      <c r="L518" s="1">
        <v>45041</v>
      </c>
      <c r="M518" t="s">
        <v>21</v>
      </c>
      <c r="N518" t="s">
        <v>32</v>
      </c>
      <c r="O518" t="s">
        <v>33</v>
      </c>
      <c r="P518" t="s">
        <v>84</v>
      </c>
      <c r="Q518">
        <v>3</v>
      </c>
      <c r="R518">
        <f>IF(ventas_libreria[[#This Row],[valoracion_cliente]]="","Sin valoración",ventas_libreria[[#This Row],[valoracion_cliente]])</f>
        <v>3</v>
      </c>
    </row>
    <row r="519" spans="1:18" x14ac:dyDescent="0.25">
      <c r="A519" t="s">
        <v>795</v>
      </c>
      <c r="B519" t="s">
        <v>318</v>
      </c>
      <c r="C519" t="s">
        <v>319</v>
      </c>
      <c r="D519" t="s">
        <v>167</v>
      </c>
      <c r="E519" t="s">
        <v>61</v>
      </c>
      <c r="F519">
        <f>ventas_libreria[[#This Row],[precio_eur]]/100</f>
        <v>16.059999999999999</v>
      </c>
      <c r="G519">
        <v>1606</v>
      </c>
      <c r="H519">
        <v>1</v>
      </c>
      <c r="I519">
        <f>ventas_libreria[[#This Row],[precio]]*ventas_libreria[[#This Row],[cantidad]]</f>
        <v>16.059999999999999</v>
      </c>
      <c r="J519">
        <v>22</v>
      </c>
      <c r="K519" t="s">
        <v>20</v>
      </c>
      <c r="L519" s="1">
        <v>45222</v>
      </c>
      <c r="M519" t="s">
        <v>43</v>
      </c>
      <c r="N519" t="s">
        <v>32</v>
      </c>
      <c r="O519" t="s">
        <v>33</v>
      </c>
      <c r="P519" t="s">
        <v>50</v>
      </c>
      <c r="Q519">
        <v>5</v>
      </c>
      <c r="R519">
        <f>IF(ventas_libreria[[#This Row],[valoracion_cliente]]="","Sin valoración",ventas_libreria[[#This Row],[valoracion_cliente]])</f>
        <v>5</v>
      </c>
    </row>
    <row r="520" spans="1:18" x14ac:dyDescent="0.25">
      <c r="A520" t="s">
        <v>796</v>
      </c>
      <c r="B520" t="s">
        <v>549</v>
      </c>
      <c r="C520" t="s">
        <v>550</v>
      </c>
      <c r="D520" t="s">
        <v>162</v>
      </c>
      <c r="E520" t="s">
        <v>29</v>
      </c>
      <c r="F520">
        <f>ventas_libreria[[#This Row],[precio_eur]]/100</f>
        <v>1.99</v>
      </c>
      <c r="G520">
        <v>199</v>
      </c>
      <c r="H520">
        <v>1</v>
      </c>
      <c r="I520">
        <f>ventas_libreria[[#This Row],[precio]]*ventas_libreria[[#This Row],[cantidad]]</f>
        <v>1.99</v>
      </c>
      <c r="J520">
        <v>59</v>
      </c>
      <c r="K520" t="s">
        <v>20</v>
      </c>
      <c r="L520" s="1">
        <v>45568</v>
      </c>
      <c r="M520" t="s">
        <v>21</v>
      </c>
      <c r="N520" t="s">
        <v>32</v>
      </c>
      <c r="O520" t="s">
        <v>33</v>
      </c>
      <c r="P520" t="s">
        <v>56</v>
      </c>
      <c r="Q520">
        <v>3</v>
      </c>
      <c r="R520">
        <f>IF(ventas_libreria[[#This Row],[valoracion_cliente]]="","Sin valoración",ventas_libreria[[#This Row],[valoracion_cliente]])</f>
        <v>3</v>
      </c>
    </row>
    <row r="521" spans="1:18" x14ac:dyDescent="0.25">
      <c r="A521" t="s">
        <v>797</v>
      </c>
      <c r="B521" t="s">
        <v>348</v>
      </c>
      <c r="C521" t="s">
        <v>349</v>
      </c>
      <c r="D521" t="s">
        <v>350</v>
      </c>
      <c r="E521" t="s">
        <v>116</v>
      </c>
      <c r="F521">
        <f>ventas_libreria[[#This Row],[precio_eur]]/100</f>
        <v>17.91</v>
      </c>
      <c r="G521">
        <v>1791</v>
      </c>
      <c r="H521">
        <v>1</v>
      </c>
      <c r="I521">
        <f>ventas_libreria[[#This Row],[precio]]*ventas_libreria[[#This Row],[cantidad]]</f>
        <v>17.91</v>
      </c>
      <c r="J521">
        <v>29</v>
      </c>
      <c r="K521" t="s">
        <v>62</v>
      </c>
      <c r="L521" s="1">
        <v>45493</v>
      </c>
      <c r="M521" t="s">
        <v>43</v>
      </c>
      <c r="N521" t="s">
        <v>32</v>
      </c>
      <c r="O521" t="s">
        <v>33</v>
      </c>
      <c r="P521" t="s">
        <v>84</v>
      </c>
      <c r="R521" t="str">
        <f>IF(ventas_libreria[[#This Row],[valoracion_cliente]]="","Sin valoración",ventas_libreria[[#This Row],[valoracion_cliente]])</f>
        <v>Sin valoración</v>
      </c>
    </row>
    <row r="522" spans="1:18" x14ac:dyDescent="0.25">
      <c r="A522" t="s">
        <v>798</v>
      </c>
      <c r="B522" t="s">
        <v>204</v>
      </c>
      <c r="C522" t="s">
        <v>205</v>
      </c>
      <c r="D522" t="s">
        <v>206</v>
      </c>
      <c r="E522" t="s">
        <v>116</v>
      </c>
      <c r="F522">
        <f>ventas_libreria[[#This Row],[precio_eur]]/100</f>
        <v>1.29</v>
      </c>
      <c r="G522">
        <v>129</v>
      </c>
      <c r="H522">
        <v>1</v>
      </c>
      <c r="I522">
        <f>ventas_libreria[[#This Row],[precio]]*ventas_libreria[[#This Row],[cantidad]]</f>
        <v>1.29</v>
      </c>
      <c r="J522">
        <v>42</v>
      </c>
      <c r="K522" t="s">
        <v>38</v>
      </c>
      <c r="L522" s="1">
        <v>45009</v>
      </c>
      <c r="M522" t="s">
        <v>43</v>
      </c>
      <c r="N522" t="s">
        <v>32</v>
      </c>
      <c r="O522" t="s">
        <v>33</v>
      </c>
      <c r="P522" t="s">
        <v>84</v>
      </c>
      <c r="Q522">
        <v>5</v>
      </c>
      <c r="R522">
        <f>IF(ventas_libreria[[#This Row],[valoracion_cliente]]="","Sin valoración",ventas_libreria[[#This Row],[valoracion_cliente]])</f>
        <v>5</v>
      </c>
    </row>
    <row r="523" spans="1:18" x14ac:dyDescent="0.25">
      <c r="A523" t="s">
        <v>799</v>
      </c>
      <c r="B523" t="s">
        <v>121</v>
      </c>
      <c r="C523" t="s">
        <v>122</v>
      </c>
      <c r="D523" t="s">
        <v>123</v>
      </c>
      <c r="E523" t="s">
        <v>48</v>
      </c>
      <c r="F523">
        <f>ventas_libreria[[#This Row],[precio_eur]]/100</f>
        <v>17.75</v>
      </c>
      <c r="G523">
        <v>1775</v>
      </c>
      <c r="H523">
        <v>1</v>
      </c>
      <c r="I523">
        <f>ventas_libreria[[#This Row],[precio]]*ventas_libreria[[#This Row],[cantidad]]</f>
        <v>17.75</v>
      </c>
      <c r="J523">
        <v>68</v>
      </c>
      <c r="K523" t="s">
        <v>20</v>
      </c>
      <c r="L523" s="1">
        <v>45716</v>
      </c>
      <c r="M523" t="s">
        <v>43</v>
      </c>
      <c r="N523" t="s">
        <v>32</v>
      </c>
      <c r="O523" t="s">
        <v>33</v>
      </c>
      <c r="P523" t="s">
        <v>24</v>
      </c>
      <c r="Q523">
        <v>4</v>
      </c>
      <c r="R523">
        <f>IF(ventas_libreria[[#This Row],[valoracion_cliente]]="","Sin valoración",ventas_libreria[[#This Row],[valoracion_cliente]])</f>
        <v>4</v>
      </c>
    </row>
    <row r="524" spans="1:18" x14ac:dyDescent="0.25">
      <c r="A524" t="s">
        <v>800</v>
      </c>
      <c r="B524" t="s">
        <v>224</v>
      </c>
      <c r="C524" t="s">
        <v>225</v>
      </c>
      <c r="D524" t="s">
        <v>226</v>
      </c>
      <c r="E524" t="s">
        <v>116</v>
      </c>
      <c r="F524">
        <f>ventas_libreria[[#This Row],[precio_eur]]/100</f>
        <v>27.39</v>
      </c>
      <c r="G524">
        <v>2739</v>
      </c>
      <c r="H524">
        <v>4</v>
      </c>
      <c r="I524">
        <f>ventas_libreria[[#This Row],[precio]]*ventas_libreria[[#This Row],[cantidad]]</f>
        <v>109.56</v>
      </c>
      <c r="J524">
        <v>62</v>
      </c>
      <c r="K524" t="s">
        <v>62</v>
      </c>
      <c r="L524" s="1">
        <v>45539</v>
      </c>
      <c r="M524" t="s">
        <v>43</v>
      </c>
      <c r="N524" t="s">
        <v>32</v>
      </c>
      <c r="O524" t="s">
        <v>33</v>
      </c>
      <c r="P524" t="s">
        <v>56</v>
      </c>
      <c r="Q524">
        <v>5</v>
      </c>
      <c r="R524">
        <f>IF(ventas_libreria[[#This Row],[valoracion_cliente]]="","Sin valoración",ventas_libreria[[#This Row],[valoracion_cliente]])</f>
        <v>5</v>
      </c>
    </row>
    <row r="525" spans="1:18" x14ac:dyDescent="0.25">
      <c r="A525" t="s">
        <v>801</v>
      </c>
      <c r="B525" t="s">
        <v>307</v>
      </c>
      <c r="C525" t="s">
        <v>308</v>
      </c>
      <c r="D525" t="s">
        <v>88</v>
      </c>
      <c r="E525" t="s">
        <v>77</v>
      </c>
      <c r="F525">
        <f>ventas_libreria[[#This Row],[precio_eur]]/100</f>
        <v>1.0900000000000001</v>
      </c>
      <c r="G525">
        <v>109</v>
      </c>
      <c r="H525">
        <v>1</v>
      </c>
      <c r="I525">
        <f>ventas_libreria[[#This Row],[precio]]*ventas_libreria[[#This Row],[cantidad]]</f>
        <v>1.0900000000000001</v>
      </c>
      <c r="J525">
        <v>7</v>
      </c>
      <c r="K525" t="s">
        <v>62</v>
      </c>
      <c r="L525" s="1">
        <v>45332</v>
      </c>
      <c r="M525" t="s">
        <v>31</v>
      </c>
      <c r="N525" t="s">
        <v>22</v>
      </c>
      <c r="O525" t="s">
        <v>49</v>
      </c>
      <c r="P525" t="s">
        <v>84</v>
      </c>
      <c r="Q525">
        <v>5</v>
      </c>
      <c r="R525">
        <f>IF(ventas_libreria[[#This Row],[valoracion_cliente]]="","Sin valoración",ventas_libreria[[#This Row],[valoracion_cliente]])</f>
        <v>5</v>
      </c>
    </row>
    <row r="526" spans="1:18" x14ac:dyDescent="0.25">
      <c r="A526" t="s">
        <v>802</v>
      </c>
      <c r="B526" t="s">
        <v>437</v>
      </c>
      <c r="C526" t="s">
        <v>438</v>
      </c>
      <c r="D526" t="s">
        <v>178</v>
      </c>
      <c r="E526" t="s">
        <v>55</v>
      </c>
      <c r="F526">
        <f>ventas_libreria[[#This Row],[precio_eur]]/100</f>
        <v>15.21</v>
      </c>
      <c r="G526">
        <v>1521</v>
      </c>
      <c r="H526">
        <v>1</v>
      </c>
      <c r="I526">
        <f>ventas_libreria[[#This Row],[precio]]*ventas_libreria[[#This Row],[cantidad]]</f>
        <v>15.21</v>
      </c>
      <c r="J526">
        <v>72</v>
      </c>
      <c r="K526" t="s">
        <v>20</v>
      </c>
      <c r="L526" s="1">
        <v>45289</v>
      </c>
      <c r="M526" t="s">
        <v>43</v>
      </c>
      <c r="N526" t="s">
        <v>32</v>
      </c>
      <c r="O526" t="s">
        <v>33</v>
      </c>
      <c r="P526" t="s">
        <v>50</v>
      </c>
      <c r="Q526">
        <v>4</v>
      </c>
      <c r="R526">
        <f>IF(ventas_libreria[[#This Row],[valoracion_cliente]]="","Sin valoración",ventas_libreria[[#This Row],[valoracion_cliente]])</f>
        <v>4</v>
      </c>
    </row>
    <row r="527" spans="1:18" x14ac:dyDescent="0.25">
      <c r="A527" t="s">
        <v>803</v>
      </c>
      <c r="B527" t="s">
        <v>109</v>
      </c>
      <c r="C527" t="s">
        <v>110</v>
      </c>
      <c r="D527" t="s">
        <v>111</v>
      </c>
      <c r="E527" t="s">
        <v>55</v>
      </c>
      <c r="F527">
        <f>ventas_libreria[[#This Row],[precio_eur]]/100</f>
        <v>20.89</v>
      </c>
      <c r="G527">
        <v>2089</v>
      </c>
      <c r="H527">
        <v>3</v>
      </c>
      <c r="I527">
        <f>ventas_libreria[[#This Row],[precio]]*ventas_libreria[[#This Row],[cantidad]]</f>
        <v>62.67</v>
      </c>
      <c r="J527">
        <v>38</v>
      </c>
      <c r="K527" t="s">
        <v>20</v>
      </c>
      <c r="L527" s="1">
        <v>45287</v>
      </c>
      <c r="M527" t="s">
        <v>21</v>
      </c>
      <c r="N527" t="s">
        <v>32</v>
      </c>
      <c r="O527" t="s">
        <v>33</v>
      </c>
      <c r="P527" t="s">
        <v>34</v>
      </c>
      <c r="Q527">
        <v>1</v>
      </c>
      <c r="R527">
        <f>IF(ventas_libreria[[#This Row],[valoracion_cliente]]="","Sin valoración",ventas_libreria[[#This Row],[valoracion_cliente]])</f>
        <v>1</v>
      </c>
    </row>
    <row r="528" spans="1:18" x14ac:dyDescent="0.25">
      <c r="A528" t="s">
        <v>804</v>
      </c>
      <c r="B528" t="s">
        <v>338</v>
      </c>
      <c r="C528" t="s">
        <v>339</v>
      </c>
      <c r="D528" t="s">
        <v>167</v>
      </c>
      <c r="E528" t="s">
        <v>61</v>
      </c>
      <c r="F528">
        <f>ventas_libreria[[#This Row],[precio_eur]]/100</f>
        <v>20.61</v>
      </c>
      <c r="G528">
        <v>2061</v>
      </c>
      <c r="H528">
        <v>1</v>
      </c>
      <c r="I528">
        <f>ventas_libreria[[#This Row],[precio]]*ventas_libreria[[#This Row],[cantidad]]</f>
        <v>20.61</v>
      </c>
      <c r="J528">
        <v>25</v>
      </c>
      <c r="K528" t="s">
        <v>20</v>
      </c>
      <c r="L528" s="1">
        <v>44935</v>
      </c>
      <c r="M528" t="s">
        <v>21</v>
      </c>
      <c r="N528" t="s">
        <v>32</v>
      </c>
      <c r="O528" t="s">
        <v>33</v>
      </c>
      <c r="P528" t="s">
        <v>34</v>
      </c>
      <c r="R528" t="str">
        <f>IF(ventas_libreria[[#This Row],[valoracion_cliente]]="","Sin valoración",ventas_libreria[[#This Row],[valoracion_cliente]])</f>
        <v>Sin valoración</v>
      </c>
    </row>
    <row r="529" spans="1:18" x14ac:dyDescent="0.25">
      <c r="A529" t="s">
        <v>805</v>
      </c>
      <c r="B529" t="s">
        <v>91</v>
      </c>
      <c r="C529" t="s">
        <v>92</v>
      </c>
      <c r="D529" t="s">
        <v>93</v>
      </c>
      <c r="E529" t="s">
        <v>72</v>
      </c>
      <c r="F529">
        <f>ventas_libreria[[#This Row],[precio_eur]]/100</f>
        <v>1.46</v>
      </c>
      <c r="G529">
        <v>146</v>
      </c>
      <c r="H529">
        <v>2</v>
      </c>
      <c r="I529">
        <f>ventas_libreria[[#This Row],[precio]]*ventas_libreria[[#This Row],[cantidad]]</f>
        <v>2.92</v>
      </c>
      <c r="J529">
        <v>71</v>
      </c>
      <c r="K529" t="s">
        <v>30</v>
      </c>
      <c r="L529" s="1">
        <v>45948</v>
      </c>
      <c r="M529" t="s">
        <v>31</v>
      </c>
      <c r="N529" t="s">
        <v>22</v>
      </c>
      <c r="O529" t="s">
        <v>132</v>
      </c>
      <c r="P529" t="s">
        <v>50</v>
      </c>
      <c r="Q529">
        <v>3</v>
      </c>
      <c r="R529">
        <f>IF(ventas_libreria[[#This Row],[valoracion_cliente]]="","Sin valoración",ventas_libreria[[#This Row],[valoracion_cliente]])</f>
        <v>3</v>
      </c>
    </row>
    <row r="530" spans="1:18" x14ac:dyDescent="0.25">
      <c r="A530" t="s">
        <v>806</v>
      </c>
      <c r="B530" t="s">
        <v>211</v>
      </c>
      <c r="C530" t="s">
        <v>212</v>
      </c>
      <c r="D530" t="s">
        <v>131</v>
      </c>
      <c r="E530" t="s">
        <v>107</v>
      </c>
      <c r="F530">
        <f>ventas_libreria[[#This Row],[precio_eur]]/100</f>
        <v>1.69</v>
      </c>
      <c r="G530">
        <v>169</v>
      </c>
      <c r="H530">
        <v>1</v>
      </c>
      <c r="I530">
        <f>ventas_libreria[[#This Row],[precio]]*ventas_libreria[[#This Row],[cantidad]]</f>
        <v>1.69</v>
      </c>
      <c r="J530">
        <v>14</v>
      </c>
      <c r="K530" t="s">
        <v>30</v>
      </c>
      <c r="L530" s="1">
        <v>45051</v>
      </c>
      <c r="M530" t="s">
        <v>43</v>
      </c>
      <c r="N530" t="s">
        <v>32</v>
      </c>
      <c r="O530" t="s">
        <v>33</v>
      </c>
      <c r="P530" t="s">
        <v>50</v>
      </c>
      <c r="Q530">
        <v>2</v>
      </c>
      <c r="R530">
        <f>IF(ventas_libreria[[#This Row],[valoracion_cliente]]="","Sin valoración",ventas_libreria[[#This Row],[valoracion_cliente]])</f>
        <v>2</v>
      </c>
    </row>
    <row r="531" spans="1:18" x14ac:dyDescent="0.25">
      <c r="A531" t="s">
        <v>807</v>
      </c>
      <c r="B531" t="s">
        <v>224</v>
      </c>
      <c r="C531" t="s">
        <v>225</v>
      </c>
      <c r="D531" t="s">
        <v>226</v>
      </c>
      <c r="E531" t="s">
        <v>116</v>
      </c>
      <c r="F531">
        <f>ventas_libreria[[#This Row],[precio_eur]]/100</f>
        <v>2.4900000000000002</v>
      </c>
      <c r="G531">
        <v>249</v>
      </c>
      <c r="H531">
        <v>1</v>
      </c>
      <c r="I531">
        <f>ventas_libreria[[#This Row],[precio]]*ventas_libreria[[#This Row],[cantidad]]</f>
        <v>2.4900000000000002</v>
      </c>
      <c r="J531">
        <v>30</v>
      </c>
      <c r="K531" t="s">
        <v>38</v>
      </c>
      <c r="L531" s="1">
        <v>45294</v>
      </c>
      <c r="M531" t="s">
        <v>21</v>
      </c>
      <c r="N531" t="s">
        <v>32</v>
      </c>
      <c r="O531" t="s">
        <v>33</v>
      </c>
      <c r="P531" t="s">
        <v>56</v>
      </c>
      <c r="Q531">
        <v>2</v>
      </c>
      <c r="R531">
        <f>IF(ventas_libreria[[#This Row],[valoracion_cliente]]="","Sin valoración",ventas_libreria[[#This Row],[valoracion_cliente]])</f>
        <v>2</v>
      </c>
    </row>
    <row r="532" spans="1:18" x14ac:dyDescent="0.25">
      <c r="A532" t="s">
        <v>808</v>
      </c>
      <c r="B532" t="s">
        <v>549</v>
      </c>
      <c r="C532" t="s">
        <v>550</v>
      </c>
      <c r="D532" t="s">
        <v>162</v>
      </c>
      <c r="E532" t="s">
        <v>29</v>
      </c>
      <c r="F532">
        <f>ventas_libreria[[#This Row],[precio_eur]]/100</f>
        <v>16.91</v>
      </c>
      <c r="G532">
        <v>1691</v>
      </c>
      <c r="H532">
        <v>1</v>
      </c>
      <c r="I532">
        <f>ventas_libreria[[#This Row],[precio]]*ventas_libreria[[#This Row],[cantidad]]</f>
        <v>16.91</v>
      </c>
      <c r="J532">
        <v>68</v>
      </c>
      <c r="K532" t="s">
        <v>30</v>
      </c>
      <c r="L532" s="1">
        <v>45754</v>
      </c>
      <c r="M532" t="s">
        <v>43</v>
      </c>
      <c r="N532" t="s">
        <v>32</v>
      </c>
      <c r="O532" t="s">
        <v>33</v>
      </c>
      <c r="P532" t="s">
        <v>24</v>
      </c>
      <c r="Q532">
        <v>5</v>
      </c>
      <c r="R532">
        <f>IF(ventas_libreria[[#This Row],[valoracion_cliente]]="","Sin valoración",ventas_libreria[[#This Row],[valoracion_cliente]])</f>
        <v>5</v>
      </c>
    </row>
    <row r="533" spans="1:18" x14ac:dyDescent="0.25">
      <c r="A533" t="s">
        <v>809</v>
      </c>
      <c r="B533" t="s">
        <v>204</v>
      </c>
      <c r="C533" t="s">
        <v>205</v>
      </c>
      <c r="D533" t="s">
        <v>206</v>
      </c>
      <c r="E533" t="s">
        <v>116</v>
      </c>
      <c r="F533">
        <f>ventas_libreria[[#This Row],[precio_eur]]/100</f>
        <v>1.29</v>
      </c>
      <c r="G533">
        <v>129</v>
      </c>
      <c r="H533">
        <v>1</v>
      </c>
      <c r="I533">
        <f>ventas_libreria[[#This Row],[precio]]*ventas_libreria[[#This Row],[cantidad]]</f>
        <v>1.29</v>
      </c>
      <c r="J533">
        <v>67</v>
      </c>
      <c r="K533" t="s">
        <v>30</v>
      </c>
      <c r="L533" s="1">
        <v>45101</v>
      </c>
      <c r="M533" t="s">
        <v>43</v>
      </c>
      <c r="N533" t="s">
        <v>32</v>
      </c>
      <c r="O533" t="s">
        <v>33</v>
      </c>
      <c r="P533" t="s">
        <v>50</v>
      </c>
      <c r="Q533">
        <v>5</v>
      </c>
      <c r="R533">
        <f>IF(ventas_libreria[[#This Row],[valoracion_cliente]]="","Sin valoración",ventas_libreria[[#This Row],[valoracion_cliente]])</f>
        <v>5</v>
      </c>
    </row>
    <row r="534" spans="1:18" x14ac:dyDescent="0.25">
      <c r="A534" t="s">
        <v>810</v>
      </c>
      <c r="B534" t="s">
        <v>224</v>
      </c>
      <c r="C534" t="s">
        <v>225</v>
      </c>
      <c r="D534" t="s">
        <v>226</v>
      </c>
      <c r="E534" t="s">
        <v>116</v>
      </c>
      <c r="F534">
        <f>ventas_libreria[[#This Row],[precio_eur]]/100</f>
        <v>27.39</v>
      </c>
      <c r="G534">
        <v>2739</v>
      </c>
      <c r="H534">
        <v>1</v>
      </c>
      <c r="I534">
        <f>ventas_libreria[[#This Row],[precio]]*ventas_libreria[[#This Row],[cantidad]]</f>
        <v>27.39</v>
      </c>
      <c r="J534">
        <v>70</v>
      </c>
      <c r="K534" t="s">
        <v>38</v>
      </c>
      <c r="L534" s="1">
        <v>45610</v>
      </c>
      <c r="M534" t="s">
        <v>31</v>
      </c>
      <c r="N534" t="s">
        <v>32</v>
      </c>
      <c r="O534" t="s">
        <v>33</v>
      </c>
      <c r="P534" t="s">
        <v>56</v>
      </c>
      <c r="Q534">
        <v>4</v>
      </c>
      <c r="R534">
        <f>IF(ventas_libreria[[#This Row],[valoracion_cliente]]="","Sin valoración",ventas_libreria[[#This Row],[valoracion_cliente]])</f>
        <v>4</v>
      </c>
    </row>
    <row r="535" spans="1:18" x14ac:dyDescent="0.25">
      <c r="A535" t="s">
        <v>811</v>
      </c>
      <c r="B535" t="s">
        <v>254</v>
      </c>
      <c r="C535" t="s">
        <v>255</v>
      </c>
      <c r="D535" t="s">
        <v>139</v>
      </c>
      <c r="E535" t="s">
        <v>116</v>
      </c>
      <c r="F535">
        <f>ventas_libreria[[#This Row],[precio_eur]]/100</f>
        <v>1.49</v>
      </c>
      <c r="G535">
        <v>149</v>
      </c>
      <c r="H535">
        <v>1</v>
      </c>
      <c r="I535">
        <f>ventas_libreria[[#This Row],[precio]]*ventas_libreria[[#This Row],[cantidad]]</f>
        <v>1.49</v>
      </c>
      <c r="J535">
        <v>60</v>
      </c>
      <c r="K535" t="s">
        <v>62</v>
      </c>
      <c r="L535" s="1">
        <v>45840</v>
      </c>
      <c r="M535" t="s">
        <v>31</v>
      </c>
      <c r="N535" t="s">
        <v>22</v>
      </c>
      <c r="O535" t="s">
        <v>98</v>
      </c>
      <c r="P535" t="s">
        <v>84</v>
      </c>
      <c r="Q535">
        <v>5</v>
      </c>
      <c r="R535">
        <f>IF(ventas_libreria[[#This Row],[valoracion_cliente]]="","Sin valoración",ventas_libreria[[#This Row],[valoracion_cliente]])</f>
        <v>5</v>
      </c>
    </row>
    <row r="536" spans="1:18" x14ac:dyDescent="0.25">
      <c r="A536" t="s">
        <v>812</v>
      </c>
      <c r="B536" t="s">
        <v>220</v>
      </c>
      <c r="C536" t="s">
        <v>221</v>
      </c>
      <c r="D536" t="s">
        <v>222</v>
      </c>
      <c r="E536" t="s">
        <v>116</v>
      </c>
      <c r="F536">
        <f>ventas_libreria[[#This Row],[precio_eur]]/100</f>
        <v>1.29</v>
      </c>
      <c r="G536">
        <v>129</v>
      </c>
      <c r="H536">
        <v>2</v>
      </c>
      <c r="I536">
        <f>ventas_libreria[[#This Row],[precio]]*ventas_libreria[[#This Row],[cantidad]]</f>
        <v>2.58</v>
      </c>
      <c r="J536">
        <v>41</v>
      </c>
      <c r="K536" t="s">
        <v>62</v>
      </c>
      <c r="L536" s="1">
        <v>46021</v>
      </c>
      <c r="M536" t="s">
        <v>21</v>
      </c>
      <c r="N536" t="s">
        <v>32</v>
      </c>
      <c r="O536" t="s">
        <v>33</v>
      </c>
      <c r="P536" t="s">
        <v>50</v>
      </c>
      <c r="Q536">
        <v>4</v>
      </c>
      <c r="R536">
        <f>IF(ventas_libreria[[#This Row],[valoracion_cliente]]="","Sin valoración",ventas_libreria[[#This Row],[valoracion_cliente]])</f>
        <v>4</v>
      </c>
    </row>
    <row r="537" spans="1:18" x14ac:dyDescent="0.25">
      <c r="A537" t="s">
        <v>813</v>
      </c>
      <c r="B537" t="s">
        <v>160</v>
      </c>
      <c r="C537" t="s">
        <v>161</v>
      </c>
      <c r="D537" t="s">
        <v>162</v>
      </c>
      <c r="E537" t="s">
        <v>29</v>
      </c>
      <c r="F537">
        <f>ventas_libreria[[#This Row],[precio_eur]]/100</f>
        <v>1.69</v>
      </c>
      <c r="G537">
        <v>169</v>
      </c>
      <c r="H537">
        <v>4</v>
      </c>
      <c r="I537">
        <f>ventas_libreria[[#This Row],[precio]]*ventas_libreria[[#This Row],[cantidad]]</f>
        <v>6.76</v>
      </c>
      <c r="J537">
        <v>16</v>
      </c>
      <c r="K537" t="s">
        <v>30</v>
      </c>
      <c r="L537" s="1">
        <v>45146</v>
      </c>
      <c r="M537" t="s">
        <v>43</v>
      </c>
      <c r="N537" t="s">
        <v>32</v>
      </c>
      <c r="O537" t="s">
        <v>33</v>
      </c>
      <c r="P537" t="s">
        <v>50</v>
      </c>
      <c r="Q537">
        <v>5</v>
      </c>
      <c r="R537">
        <f>IF(ventas_libreria[[#This Row],[valoracion_cliente]]="","Sin valoración",ventas_libreria[[#This Row],[valoracion_cliente]])</f>
        <v>5</v>
      </c>
    </row>
    <row r="538" spans="1:18" x14ac:dyDescent="0.25">
      <c r="A538" t="s">
        <v>814</v>
      </c>
      <c r="B538" t="s">
        <v>45</v>
      </c>
      <c r="C538" t="s">
        <v>46</v>
      </c>
      <c r="D538" t="s">
        <v>47</v>
      </c>
      <c r="E538" t="s">
        <v>48</v>
      </c>
      <c r="F538">
        <f>ventas_libreria[[#This Row],[precio_eur]]/100</f>
        <v>1.99</v>
      </c>
      <c r="G538">
        <v>199</v>
      </c>
      <c r="H538">
        <v>2</v>
      </c>
      <c r="I538">
        <f>ventas_libreria[[#This Row],[precio]]*ventas_libreria[[#This Row],[cantidad]]</f>
        <v>3.98</v>
      </c>
      <c r="J538">
        <v>48</v>
      </c>
      <c r="K538" t="s">
        <v>20</v>
      </c>
      <c r="L538" s="1">
        <v>45723</v>
      </c>
      <c r="M538" t="s">
        <v>31</v>
      </c>
      <c r="N538" t="s">
        <v>22</v>
      </c>
      <c r="O538" t="s">
        <v>23</v>
      </c>
      <c r="P538" t="s">
        <v>84</v>
      </c>
      <c r="Q538">
        <v>5</v>
      </c>
      <c r="R538">
        <f>IF(ventas_libreria[[#This Row],[valoracion_cliente]]="","Sin valoración",ventas_libreria[[#This Row],[valoracion_cliente]])</f>
        <v>5</v>
      </c>
    </row>
    <row r="539" spans="1:18" x14ac:dyDescent="0.25">
      <c r="A539" t="s">
        <v>815</v>
      </c>
      <c r="B539" t="s">
        <v>228</v>
      </c>
      <c r="C539" t="s">
        <v>229</v>
      </c>
      <c r="D539" t="s">
        <v>206</v>
      </c>
      <c r="E539" t="s">
        <v>116</v>
      </c>
      <c r="F539">
        <f>ventas_libreria[[#This Row],[precio_eur]]/100</f>
        <v>1.89</v>
      </c>
      <c r="G539">
        <v>189</v>
      </c>
      <c r="H539">
        <v>2</v>
      </c>
      <c r="I539">
        <f>ventas_libreria[[#This Row],[precio]]*ventas_libreria[[#This Row],[cantidad]]</f>
        <v>3.78</v>
      </c>
      <c r="J539">
        <v>59</v>
      </c>
      <c r="K539" t="s">
        <v>62</v>
      </c>
      <c r="L539" s="1">
        <v>45088</v>
      </c>
      <c r="M539" t="s">
        <v>43</v>
      </c>
      <c r="N539" t="s">
        <v>32</v>
      </c>
      <c r="O539" t="s">
        <v>33</v>
      </c>
      <c r="P539" t="s">
        <v>56</v>
      </c>
      <c r="Q539">
        <v>5</v>
      </c>
      <c r="R539">
        <f>IF(ventas_libreria[[#This Row],[valoracion_cliente]]="","Sin valoración",ventas_libreria[[#This Row],[valoracion_cliente]])</f>
        <v>5</v>
      </c>
    </row>
    <row r="540" spans="1:18" x14ac:dyDescent="0.25">
      <c r="A540" t="s">
        <v>816</v>
      </c>
      <c r="B540" t="s">
        <v>327</v>
      </c>
      <c r="C540" t="s">
        <v>328</v>
      </c>
      <c r="D540" t="s">
        <v>288</v>
      </c>
      <c r="E540" t="s">
        <v>289</v>
      </c>
      <c r="F540">
        <f>ventas_libreria[[#This Row],[precio_eur]]/100</f>
        <v>18.32</v>
      </c>
      <c r="G540">
        <v>1832</v>
      </c>
      <c r="H540">
        <v>1</v>
      </c>
      <c r="I540">
        <f>ventas_libreria[[#This Row],[precio]]*ventas_libreria[[#This Row],[cantidad]]</f>
        <v>18.32</v>
      </c>
      <c r="J540">
        <v>45</v>
      </c>
      <c r="K540" t="s">
        <v>20</v>
      </c>
      <c r="L540" s="1">
        <v>45103</v>
      </c>
      <c r="M540" t="s">
        <v>21</v>
      </c>
      <c r="N540" t="s">
        <v>32</v>
      </c>
      <c r="O540" t="s">
        <v>33</v>
      </c>
      <c r="P540" t="s">
        <v>50</v>
      </c>
      <c r="Q540">
        <v>5</v>
      </c>
      <c r="R540">
        <f>IF(ventas_libreria[[#This Row],[valoracion_cliente]]="","Sin valoración",ventas_libreria[[#This Row],[valoracion_cliente]])</f>
        <v>5</v>
      </c>
    </row>
    <row r="541" spans="1:18" x14ac:dyDescent="0.25">
      <c r="A541" t="s">
        <v>817</v>
      </c>
      <c r="B541" t="s">
        <v>100</v>
      </c>
      <c r="C541" t="s">
        <v>101</v>
      </c>
      <c r="D541" t="s">
        <v>102</v>
      </c>
      <c r="E541" t="s">
        <v>61</v>
      </c>
      <c r="F541">
        <f>ventas_libreria[[#This Row],[precio_eur]]/100</f>
        <v>13.09</v>
      </c>
      <c r="G541">
        <v>1309</v>
      </c>
      <c r="H541">
        <v>2</v>
      </c>
      <c r="I541">
        <f>ventas_libreria[[#This Row],[precio]]*ventas_libreria[[#This Row],[cantidad]]</f>
        <v>26.18</v>
      </c>
      <c r="J541">
        <v>43</v>
      </c>
      <c r="K541" t="s">
        <v>38</v>
      </c>
      <c r="L541" s="1">
        <v>45139</v>
      </c>
      <c r="M541" t="s">
        <v>21</v>
      </c>
      <c r="N541" t="s">
        <v>32</v>
      </c>
      <c r="O541" t="s">
        <v>33</v>
      </c>
      <c r="P541" t="s">
        <v>84</v>
      </c>
      <c r="Q541">
        <v>3</v>
      </c>
      <c r="R541">
        <f>IF(ventas_libreria[[#This Row],[valoracion_cliente]]="","Sin valoración",ventas_libreria[[#This Row],[valoracion_cliente]])</f>
        <v>3</v>
      </c>
    </row>
    <row r="542" spans="1:18" x14ac:dyDescent="0.25">
      <c r="A542" t="s">
        <v>818</v>
      </c>
      <c r="B542" t="s">
        <v>220</v>
      </c>
      <c r="C542" t="s">
        <v>221</v>
      </c>
      <c r="D542" t="s">
        <v>222</v>
      </c>
      <c r="E542" t="s">
        <v>116</v>
      </c>
      <c r="F542">
        <f>ventas_libreria[[#This Row],[precio_eur]]/100</f>
        <v>1.29</v>
      </c>
      <c r="G542">
        <v>129</v>
      </c>
      <c r="H542">
        <v>1</v>
      </c>
      <c r="I542">
        <f>ventas_libreria[[#This Row],[precio]]*ventas_libreria[[#This Row],[cantidad]]</f>
        <v>1.29</v>
      </c>
      <c r="J542">
        <v>73</v>
      </c>
      <c r="K542" t="s">
        <v>62</v>
      </c>
      <c r="L542" s="1">
        <v>45303</v>
      </c>
      <c r="M542" t="s">
        <v>21</v>
      </c>
      <c r="N542" t="s">
        <v>32</v>
      </c>
      <c r="O542" t="s">
        <v>33</v>
      </c>
      <c r="P542" t="s">
        <v>34</v>
      </c>
      <c r="Q542">
        <v>2</v>
      </c>
      <c r="R542">
        <f>IF(ventas_libreria[[#This Row],[valoracion_cliente]]="","Sin valoración",ventas_libreria[[#This Row],[valoracion_cliente]])</f>
        <v>2</v>
      </c>
    </row>
    <row r="543" spans="1:18" x14ac:dyDescent="0.25">
      <c r="A543" t="s">
        <v>819</v>
      </c>
      <c r="B543" t="s">
        <v>508</v>
      </c>
      <c r="C543" t="s">
        <v>509</v>
      </c>
      <c r="D543" t="s">
        <v>199</v>
      </c>
      <c r="E543" t="s">
        <v>55</v>
      </c>
      <c r="F543">
        <f>ventas_libreria[[#This Row],[precio_eur]]/100</f>
        <v>1.89</v>
      </c>
      <c r="G543">
        <v>189</v>
      </c>
      <c r="H543">
        <v>1</v>
      </c>
      <c r="I543">
        <f>ventas_libreria[[#This Row],[precio]]*ventas_libreria[[#This Row],[cantidad]]</f>
        <v>1.89</v>
      </c>
      <c r="J543">
        <v>65</v>
      </c>
      <c r="K543" t="s">
        <v>62</v>
      </c>
      <c r="L543" s="1">
        <v>45375</v>
      </c>
      <c r="M543" t="s">
        <v>21</v>
      </c>
      <c r="N543" t="s">
        <v>22</v>
      </c>
      <c r="O543" t="s">
        <v>98</v>
      </c>
      <c r="P543" t="s">
        <v>50</v>
      </c>
      <c r="Q543">
        <v>4</v>
      </c>
      <c r="R543">
        <f>IF(ventas_libreria[[#This Row],[valoracion_cliente]]="","Sin valoración",ventas_libreria[[#This Row],[valoracion_cliente]])</f>
        <v>4</v>
      </c>
    </row>
    <row r="544" spans="1:18" x14ac:dyDescent="0.25">
      <c r="A544" t="s">
        <v>820</v>
      </c>
      <c r="B544" t="s">
        <v>86</v>
      </c>
      <c r="C544" t="s">
        <v>87</v>
      </c>
      <c r="D544" t="s">
        <v>88</v>
      </c>
      <c r="E544" t="s">
        <v>77</v>
      </c>
      <c r="F544">
        <f>ventas_libreria[[#This Row],[precio_eur]]/100</f>
        <v>1.19</v>
      </c>
      <c r="G544">
        <v>119</v>
      </c>
      <c r="H544">
        <v>1</v>
      </c>
      <c r="I544">
        <f>ventas_libreria[[#This Row],[precio]]*ventas_libreria[[#This Row],[cantidad]]</f>
        <v>1.19</v>
      </c>
      <c r="J544">
        <v>10</v>
      </c>
      <c r="K544" t="s">
        <v>38</v>
      </c>
      <c r="L544" s="1">
        <v>45856</v>
      </c>
      <c r="M544" t="s">
        <v>31</v>
      </c>
      <c r="N544" t="s">
        <v>22</v>
      </c>
      <c r="O544" t="s">
        <v>23</v>
      </c>
      <c r="P544" t="s">
        <v>24</v>
      </c>
      <c r="Q544">
        <v>5</v>
      </c>
      <c r="R544">
        <f>IF(ventas_libreria[[#This Row],[valoracion_cliente]]="","Sin valoración",ventas_libreria[[#This Row],[valoracion_cliente]])</f>
        <v>5</v>
      </c>
    </row>
    <row r="545" spans="1:18" x14ac:dyDescent="0.25">
      <c r="A545" t="s">
        <v>821</v>
      </c>
      <c r="B545" t="s">
        <v>291</v>
      </c>
      <c r="C545" t="s">
        <v>292</v>
      </c>
      <c r="D545" t="s">
        <v>76</v>
      </c>
      <c r="E545" t="s">
        <v>77</v>
      </c>
      <c r="F545">
        <f>ventas_libreria[[#This Row],[precio_eur]]/100</f>
        <v>10.89</v>
      </c>
      <c r="G545">
        <v>1089</v>
      </c>
      <c r="H545">
        <v>2</v>
      </c>
      <c r="I545">
        <f>ventas_libreria[[#This Row],[precio]]*ventas_libreria[[#This Row],[cantidad]]</f>
        <v>21.78</v>
      </c>
      <c r="J545">
        <v>5</v>
      </c>
      <c r="K545" t="s">
        <v>38</v>
      </c>
      <c r="L545" s="1">
        <v>45789</v>
      </c>
      <c r="M545" t="s">
        <v>21</v>
      </c>
      <c r="N545" t="s">
        <v>32</v>
      </c>
      <c r="O545" t="s">
        <v>33</v>
      </c>
      <c r="P545" t="s">
        <v>34</v>
      </c>
      <c r="Q545">
        <v>5</v>
      </c>
      <c r="R545">
        <f>IF(ventas_libreria[[#This Row],[valoracion_cliente]]="","Sin valoración",ventas_libreria[[#This Row],[valoracion_cliente]])</f>
        <v>5</v>
      </c>
    </row>
    <row r="546" spans="1:18" x14ac:dyDescent="0.25">
      <c r="A546" t="s">
        <v>822</v>
      </c>
      <c r="B546" t="s">
        <v>121</v>
      </c>
      <c r="C546" t="s">
        <v>122</v>
      </c>
      <c r="D546" t="s">
        <v>123</v>
      </c>
      <c r="E546" t="s">
        <v>48</v>
      </c>
      <c r="F546">
        <f>ventas_libreria[[#This Row],[precio_eur]]/100</f>
        <v>1.69</v>
      </c>
      <c r="G546">
        <v>169</v>
      </c>
      <c r="H546">
        <v>1</v>
      </c>
      <c r="I546">
        <f>ventas_libreria[[#This Row],[precio]]*ventas_libreria[[#This Row],[cantidad]]</f>
        <v>1.69</v>
      </c>
      <c r="J546">
        <v>22</v>
      </c>
      <c r="K546" t="s">
        <v>62</v>
      </c>
      <c r="L546" s="1">
        <v>45292</v>
      </c>
      <c r="M546" t="s">
        <v>21</v>
      </c>
      <c r="N546" t="s">
        <v>32</v>
      </c>
      <c r="O546" t="s">
        <v>33</v>
      </c>
      <c r="P546" t="s">
        <v>84</v>
      </c>
      <c r="Q546">
        <v>5</v>
      </c>
      <c r="R546">
        <f>IF(ventas_libreria[[#This Row],[valoracion_cliente]]="","Sin valoración",ventas_libreria[[#This Row],[valoracion_cliente]])</f>
        <v>5</v>
      </c>
    </row>
    <row r="547" spans="1:18" x14ac:dyDescent="0.25">
      <c r="A547" t="s">
        <v>823</v>
      </c>
      <c r="B547" t="s">
        <v>549</v>
      </c>
      <c r="C547" t="s">
        <v>550</v>
      </c>
      <c r="D547" t="s">
        <v>162</v>
      </c>
      <c r="E547" t="s">
        <v>29</v>
      </c>
      <c r="F547">
        <f>ventas_libreria[[#This Row],[precio_eur]]/100</f>
        <v>20.89</v>
      </c>
      <c r="G547">
        <v>2089</v>
      </c>
      <c r="H547">
        <v>2</v>
      </c>
      <c r="I547">
        <f>ventas_libreria[[#This Row],[precio]]*ventas_libreria[[#This Row],[cantidad]]</f>
        <v>41.78</v>
      </c>
      <c r="J547">
        <v>19</v>
      </c>
      <c r="K547" t="s">
        <v>20</v>
      </c>
      <c r="L547" s="1">
        <v>45208</v>
      </c>
      <c r="M547" t="s">
        <v>43</v>
      </c>
      <c r="N547" t="s">
        <v>32</v>
      </c>
      <c r="O547" t="s">
        <v>33</v>
      </c>
      <c r="P547" t="s">
        <v>84</v>
      </c>
      <c r="R547" t="str">
        <f>IF(ventas_libreria[[#This Row],[valoracion_cliente]]="","Sin valoración",ventas_libreria[[#This Row],[valoracion_cliente]])</f>
        <v>Sin valoración</v>
      </c>
    </row>
    <row r="548" spans="1:18" x14ac:dyDescent="0.25">
      <c r="A548" t="s">
        <v>824</v>
      </c>
      <c r="B548" t="s">
        <v>418</v>
      </c>
      <c r="C548" t="s">
        <v>419</v>
      </c>
      <c r="D548" t="s">
        <v>420</v>
      </c>
      <c r="E548" t="s">
        <v>149</v>
      </c>
      <c r="F548">
        <f>ventas_libreria[[#This Row],[precio_eur]]/100</f>
        <v>13.52</v>
      </c>
      <c r="G548">
        <v>1352</v>
      </c>
      <c r="H548">
        <v>2</v>
      </c>
      <c r="I548">
        <f>ventas_libreria[[#This Row],[precio]]*ventas_libreria[[#This Row],[cantidad]]</f>
        <v>27.04</v>
      </c>
      <c r="J548">
        <v>57</v>
      </c>
      <c r="K548" t="s">
        <v>20</v>
      </c>
      <c r="L548" s="1">
        <v>45992</v>
      </c>
      <c r="M548" t="s">
        <v>21</v>
      </c>
      <c r="N548" t="s">
        <v>22</v>
      </c>
      <c r="O548" t="s">
        <v>23</v>
      </c>
      <c r="P548" t="s">
        <v>34</v>
      </c>
      <c r="Q548">
        <v>5</v>
      </c>
      <c r="R548">
        <f>IF(ventas_libreria[[#This Row],[valoracion_cliente]]="","Sin valoración",ventas_libreria[[#This Row],[valoracion_cliente]])</f>
        <v>5</v>
      </c>
    </row>
    <row r="549" spans="1:18" x14ac:dyDescent="0.25">
      <c r="A549" t="s">
        <v>825</v>
      </c>
      <c r="B549" t="s">
        <v>413</v>
      </c>
      <c r="C549" t="s">
        <v>414</v>
      </c>
      <c r="D549" t="s">
        <v>270</v>
      </c>
      <c r="E549" t="s">
        <v>415</v>
      </c>
      <c r="F549">
        <f>ventas_libreria[[#This Row],[precio_eur]]/100</f>
        <v>1.04</v>
      </c>
      <c r="G549">
        <v>104</v>
      </c>
      <c r="H549">
        <v>1</v>
      </c>
      <c r="I549">
        <f>ventas_libreria[[#This Row],[precio]]*ventas_libreria[[#This Row],[cantidad]]</f>
        <v>1.04</v>
      </c>
      <c r="J549">
        <v>46</v>
      </c>
      <c r="K549" t="s">
        <v>20</v>
      </c>
      <c r="L549" s="1">
        <v>46006</v>
      </c>
      <c r="M549" t="s">
        <v>31</v>
      </c>
      <c r="N549" t="s">
        <v>22</v>
      </c>
      <c r="O549" t="s">
        <v>132</v>
      </c>
      <c r="P549" t="s">
        <v>24</v>
      </c>
      <c r="Q549">
        <v>2</v>
      </c>
      <c r="R549">
        <f>IF(ventas_libreria[[#This Row],[valoracion_cliente]]="","Sin valoración",ventas_libreria[[#This Row],[valoracion_cliente]])</f>
        <v>2</v>
      </c>
    </row>
    <row r="550" spans="1:18" x14ac:dyDescent="0.25">
      <c r="A550" t="s">
        <v>826</v>
      </c>
      <c r="B550" t="s">
        <v>100</v>
      </c>
      <c r="C550" t="s">
        <v>101</v>
      </c>
      <c r="D550" t="s">
        <v>102</v>
      </c>
      <c r="E550" t="s">
        <v>61</v>
      </c>
      <c r="F550">
        <f>ventas_libreria[[#This Row],[precio_eur]]/100</f>
        <v>1.25</v>
      </c>
      <c r="G550">
        <v>125</v>
      </c>
      <c r="H550">
        <v>1</v>
      </c>
      <c r="I550">
        <f>ventas_libreria[[#This Row],[precio]]*ventas_libreria[[#This Row],[cantidad]]</f>
        <v>1.25</v>
      </c>
      <c r="J550">
        <v>57</v>
      </c>
      <c r="K550" t="s">
        <v>20</v>
      </c>
      <c r="L550" s="1">
        <v>45421</v>
      </c>
      <c r="M550" t="s">
        <v>31</v>
      </c>
      <c r="N550" t="s">
        <v>32</v>
      </c>
      <c r="O550" t="s">
        <v>33</v>
      </c>
      <c r="P550" t="s">
        <v>24</v>
      </c>
      <c r="Q550">
        <v>2</v>
      </c>
      <c r="R550">
        <f>IF(ventas_libreria[[#This Row],[valoracion_cliente]]="","Sin valoración",ventas_libreria[[#This Row],[valoracion_cliente]])</f>
        <v>2</v>
      </c>
    </row>
    <row r="551" spans="1:18" x14ac:dyDescent="0.25">
      <c r="A551" t="s">
        <v>827</v>
      </c>
      <c r="B551" t="s">
        <v>36</v>
      </c>
      <c r="C551" t="s">
        <v>37</v>
      </c>
      <c r="D551" t="s">
        <v>28</v>
      </c>
      <c r="E551" t="s">
        <v>29</v>
      </c>
      <c r="F551">
        <f>ventas_libreria[[#This Row],[precio_eur]]/100</f>
        <v>17.010000000000002</v>
      </c>
      <c r="G551">
        <v>1701</v>
      </c>
      <c r="H551">
        <v>1</v>
      </c>
      <c r="I551">
        <f>ventas_libreria[[#This Row],[precio]]*ventas_libreria[[#This Row],[cantidad]]</f>
        <v>17.010000000000002</v>
      </c>
      <c r="J551">
        <v>64</v>
      </c>
      <c r="K551" t="s">
        <v>62</v>
      </c>
      <c r="L551" s="1">
        <v>45956</v>
      </c>
      <c r="M551" t="s">
        <v>43</v>
      </c>
      <c r="N551" t="s">
        <v>32</v>
      </c>
      <c r="O551" t="s">
        <v>33</v>
      </c>
      <c r="P551" t="s">
        <v>84</v>
      </c>
      <c r="Q551">
        <v>1</v>
      </c>
      <c r="R551">
        <f>IF(ventas_libreria[[#This Row],[valoracion_cliente]]="","Sin valoración",ventas_libreria[[#This Row],[valoracion_cliente]])</f>
        <v>1</v>
      </c>
    </row>
    <row r="552" spans="1:18" x14ac:dyDescent="0.25">
      <c r="A552" t="s">
        <v>828</v>
      </c>
      <c r="B552" t="s">
        <v>186</v>
      </c>
      <c r="C552" t="s">
        <v>187</v>
      </c>
      <c r="D552" t="s">
        <v>188</v>
      </c>
      <c r="E552" t="s">
        <v>189</v>
      </c>
      <c r="F552">
        <f>ventas_libreria[[#This Row],[precio_eur]]/100</f>
        <v>16.91</v>
      </c>
      <c r="G552">
        <v>1691</v>
      </c>
      <c r="H552">
        <v>1</v>
      </c>
      <c r="I552">
        <f>ventas_libreria[[#This Row],[precio]]*ventas_libreria[[#This Row],[cantidad]]</f>
        <v>16.91</v>
      </c>
      <c r="J552">
        <v>60</v>
      </c>
      <c r="K552" t="s">
        <v>20</v>
      </c>
      <c r="L552" s="1">
        <v>45673</v>
      </c>
      <c r="M552" t="s">
        <v>43</v>
      </c>
      <c r="N552" t="s">
        <v>32</v>
      </c>
      <c r="O552" t="s">
        <v>33</v>
      </c>
      <c r="P552" t="s">
        <v>56</v>
      </c>
      <c r="Q552">
        <v>4</v>
      </c>
      <c r="R552">
        <f>IF(ventas_libreria[[#This Row],[valoracion_cliente]]="","Sin valoración",ventas_libreria[[#This Row],[valoracion_cliente]])</f>
        <v>4</v>
      </c>
    </row>
    <row r="553" spans="1:18" x14ac:dyDescent="0.25">
      <c r="A553" t="s">
        <v>829</v>
      </c>
      <c r="B553" t="s">
        <v>541</v>
      </c>
      <c r="C553" t="s">
        <v>542</v>
      </c>
      <c r="D553" t="s">
        <v>131</v>
      </c>
      <c r="E553" t="s">
        <v>107</v>
      </c>
      <c r="F553">
        <f>ventas_libreria[[#This Row],[precio_eur]]/100</f>
        <v>13.52</v>
      </c>
      <c r="G553">
        <v>1352</v>
      </c>
      <c r="H553">
        <v>2</v>
      </c>
      <c r="I553">
        <f>ventas_libreria[[#This Row],[precio]]*ventas_libreria[[#This Row],[cantidad]]</f>
        <v>27.04</v>
      </c>
      <c r="J553">
        <v>17</v>
      </c>
      <c r="K553" t="s">
        <v>20</v>
      </c>
      <c r="L553" s="1">
        <v>45446</v>
      </c>
      <c r="M553" t="s">
        <v>31</v>
      </c>
      <c r="N553" t="s">
        <v>32</v>
      </c>
      <c r="O553" t="s">
        <v>33</v>
      </c>
      <c r="P553" t="s">
        <v>24</v>
      </c>
      <c r="R553" t="str">
        <f>IF(ventas_libreria[[#This Row],[valoracion_cliente]]="","Sin valoración",ventas_libreria[[#This Row],[valoracion_cliente]])</f>
        <v>Sin valoración</v>
      </c>
    </row>
    <row r="554" spans="1:18" x14ac:dyDescent="0.25">
      <c r="A554" t="s">
        <v>830</v>
      </c>
      <c r="B554" t="s">
        <v>508</v>
      </c>
      <c r="C554" t="s">
        <v>509</v>
      </c>
      <c r="D554" t="s">
        <v>199</v>
      </c>
      <c r="E554" t="s">
        <v>55</v>
      </c>
      <c r="F554">
        <f>ventas_libreria[[#This Row],[precio_eur]]/100</f>
        <v>1.89</v>
      </c>
      <c r="G554">
        <v>189</v>
      </c>
      <c r="H554">
        <v>1</v>
      </c>
      <c r="I554">
        <f>ventas_libreria[[#This Row],[precio]]*ventas_libreria[[#This Row],[cantidad]]</f>
        <v>1.89</v>
      </c>
      <c r="J554">
        <v>20</v>
      </c>
      <c r="K554" t="s">
        <v>62</v>
      </c>
      <c r="L554" s="1">
        <v>45871</v>
      </c>
      <c r="M554" t="s">
        <v>31</v>
      </c>
      <c r="N554" t="s">
        <v>32</v>
      </c>
      <c r="O554" t="s">
        <v>33</v>
      </c>
      <c r="P554" t="s">
        <v>24</v>
      </c>
      <c r="Q554">
        <v>5</v>
      </c>
      <c r="R554">
        <f>IF(ventas_libreria[[#This Row],[valoracion_cliente]]="","Sin valoración",ventas_libreria[[#This Row],[valoracion_cliente]])</f>
        <v>5</v>
      </c>
    </row>
    <row r="555" spans="1:18" x14ac:dyDescent="0.25">
      <c r="A555" t="s">
        <v>831</v>
      </c>
      <c r="B555" t="s">
        <v>273</v>
      </c>
      <c r="C555" t="s">
        <v>274</v>
      </c>
      <c r="D555" t="s">
        <v>262</v>
      </c>
      <c r="E555" t="s">
        <v>263</v>
      </c>
      <c r="F555">
        <f>ventas_libreria[[#This Row],[precio_eur]]/100</f>
        <v>2.2999999999999998</v>
      </c>
      <c r="G555">
        <v>230</v>
      </c>
      <c r="H555">
        <v>1</v>
      </c>
      <c r="I555">
        <f>ventas_libreria[[#This Row],[precio]]*ventas_libreria[[#This Row],[cantidad]]</f>
        <v>2.2999999999999998</v>
      </c>
      <c r="J555">
        <v>24</v>
      </c>
      <c r="K555" t="s">
        <v>62</v>
      </c>
      <c r="L555" s="1">
        <v>45139</v>
      </c>
      <c r="M555" t="s">
        <v>43</v>
      </c>
      <c r="N555" t="s">
        <v>32</v>
      </c>
      <c r="O555" t="s">
        <v>33</v>
      </c>
      <c r="P555" t="s">
        <v>34</v>
      </c>
      <c r="R555" t="str">
        <f>IF(ventas_libreria[[#This Row],[valoracion_cliente]]="","Sin valoración",ventas_libreria[[#This Row],[valoracion_cliente]])</f>
        <v>Sin valoración</v>
      </c>
    </row>
    <row r="556" spans="1:18" x14ac:dyDescent="0.25">
      <c r="A556" t="s">
        <v>832</v>
      </c>
      <c r="B556" t="s">
        <v>296</v>
      </c>
      <c r="C556" t="s">
        <v>297</v>
      </c>
      <c r="D556" t="s">
        <v>298</v>
      </c>
      <c r="E556" t="s">
        <v>154</v>
      </c>
      <c r="F556">
        <f>ventas_libreria[[#This Row],[precio_eur]]/100</f>
        <v>1.79</v>
      </c>
      <c r="G556">
        <v>179</v>
      </c>
      <c r="H556">
        <v>1</v>
      </c>
      <c r="I556">
        <f>ventas_libreria[[#This Row],[precio]]*ventas_libreria[[#This Row],[cantidad]]</f>
        <v>1.79</v>
      </c>
      <c r="J556">
        <v>68</v>
      </c>
      <c r="K556" t="s">
        <v>20</v>
      </c>
      <c r="L556" s="1">
        <v>44975</v>
      </c>
      <c r="M556" t="s">
        <v>21</v>
      </c>
      <c r="N556" t="s">
        <v>32</v>
      </c>
      <c r="O556" t="s">
        <v>33</v>
      </c>
      <c r="P556" t="s">
        <v>56</v>
      </c>
      <c r="Q556">
        <v>5</v>
      </c>
      <c r="R556">
        <f>IF(ventas_libreria[[#This Row],[valoracion_cliente]]="","Sin valoración",ventas_libreria[[#This Row],[valoracion_cliente]])</f>
        <v>5</v>
      </c>
    </row>
    <row r="557" spans="1:18" x14ac:dyDescent="0.25">
      <c r="A557" t="s">
        <v>833</v>
      </c>
      <c r="B557" t="s">
        <v>86</v>
      </c>
      <c r="C557" t="s">
        <v>87</v>
      </c>
      <c r="D557" t="s">
        <v>88</v>
      </c>
      <c r="E557" t="s">
        <v>77</v>
      </c>
      <c r="F557">
        <f>ventas_libreria[[#This Row],[precio_eur]]/100</f>
        <v>1.19</v>
      </c>
      <c r="G557">
        <v>119</v>
      </c>
      <c r="H557">
        <v>1</v>
      </c>
      <c r="I557">
        <f>ventas_libreria[[#This Row],[precio]]*ventas_libreria[[#This Row],[cantidad]]</f>
        <v>1.19</v>
      </c>
      <c r="J557">
        <v>9</v>
      </c>
      <c r="K557" t="s">
        <v>38</v>
      </c>
      <c r="L557" s="1">
        <v>45825</v>
      </c>
      <c r="M557" t="s">
        <v>43</v>
      </c>
      <c r="N557" t="s">
        <v>32</v>
      </c>
      <c r="O557" t="s">
        <v>33</v>
      </c>
      <c r="P557" t="s">
        <v>56</v>
      </c>
      <c r="Q557">
        <v>4</v>
      </c>
      <c r="R557">
        <f>IF(ventas_libreria[[#This Row],[valoracion_cliente]]="","Sin valoración",ventas_libreria[[#This Row],[valoracion_cliente]])</f>
        <v>4</v>
      </c>
    </row>
    <row r="558" spans="1:18" x14ac:dyDescent="0.25">
      <c r="A558" t="s">
        <v>834</v>
      </c>
      <c r="B558" t="s">
        <v>530</v>
      </c>
      <c r="C558" t="s">
        <v>531</v>
      </c>
      <c r="D558" t="s">
        <v>195</v>
      </c>
      <c r="E558" t="s">
        <v>48</v>
      </c>
      <c r="F558">
        <f>ventas_libreria[[#This Row],[precio_eur]]/100</f>
        <v>15.92</v>
      </c>
      <c r="G558">
        <v>1592</v>
      </c>
      <c r="H558">
        <v>3</v>
      </c>
      <c r="I558">
        <f>ventas_libreria[[#This Row],[precio]]*ventas_libreria[[#This Row],[cantidad]]</f>
        <v>47.76</v>
      </c>
      <c r="J558">
        <v>21</v>
      </c>
      <c r="K558" t="s">
        <v>30</v>
      </c>
      <c r="L558" s="1">
        <v>45457</v>
      </c>
      <c r="M558" t="s">
        <v>31</v>
      </c>
      <c r="N558" t="s">
        <v>32</v>
      </c>
      <c r="O558" t="s">
        <v>33</v>
      </c>
      <c r="P558" t="s">
        <v>84</v>
      </c>
      <c r="Q558">
        <v>4</v>
      </c>
      <c r="R558">
        <f>IF(ventas_libreria[[#This Row],[valoracion_cliente]]="","Sin valoración",ventas_libreria[[#This Row],[valoracion_cliente]])</f>
        <v>4</v>
      </c>
    </row>
    <row r="559" spans="1:18" x14ac:dyDescent="0.25">
      <c r="A559" t="s">
        <v>835</v>
      </c>
      <c r="B559" t="s">
        <v>291</v>
      </c>
      <c r="C559" t="s">
        <v>292</v>
      </c>
      <c r="D559" t="s">
        <v>76</v>
      </c>
      <c r="E559" t="s">
        <v>77</v>
      </c>
      <c r="F559">
        <f>ventas_libreria[[#This Row],[precio_eur]]/100</f>
        <v>8.91</v>
      </c>
      <c r="G559">
        <v>891</v>
      </c>
      <c r="H559">
        <v>1</v>
      </c>
      <c r="I559">
        <f>ventas_libreria[[#This Row],[precio]]*ventas_libreria[[#This Row],[cantidad]]</f>
        <v>8.91</v>
      </c>
      <c r="J559">
        <v>7</v>
      </c>
      <c r="K559" t="s">
        <v>20</v>
      </c>
      <c r="L559" s="1">
        <v>45368</v>
      </c>
      <c r="M559" t="s">
        <v>31</v>
      </c>
      <c r="N559" t="s">
        <v>32</v>
      </c>
      <c r="O559" t="s">
        <v>33</v>
      </c>
      <c r="P559" t="s">
        <v>24</v>
      </c>
      <c r="Q559">
        <v>4</v>
      </c>
      <c r="R559">
        <f>IF(ventas_libreria[[#This Row],[valoracion_cliente]]="","Sin valoración",ventas_libreria[[#This Row],[valoracion_cliente]])</f>
        <v>4</v>
      </c>
    </row>
    <row r="560" spans="1:18" x14ac:dyDescent="0.25">
      <c r="A560" t="s">
        <v>836</v>
      </c>
      <c r="B560" t="s">
        <v>204</v>
      </c>
      <c r="C560" t="s">
        <v>205</v>
      </c>
      <c r="D560" t="s">
        <v>206</v>
      </c>
      <c r="E560" t="s">
        <v>116</v>
      </c>
      <c r="F560">
        <f>ventas_libreria[[#This Row],[precio_eur]]/100</f>
        <v>1.29</v>
      </c>
      <c r="G560">
        <v>129</v>
      </c>
      <c r="H560">
        <v>1</v>
      </c>
      <c r="I560">
        <f>ventas_libreria[[#This Row],[precio]]*ventas_libreria[[#This Row],[cantidad]]</f>
        <v>1.29</v>
      </c>
      <c r="J560">
        <v>49</v>
      </c>
      <c r="K560" t="s">
        <v>20</v>
      </c>
      <c r="L560" s="1">
        <v>45408</v>
      </c>
      <c r="M560" t="s">
        <v>21</v>
      </c>
      <c r="N560" t="s">
        <v>32</v>
      </c>
      <c r="O560" t="s">
        <v>33</v>
      </c>
      <c r="P560" t="s">
        <v>34</v>
      </c>
      <c r="Q560">
        <v>4</v>
      </c>
      <c r="R560">
        <f>IF(ventas_libreria[[#This Row],[valoracion_cliente]]="","Sin valoración",ventas_libreria[[#This Row],[valoracion_cliente]])</f>
        <v>4</v>
      </c>
    </row>
    <row r="561" spans="1:18" x14ac:dyDescent="0.25">
      <c r="A561" t="s">
        <v>837</v>
      </c>
      <c r="B561" t="s">
        <v>197</v>
      </c>
      <c r="C561" t="s">
        <v>198</v>
      </c>
      <c r="D561" t="s">
        <v>199</v>
      </c>
      <c r="E561" t="s">
        <v>55</v>
      </c>
      <c r="F561">
        <f>ventas_libreria[[#This Row],[precio_eur]]/100</f>
        <v>14.88</v>
      </c>
      <c r="G561">
        <v>1488</v>
      </c>
      <c r="H561">
        <v>1</v>
      </c>
      <c r="I561">
        <f>ventas_libreria[[#This Row],[precio]]*ventas_libreria[[#This Row],[cantidad]]</f>
        <v>14.88</v>
      </c>
      <c r="J561">
        <v>32</v>
      </c>
      <c r="K561" t="s">
        <v>20</v>
      </c>
      <c r="L561" s="1">
        <v>45222</v>
      </c>
      <c r="M561" t="s">
        <v>21</v>
      </c>
      <c r="N561" t="s">
        <v>32</v>
      </c>
      <c r="O561" t="s">
        <v>33</v>
      </c>
      <c r="P561" t="s">
        <v>50</v>
      </c>
      <c r="Q561">
        <v>4</v>
      </c>
      <c r="R561">
        <f>IF(ventas_libreria[[#This Row],[valoracion_cliente]]="","Sin valoración",ventas_libreria[[#This Row],[valoracion_cliente]])</f>
        <v>4</v>
      </c>
    </row>
    <row r="562" spans="1:18" x14ac:dyDescent="0.25">
      <c r="A562" t="s">
        <v>838</v>
      </c>
      <c r="B562" t="s">
        <v>307</v>
      </c>
      <c r="C562" t="s">
        <v>308</v>
      </c>
      <c r="D562" t="s">
        <v>88</v>
      </c>
      <c r="E562" t="s">
        <v>77</v>
      </c>
      <c r="F562">
        <f>ventas_libreria[[#This Row],[precio_eur]]/100</f>
        <v>1.0900000000000001</v>
      </c>
      <c r="G562">
        <v>109</v>
      </c>
      <c r="H562">
        <v>4</v>
      </c>
      <c r="I562">
        <f>ventas_libreria[[#This Row],[precio]]*ventas_libreria[[#This Row],[cantidad]]</f>
        <v>4.3600000000000003</v>
      </c>
      <c r="J562">
        <v>7</v>
      </c>
      <c r="K562" t="s">
        <v>38</v>
      </c>
      <c r="L562" s="1">
        <v>45088</v>
      </c>
      <c r="M562" t="s">
        <v>31</v>
      </c>
      <c r="N562" t="s">
        <v>32</v>
      </c>
      <c r="O562" t="s">
        <v>33</v>
      </c>
      <c r="P562" t="s">
        <v>56</v>
      </c>
      <c r="Q562">
        <v>5</v>
      </c>
      <c r="R562">
        <f>IF(ventas_libreria[[#This Row],[valoracion_cliente]]="","Sin valoración",ventas_libreria[[#This Row],[valoracion_cliente]])</f>
        <v>5</v>
      </c>
    </row>
    <row r="563" spans="1:18" x14ac:dyDescent="0.25">
      <c r="A563" t="s">
        <v>839</v>
      </c>
      <c r="B563" t="s">
        <v>418</v>
      </c>
      <c r="C563" t="s">
        <v>419</v>
      </c>
      <c r="D563" t="s">
        <v>420</v>
      </c>
      <c r="E563" t="s">
        <v>149</v>
      </c>
      <c r="F563">
        <f>ventas_libreria[[#This Row],[precio_eur]]/100</f>
        <v>14.36</v>
      </c>
      <c r="G563">
        <v>1436</v>
      </c>
      <c r="H563">
        <v>3</v>
      </c>
      <c r="I563">
        <f>ventas_libreria[[#This Row],[precio]]*ventas_libreria[[#This Row],[cantidad]]</f>
        <v>43.08</v>
      </c>
      <c r="J563">
        <v>47</v>
      </c>
      <c r="K563" t="s">
        <v>30</v>
      </c>
      <c r="L563" s="1">
        <v>45076</v>
      </c>
      <c r="M563" t="s">
        <v>43</v>
      </c>
      <c r="N563" t="s">
        <v>32</v>
      </c>
      <c r="O563" t="s">
        <v>33</v>
      </c>
      <c r="P563" t="s">
        <v>56</v>
      </c>
      <c r="Q563">
        <v>5</v>
      </c>
      <c r="R563">
        <f>IF(ventas_libreria[[#This Row],[valoracion_cliente]]="","Sin valoración",ventas_libreria[[#This Row],[valoracion_cliente]])</f>
        <v>5</v>
      </c>
    </row>
    <row r="564" spans="1:18" x14ac:dyDescent="0.25">
      <c r="A564" t="s">
        <v>840</v>
      </c>
      <c r="B564" t="s">
        <v>327</v>
      </c>
      <c r="C564" t="s">
        <v>328</v>
      </c>
      <c r="D564" t="s">
        <v>288</v>
      </c>
      <c r="E564" t="s">
        <v>289</v>
      </c>
      <c r="F564">
        <f>ventas_libreria[[#This Row],[precio_eur]]/100</f>
        <v>2.29</v>
      </c>
      <c r="G564">
        <v>229</v>
      </c>
      <c r="H564">
        <v>2</v>
      </c>
      <c r="I564">
        <f>ventas_libreria[[#This Row],[precio]]*ventas_libreria[[#This Row],[cantidad]]</f>
        <v>4.58</v>
      </c>
      <c r="J564">
        <v>54</v>
      </c>
      <c r="K564" t="s">
        <v>30</v>
      </c>
      <c r="L564" s="1">
        <v>45715</v>
      </c>
      <c r="M564" t="s">
        <v>21</v>
      </c>
      <c r="N564" t="s">
        <v>32</v>
      </c>
      <c r="O564" t="s">
        <v>33</v>
      </c>
      <c r="P564" t="s">
        <v>24</v>
      </c>
      <c r="Q564">
        <v>5</v>
      </c>
      <c r="R564">
        <f>IF(ventas_libreria[[#This Row],[valoracion_cliente]]="","Sin valoración",ventas_libreria[[#This Row],[valoracion_cliente]])</f>
        <v>5</v>
      </c>
    </row>
    <row r="565" spans="1:18" x14ac:dyDescent="0.25">
      <c r="A565" t="s">
        <v>841</v>
      </c>
      <c r="B565" t="s">
        <v>365</v>
      </c>
      <c r="C565" t="s">
        <v>366</v>
      </c>
      <c r="D565" t="s">
        <v>367</v>
      </c>
      <c r="E565" t="s">
        <v>19</v>
      </c>
      <c r="F565">
        <f>ventas_libreria[[#This Row],[precio_eur]]/100</f>
        <v>16.059999999999999</v>
      </c>
      <c r="G565">
        <v>1606</v>
      </c>
      <c r="H565">
        <v>3</v>
      </c>
      <c r="I565">
        <f>ventas_libreria[[#This Row],[precio]]*ventas_libreria[[#This Row],[cantidad]]</f>
        <v>48.179999999999993</v>
      </c>
      <c r="J565">
        <v>32</v>
      </c>
      <c r="K565" t="s">
        <v>20</v>
      </c>
      <c r="L565" s="1">
        <v>45609</v>
      </c>
      <c r="M565" t="s">
        <v>21</v>
      </c>
      <c r="N565" t="s">
        <v>22</v>
      </c>
      <c r="O565" t="s">
        <v>67</v>
      </c>
      <c r="P565" t="s">
        <v>34</v>
      </c>
      <c r="Q565">
        <v>5</v>
      </c>
      <c r="R565">
        <f>IF(ventas_libreria[[#This Row],[valoracion_cliente]]="","Sin valoración",ventas_libreria[[#This Row],[valoracion_cliente]])</f>
        <v>5</v>
      </c>
    </row>
    <row r="566" spans="1:18" x14ac:dyDescent="0.25">
      <c r="A566" t="s">
        <v>842</v>
      </c>
      <c r="B566" t="s">
        <v>69</v>
      </c>
      <c r="C566" t="s">
        <v>70</v>
      </c>
      <c r="D566" t="s">
        <v>71</v>
      </c>
      <c r="E566" t="s">
        <v>72</v>
      </c>
      <c r="F566">
        <f>ventas_libreria[[#This Row],[precio_eur]]/100</f>
        <v>17.75</v>
      </c>
      <c r="G566">
        <v>1775</v>
      </c>
      <c r="H566">
        <v>1</v>
      </c>
      <c r="I566">
        <f>ventas_libreria[[#This Row],[precio]]*ventas_libreria[[#This Row],[cantidad]]</f>
        <v>17.75</v>
      </c>
      <c r="J566">
        <v>60</v>
      </c>
      <c r="K566" t="s">
        <v>38</v>
      </c>
      <c r="L566" s="1">
        <v>45877</v>
      </c>
      <c r="M566" t="s">
        <v>31</v>
      </c>
      <c r="N566" t="s">
        <v>32</v>
      </c>
      <c r="O566" t="s">
        <v>33</v>
      </c>
      <c r="P566" t="s">
        <v>24</v>
      </c>
      <c r="Q566">
        <v>3</v>
      </c>
      <c r="R566">
        <f>IF(ventas_libreria[[#This Row],[valoracion_cliente]]="","Sin valoración",ventas_libreria[[#This Row],[valoracion_cliente]])</f>
        <v>3</v>
      </c>
    </row>
    <row r="567" spans="1:18" x14ac:dyDescent="0.25">
      <c r="A567" t="s">
        <v>843</v>
      </c>
      <c r="B567" t="s">
        <v>254</v>
      </c>
      <c r="C567" t="s">
        <v>255</v>
      </c>
      <c r="D567" t="s">
        <v>139</v>
      </c>
      <c r="E567" t="s">
        <v>116</v>
      </c>
      <c r="F567">
        <f>ventas_libreria[[#This Row],[precio_eur]]/100</f>
        <v>13.41</v>
      </c>
      <c r="G567">
        <v>1341</v>
      </c>
      <c r="H567">
        <v>3</v>
      </c>
      <c r="I567">
        <f>ventas_libreria[[#This Row],[precio]]*ventas_libreria[[#This Row],[cantidad]]</f>
        <v>40.230000000000004</v>
      </c>
      <c r="J567">
        <v>18</v>
      </c>
      <c r="K567" t="s">
        <v>20</v>
      </c>
      <c r="L567" s="1">
        <v>45847</v>
      </c>
      <c r="M567" t="s">
        <v>21</v>
      </c>
      <c r="N567" t="s">
        <v>32</v>
      </c>
      <c r="O567" t="s">
        <v>33</v>
      </c>
      <c r="P567" t="s">
        <v>24</v>
      </c>
      <c r="Q567">
        <v>5</v>
      </c>
      <c r="R567">
        <f>IF(ventas_libreria[[#This Row],[valoracion_cliente]]="","Sin valoración",ventas_libreria[[#This Row],[valoracion_cliente]])</f>
        <v>5</v>
      </c>
    </row>
    <row r="568" spans="1:18" x14ac:dyDescent="0.25">
      <c r="A568" t="s">
        <v>844</v>
      </c>
      <c r="B568" t="s">
        <v>165</v>
      </c>
      <c r="C568" t="s">
        <v>166</v>
      </c>
      <c r="D568" t="s">
        <v>167</v>
      </c>
      <c r="E568" t="s">
        <v>61</v>
      </c>
      <c r="F568">
        <f>ventas_libreria[[#This Row],[precio_eur]]/100</f>
        <v>13.41</v>
      </c>
      <c r="G568">
        <v>1341</v>
      </c>
      <c r="H568">
        <v>1</v>
      </c>
      <c r="I568">
        <f>ventas_libreria[[#This Row],[precio]]*ventas_libreria[[#This Row],[cantidad]]</f>
        <v>13.41</v>
      </c>
      <c r="J568">
        <v>42</v>
      </c>
      <c r="K568" t="s">
        <v>62</v>
      </c>
      <c r="L568" s="1">
        <v>44953</v>
      </c>
      <c r="M568" t="s">
        <v>43</v>
      </c>
      <c r="N568" t="s">
        <v>32</v>
      </c>
      <c r="O568" t="s">
        <v>33</v>
      </c>
      <c r="P568" t="s">
        <v>34</v>
      </c>
      <c r="Q568">
        <v>5</v>
      </c>
      <c r="R568">
        <f>IF(ventas_libreria[[#This Row],[valoracion_cliente]]="","Sin valoración",ventas_libreria[[#This Row],[valoracion_cliente]])</f>
        <v>5</v>
      </c>
    </row>
    <row r="569" spans="1:18" x14ac:dyDescent="0.25">
      <c r="A569" t="s">
        <v>845</v>
      </c>
      <c r="B569" t="s">
        <v>413</v>
      </c>
      <c r="C569" t="s">
        <v>414</v>
      </c>
      <c r="D569" t="s">
        <v>270</v>
      </c>
      <c r="E569" t="s">
        <v>415</v>
      </c>
      <c r="F569">
        <f>ventas_libreria[[#This Row],[precio_eur]]/100</f>
        <v>8.42</v>
      </c>
      <c r="G569">
        <v>842</v>
      </c>
      <c r="H569">
        <v>1</v>
      </c>
      <c r="I569">
        <f>ventas_libreria[[#This Row],[precio]]*ventas_libreria[[#This Row],[cantidad]]</f>
        <v>8.42</v>
      </c>
      <c r="J569">
        <v>54</v>
      </c>
      <c r="K569" t="s">
        <v>30</v>
      </c>
      <c r="L569" s="1">
        <v>45281</v>
      </c>
      <c r="M569" t="s">
        <v>31</v>
      </c>
      <c r="N569" t="s">
        <v>22</v>
      </c>
      <c r="O569" t="s">
        <v>67</v>
      </c>
      <c r="P569" t="s">
        <v>84</v>
      </c>
      <c r="Q569">
        <v>5</v>
      </c>
      <c r="R569">
        <f>IF(ventas_libreria[[#This Row],[valoracion_cliente]]="","Sin valoración",ventas_libreria[[#This Row],[valoracion_cliente]])</f>
        <v>5</v>
      </c>
    </row>
    <row r="570" spans="1:18" x14ac:dyDescent="0.25">
      <c r="A570" t="s">
        <v>846</v>
      </c>
      <c r="B570" t="s">
        <v>291</v>
      </c>
      <c r="C570" t="s">
        <v>292</v>
      </c>
      <c r="D570" t="s">
        <v>76</v>
      </c>
      <c r="E570" t="s">
        <v>77</v>
      </c>
      <c r="F570">
        <f>ventas_libreria[[#This Row],[precio_eur]]/100</f>
        <v>8.91</v>
      </c>
      <c r="G570">
        <v>891</v>
      </c>
      <c r="H570">
        <v>1</v>
      </c>
      <c r="I570">
        <f>ventas_libreria[[#This Row],[precio]]*ventas_libreria[[#This Row],[cantidad]]</f>
        <v>8.91</v>
      </c>
      <c r="J570">
        <v>5</v>
      </c>
      <c r="K570" t="s">
        <v>20</v>
      </c>
      <c r="L570" s="1">
        <v>45577</v>
      </c>
      <c r="M570" t="s">
        <v>31</v>
      </c>
      <c r="N570" t="s">
        <v>22</v>
      </c>
      <c r="O570" t="s">
        <v>98</v>
      </c>
      <c r="P570" t="s">
        <v>50</v>
      </c>
      <c r="Q570">
        <v>4</v>
      </c>
      <c r="R570">
        <f>IF(ventas_libreria[[#This Row],[valoracion_cliente]]="","Sin valoración",ventas_libreria[[#This Row],[valoracion_cliente]])</f>
        <v>4</v>
      </c>
    </row>
    <row r="571" spans="1:18" x14ac:dyDescent="0.25">
      <c r="A571" t="s">
        <v>847</v>
      </c>
      <c r="B571" t="s">
        <v>74</v>
      </c>
      <c r="C571" t="s">
        <v>75</v>
      </c>
      <c r="D571" t="s">
        <v>76</v>
      </c>
      <c r="E571" t="s">
        <v>77</v>
      </c>
      <c r="F571">
        <f>ventas_libreria[[#This Row],[precio_eur]]/100</f>
        <v>17.489999999999998</v>
      </c>
      <c r="G571">
        <v>1749</v>
      </c>
      <c r="H571">
        <v>2</v>
      </c>
      <c r="I571">
        <f>ventas_libreria[[#This Row],[precio]]*ventas_libreria[[#This Row],[cantidad]]</f>
        <v>34.979999999999997</v>
      </c>
      <c r="J571">
        <v>10</v>
      </c>
      <c r="K571" t="s">
        <v>62</v>
      </c>
      <c r="L571" s="1">
        <v>45432</v>
      </c>
      <c r="M571" t="s">
        <v>31</v>
      </c>
      <c r="N571" t="s">
        <v>22</v>
      </c>
      <c r="O571" t="s">
        <v>98</v>
      </c>
      <c r="P571" t="s">
        <v>50</v>
      </c>
      <c r="Q571">
        <v>4</v>
      </c>
      <c r="R571">
        <f>IF(ventas_libreria[[#This Row],[valoracion_cliente]]="","Sin valoración",ventas_libreria[[#This Row],[valoracion_cliente]])</f>
        <v>4</v>
      </c>
    </row>
    <row r="572" spans="1:18" x14ac:dyDescent="0.25">
      <c r="A572" t="s">
        <v>848</v>
      </c>
      <c r="B572" t="s">
        <v>176</v>
      </c>
      <c r="C572" t="s">
        <v>177</v>
      </c>
      <c r="D572" t="s">
        <v>178</v>
      </c>
      <c r="E572" t="s">
        <v>179</v>
      </c>
      <c r="F572">
        <f>ventas_libreria[[#This Row],[precio_eur]]/100</f>
        <v>12.72</v>
      </c>
      <c r="G572">
        <v>1272</v>
      </c>
      <c r="H572">
        <v>1</v>
      </c>
      <c r="I572">
        <f>ventas_libreria[[#This Row],[precio]]*ventas_libreria[[#This Row],[cantidad]]</f>
        <v>12.72</v>
      </c>
      <c r="J572">
        <v>74</v>
      </c>
      <c r="K572" t="s">
        <v>62</v>
      </c>
      <c r="L572" s="1">
        <v>45149</v>
      </c>
      <c r="M572" t="s">
        <v>31</v>
      </c>
      <c r="N572" t="s">
        <v>22</v>
      </c>
      <c r="O572" t="s">
        <v>132</v>
      </c>
      <c r="P572" t="s">
        <v>24</v>
      </c>
      <c r="R572" t="str">
        <f>IF(ventas_libreria[[#This Row],[valoracion_cliente]]="","Sin valoración",ventas_libreria[[#This Row],[valoracion_cliente]])</f>
        <v>Sin valoración</v>
      </c>
    </row>
    <row r="573" spans="1:18" x14ac:dyDescent="0.25">
      <c r="A573" t="s">
        <v>849</v>
      </c>
      <c r="B573" t="s">
        <v>403</v>
      </c>
      <c r="C573" t="s">
        <v>404</v>
      </c>
      <c r="D573" t="s">
        <v>123</v>
      </c>
      <c r="E573" t="s">
        <v>48</v>
      </c>
      <c r="F573">
        <f>ventas_libreria[[#This Row],[precio_eur]]/100</f>
        <v>23.92</v>
      </c>
      <c r="G573">
        <v>2392</v>
      </c>
      <c r="H573">
        <v>1</v>
      </c>
      <c r="I573">
        <f>ventas_libreria[[#This Row],[precio]]*ventas_libreria[[#This Row],[cantidad]]</f>
        <v>23.92</v>
      </c>
      <c r="J573">
        <v>47</v>
      </c>
      <c r="K573" t="s">
        <v>38</v>
      </c>
      <c r="L573" s="1">
        <v>45308</v>
      </c>
      <c r="M573" t="s">
        <v>21</v>
      </c>
      <c r="N573" t="s">
        <v>22</v>
      </c>
      <c r="O573" t="s">
        <v>98</v>
      </c>
      <c r="P573" t="s">
        <v>24</v>
      </c>
      <c r="R573" t="str">
        <f>IF(ventas_libreria[[#This Row],[valoracion_cliente]]="","Sin valoración",ventas_libreria[[#This Row],[valoracion_cliente]])</f>
        <v>Sin valoración</v>
      </c>
    </row>
    <row r="574" spans="1:18" x14ac:dyDescent="0.25">
      <c r="A574" t="s">
        <v>850</v>
      </c>
      <c r="B574" t="s">
        <v>86</v>
      </c>
      <c r="C574" t="s">
        <v>87</v>
      </c>
      <c r="D574" t="s">
        <v>88</v>
      </c>
      <c r="E574" t="s">
        <v>77</v>
      </c>
      <c r="F574">
        <f>ventas_libreria[[#This Row],[precio_eur]]/100</f>
        <v>10.71</v>
      </c>
      <c r="G574">
        <v>1071</v>
      </c>
      <c r="H574">
        <v>2</v>
      </c>
      <c r="I574">
        <f>ventas_libreria[[#This Row],[precio]]*ventas_libreria[[#This Row],[cantidad]]</f>
        <v>21.42</v>
      </c>
      <c r="J574">
        <v>9</v>
      </c>
      <c r="K574" t="s">
        <v>30</v>
      </c>
      <c r="L574" s="1">
        <v>45295</v>
      </c>
      <c r="M574" t="s">
        <v>31</v>
      </c>
      <c r="N574" t="s">
        <v>32</v>
      </c>
      <c r="O574" t="s">
        <v>33</v>
      </c>
      <c r="P574" t="s">
        <v>34</v>
      </c>
      <c r="Q574">
        <v>5</v>
      </c>
      <c r="R574">
        <f>IF(ventas_libreria[[#This Row],[valoracion_cliente]]="","Sin valoración",ventas_libreria[[#This Row],[valoracion_cliente]])</f>
        <v>5</v>
      </c>
    </row>
    <row r="575" spans="1:18" x14ac:dyDescent="0.25">
      <c r="A575" t="s">
        <v>851</v>
      </c>
      <c r="B575" t="s">
        <v>224</v>
      </c>
      <c r="C575" t="s">
        <v>225</v>
      </c>
      <c r="D575" t="s">
        <v>226</v>
      </c>
      <c r="E575" t="s">
        <v>116</v>
      </c>
      <c r="F575">
        <f>ventas_libreria[[#This Row],[precio_eur]]/100</f>
        <v>2.4900000000000002</v>
      </c>
      <c r="G575">
        <v>249</v>
      </c>
      <c r="H575">
        <v>2</v>
      </c>
      <c r="I575">
        <f>ventas_libreria[[#This Row],[precio]]*ventas_libreria[[#This Row],[cantidad]]</f>
        <v>4.9800000000000004</v>
      </c>
      <c r="J575">
        <v>26</v>
      </c>
      <c r="K575" t="s">
        <v>20</v>
      </c>
      <c r="L575" s="1">
        <v>45173</v>
      </c>
      <c r="M575" t="s">
        <v>43</v>
      </c>
      <c r="N575" t="s">
        <v>32</v>
      </c>
      <c r="O575" t="s">
        <v>33</v>
      </c>
      <c r="P575" t="s">
        <v>34</v>
      </c>
      <c r="Q575">
        <v>4</v>
      </c>
      <c r="R575">
        <f>IF(ventas_libreria[[#This Row],[valoracion_cliente]]="","Sin valoración",ventas_libreria[[#This Row],[valoracion_cliente]])</f>
        <v>4</v>
      </c>
    </row>
    <row r="576" spans="1:18" x14ac:dyDescent="0.25">
      <c r="A576" t="s">
        <v>852</v>
      </c>
      <c r="B576" t="s">
        <v>215</v>
      </c>
      <c r="C576" t="s">
        <v>216</v>
      </c>
      <c r="D576" t="s">
        <v>217</v>
      </c>
      <c r="E576" t="s">
        <v>55</v>
      </c>
      <c r="F576">
        <f>ventas_libreria[[#This Row],[precio_eur]]/100</f>
        <v>1.85</v>
      </c>
      <c r="G576">
        <v>185</v>
      </c>
      <c r="H576">
        <v>3</v>
      </c>
      <c r="I576">
        <f>ventas_libreria[[#This Row],[precio]]*ventas_libreria[[#This Row],[cantidad]]</f>
        <v>5.5500000000000007</v>
      </c>
      <c r="J576">
        <v>39</v>
      </c>
      <c r="K576" t="s">
        <v>20</v>
      </c>
      <c r="L576" s="1">
        <v>45000</v>
      </c>
      <c r="M576" t="s">
        <v>43</v>
      </c>
      <c r="N576" t="s">
        <v>32</v>
      </c>
      <c r="O576" t="s">
        <v>33</v>
      </c>
      <c r="P576" t="s">
        <v>50</v>
      </c>
      <c r="Q576">
        <v>1</v>
      </c>
      <c r="R576">
        <f>IF(ventas_libreria[[#This Row],[valoracion_cliente]]="","Sin valoración",ventas_libreria[[#This Row],[valoracion_cliente]])</f>
        <v>1</v>
      </c>
    </row>
    <row r="577" spans="1:18" x14ac:dyDescent="0.25">
      <c r="A577" t="s">
        <v>853</v>
      </c>
      <c r="B577" t="s">
        <v>165</v>
      </c>
      <c r="C577" t="s">
        <v>166</v>
      </c>
      <c r="D577" t="s">
        <v>167</v>
      </c>
      <c r="E577" t="s">
        <v>61</v>
      </c>
      <c r="F577">
        <f>ventas_libreria[[#This Row],[precio_eur]]/100</f>
        <v>1.49</v>
      </c>
      <c r="G577">
        <v>149</v>
      </c>
      <c r="H577">
        <v>1</v>
      </c>
      <c r="I577">
        <f>ventas_libreria[[#This Row],[precio]]*ventas_libreria[[#This Row],[cantidad]]</f>
        <v>1.49</v>
      </c>
      <c r="J577">
        <v>55</v>
      </c>
      <c r="K577" t="s">
        <v>62</v>
      </c>
      <c r="L577" s="1">
        <v>45273</v>
      </c>
      <c r="M577" t="s">
        <v>31</v>
      </c>
      <c r="N577" t="s">
        <v>32</v>
      </c>
      <c r="O577" t="s">
        <v>33</v>
      </c>
      <c r="P577" t="s">
        <v>84</v>
      </c>
      <c r="Q577">
        <v>5</v>
      </c>
      <c r="R577">
        <f>IF(ventas_libreria[[#This Row],[valoracion_cliente]]="","Sin valoración",ventas_libreria[[#This Row],[valoracion_cliente]])</f>
        <v>5</v>
      </c>
    </row>
    <row r="578" spans="1:18" x14ac:dyDescent="0.25">
      <c r="A578" t="s">
        <v>854</v>
      </c>
      <c r="B578" t="s">
        <v>80</v>
      </c>
      <c r="C578" t="s">
        <v>81</v>
      </c>
      <c r="D578" t="s">
        <v>82</v>
      </c>
      <c r="E578" t="s">
        <v>83</v>
      </c>
      <c r="F578">
        <f>ventas_libreria[[#This Row],[precio_eur]]/100</f>
        <v>0.99</v>
      </c>
      <c r="G578">
        <v>99</v>
      </c>
      <c r="H578">
        <v>2</v>
      </c>
      <c r="I578">
        <f>ventas_libreria[[#This Row],[precio]]*ventas_libreria[[#This Row],[cantidad]]</f>
        <v>1.98</v>
      </c>
      <c r="J578">
        <v>62</v>
      </c>
      <c r="K578" t="s">
        <v>62</v>
      </c>
      <c r="L578" s="1">
        <v>45432</v>
      </c>
      <c r="M578" t="s">
        <v>21</v>
      </c>
      <c r="N578" t="s">
        <v>32</v>
      </c>
      <c r="O578" t="s">
        <v>33</v>
      </c>
      <c r="P578" t="s">
        <v>56</v>
      </c>
      <c r="Q578">
        <v>5</v>
      </c>
      <c r="R578">
        <f>IF(ventas_libreria[[#This Row],[valoracion_cliente]]="","Sin valoración",ventas_libreria[[#This Row],[valoracion_cliente]])</f>
        <v>5</v>
      </c>
    </row>
    <row r="579" spans="1:18" x14ac:dyDescent="0.25">
      <c r="A579" t="s">
        <v>855</v>
      </c>
      <c r="B579" t="s">
        <v>169</v>
      </c>
      <c r="C579" t="s">
        <v>170</v>
      </c>
      <c r="D579" t="s">
        <v>171</v>
      </c>
      <c r="E579" t="s">
        <v>172</v>
      </c>
      <c r="F579">
        <f>ventas_libreria[[#This Row],[precio_eur]]/100</f>
        <v>19.46</v>
      </c>
      <c r="G579">
        <v>1946</v>
      </c>
      <c r="H579">
        <v>1</v>
      </c>
      <c r="I579">
        <f>ventas_libreria[[#This Row],[precio]]*ventas_libreria[[#This Row],[cantidad]]</f>
        <v>19.46</v>
      </c>
      <c r="J579">
        <v>72</v>
      </c>
      <c r="K579" t="s">
        <v>38</v>
      </c>
      <c r="L579" s="1">
        <v>45153</v>
      </c>
      <c r="M579" t="s">
        <v>21</v>
      </c>
      <c r="N579" t="s">
        <v>32</v>
      </c>
      <c r="O579" t="s">
        <v>33</v>
      </c>
      <c r="P579" t="s">
        <v>34</v>
      </c>
      <c r="Q579">
        <v>5</v>
      </c>
      <c r="R579">
        <f>IF(ventas_libreria[[#This Row],[valoracion_cliente]]="","Sin valoración",ventas_libreria[[#This Row],[valoracion_cliente]])</f>
        <v>5</v>
      </c>
    </row>
    <row r="580" spans="1:18" x14ac:dyDescent="0.25">
      <c r="A580" t="s">
        <v>856</v>
      </c>
      <c r="B580" t="s">
        <v>353</v>
      </c>
      <c r="C580" t="s">
        <v>354</v>
      </c>
      <c r="D580" t="s">
        <v>226</v>
      </c>
      <c r="E580" t="s">
        <v>116</v>
      </c>
      <c r="F580">
        <f>ventas_libreria[[#This Row],[precio_eur]]/100</f>
        <v>18.59</v>
      </c>
      <c r="G580">
        <v>1859</v>
      </c>
      <c r="H580">
        <v>1</v>
      </c>
      <c r="I580">
        <f>ventas_libreria[[#This Row],[precio]]*ventas_libreria[[#This Row],[cantidad]]</f>
        <v>18.59</v>
      </c>
      <c r="J580">
        <v>16</v>
      </c>
      <c r="K580" t="s">
        <v>20</v>
      </c>
      <c r="L580" s="1">
        <v>45337</v>
      </c>
      <c r="M580" t="s">
        <v>43</v>
      </c>
      <c r="N580" t="s">
        <v>32</v>
      </c>
      <c r="O580" t="s">
        <v>33</v>
      </c>
      <c r="P580" t="s">
        <v>24</v>
      </c>
      <c r="Q580">
        <v>5</v>
      </c>
      <c r="R580">
        <f>IF(ventas_libreria[[#This Row],[valoracion_cliente]]="","Sin valoración",ventas_libreria[[#This Row],[valoracion_cliente]])</f>
        <v>5</v>
      </c>
    </row>
    <row r="581" spans="1:18" x14ac:dyDescent="0.25">
      <c r="A581" t="s">
        <v>857</v>
      </c>
      <c r="B581" t="s">
        <v>204</v>
      </c>
      <c r="C581" t="s">
        <v>205</v>
      </c>
      <c r="D581" t="s">
        <v>206</v>
      </c>
      <c r="E581" t="s">
        <v>116</v>
      </c>
      <c r="F581">
        <f>ventas_libreria[[#This Row],[precio_eur]]/100</f>
        <v>1.29</v>
      </c>
      <c r="G581">
        <v>129</v>
      </c>
      <c r="H581">
        <v>2</v>
      </c>
      <c r="I581">
        <f>ventas_libreria[[#This Row],[precio]]*ventas_libreria[[#This Row],[cantidad]]</f>
        <v>2.58</v>
      </c>
      <c r="J581">
        <v>59</v>
      </c>
      <c r="K581" t="s">
        <v>20</v>
      </c>
      <c r="L581" s="1">
        <v>45642</v>
      </c>
      <c r="M581" t="s">
        <v>43</v>
      </c>
      <c r="N581" t="s">
        <v>32</v>
      </c>
      <c r="O581" t="s">
        <v>33</v>
      </c>
      <c r="P581" t="s">
        <v>84</v>
      </c>
      <c r="Q581">
        <v>2</v>
      </c>
      <c r="R581">
        <f>IF(ventas_libreria[[#This Row],[valoracion_cliente]]="","Sin valoración",ventas_libreria[[#This Row],[valoracion_cliente]])</f>
        <v>2</v>
      </c>
    </row>
    <row r="582" spans="1:18" x14ac:dyDescent="0.25">
      <c r="A582" t="s">
        <v>858</v>
      </c>
      <c r="B582" t="s">
        <v>109</v>
      </c>
      <c r="C582" t="s">
        <v>110</v>
      </c>
      <c r="D582" t="s">
        <v>111</v>
      </c>
      <c r="E582" t="s">
        <v>55</v>
      </c>
      <c r="F582">
        <f>ventas_libreria[[#This Row],[precio_eur]]/100</f>
        <v>17.91</v>
      </c>
      <c r="G582">
        <v>1791</v>
      </c>
      <c r="H582">
        <v>1</v>
      </c>
      <c r="I582">
        <f>ventas_libreria[[#This Row],[precio]]*ventas_libreria[[#This Row],[cantidad]]</f>
        <v>17.91</v>
      </c>
      <c r="J582">
        <v>25</v>
      </c>
      <c r="K582" t="s">
        <v>62</v>
      </c>
      <c r="L582" s="1">
        <v>45575</v>
      </c>
      <c r="M582" t="s">
        <v>31</v>
      </c>
      <c r="N582" t="s">
        <v>22</v>
      </c>
      <c r="O582" t="s">
        <v>49</v>
      </c>
      <c r="P582" t="s">
        <v>50</v>
      </c>
      <c r="R582" t="str">
        <f>IF(ventas_libreria[[#This Row],[valoracion_cliente]]="","Sin valoración",ventas_libreria[[#This Row],[valoracion_cliente]])</f>
        <v>Sin valoración</v>
      </c>
    </row>
    <row r="583" spans="1:18" x14ac:dyDescent="0.25">
      <c r="A583" t="s">
        <v>859</v>
      </c>
      <c r="B583" t="s">
        <v>424</v>
      </c>
      <c r="C583" t="s">
        <v>425</v>
      </c>
      <c r="D583" t="s">
        <v>426</v>
      </c>
      <c r="E583" t="s">
        <v>55</v>
      </c>
      <c r="F583">
        <f>ventas_libreria[[#This Row],[precio_eur]]/100</f>
        <v>19.84</v>
      </c>
      <c r="G583">
        <v>1984</v>
      </c>
      <c r="H583">
        <v>2</v>
      </c>
      <c r="I583">
        <f>ventas_libreria[[#This Row],[precio]]*ventas_libreria[[#This Row],[cantidad]]</f>
        <v>39.68</v>
      </c>
      <c r="J583">
        <v>66</v>
      </c>
      <c r="K583" t="s">
        <v>62</v>
      </c>
      <c r="L583" s="1">
        <v>45832</v>
      </c>
      <c r="M583" t="s">
        <v>21</v>
      </c>
      <c r="N583" t="s">
        <v>22</v>
      </c>
      <c r="O583" t="s">
        <v>49</v>
      </c>
      <c r="P583" t="s">
        <v>50</v>
      </c>
      <c r="Q583">
        <v>5</v>
      </c>
      <c r="R583">
        <f>IF(ventas_libreria[[#This Row],[valoracion_cliente]]="","Sin valoración",ventas_libreria[[#This Row],[valoracion_cliente]])</f>
        <v>5</v>
      </c>
    </row>
    <row r="584" spans="1:18" x14ac:dyDescent="0.25">
      <c r="A584" t="s">
        <v>860</v>
      </c>
      <c r="B584" t="s">
        <v>224</v>
      </c>
      <c r="C584" t="s">
        <v>225</v>
      </c>
      <c r="D584" t="s">
        <v>226</v>
      </c>
      <c r="E584" t="s">
        <v>116</v>
      </c>
      <c r="F584">
        <f>ventas_libreria[[#This Row],[precio_eur]]/100</f>
        <v>2.4900000000000002</v>
      </c>
      <c r="G584">
        <v>249</v>
      </c>
      <c r="H584">
        <v>1</v>
      </c>
      <c r="I584">
        <f>ventas_libreria[[#This Row],[precio]]*ventas_libreria[[#This Row],[cantidad]]</f>
        <v>2.4900000000000002</v>
      </c>
      <c r="J584">
        <v>58</v>
      </c>
      <c r="K584" t="s">
        <v>62</v>
      </c>
      <c r="L584" s="1">
        <v>45684</v>
      </c>
      <c r="M584" t="s">
        <v>43</v>
      </c>
      <c r="N584" t="s">
        <v>32</v>
      </c>
      <c r="O584" t="s">
        <v>33</v>
      </c>
      <c r="P584" t="s">
        <v>56</v>
      </c>
      <c r="Q584">
        <v>5</v>
      </c>
      <c r="R584">
        <f>IF(ventas_libreria[[#This Row],[valoracion_cliente]]="","Sin valoración",ventas_libreria[[#This Row],[valoracion_cliente]])</f>
        <v>5</v>
      </c>
    </row>
    <row r="585" spans="1:18" x14ac:dyDescent="0.25">
      <c r="A585" t="s">
        <v>861</v>
      </c>
      <c r="B585" t="s">
        <v>104</v>
      </c>
      <c r="C585" t="s">
        <v>105</v>
      </c>
      <c r="D585" t="s">
        <v>106</v>
      </c>
      <c r="E585" t="s">
        <v>107</v>
      </c>
      <c r="F585">
        <f>ventas_libreria[[#This Row],[precio_eur]]/100</f>
        <v>11.92</v>
      </c>
      <c r="G585">
        <v>1192</v>
      </c>
      <c r="H585">
        <v>1</v>
      </c>
      <c r="I585">
        <f>ventas_libreria[[#This Row],[precio]]*ventas_libreria[[#This Row],[cantidad]]</f>
        <v>11.92</v>
      </c>
      <c r="J585">
        <v>13</v>
      </c>
      <c r="K585" t="s">
        <v>62</v>
      </c>
      <c r="L585" s="1">
        <v>45364</v>
      </c>
      <c r="M585" t="s">
        <v>21</v>
      </c>
      <c r="N585" t="s">
        <v>32</v>
      </c>
      <c r="O585" t="s">
        <v>33</v>
      </c>
      <c r="P585" t="s">
        <v>50</v>
      </c>
      <c r="Q585">
        <v>3</v>
      </c>
      <c r="R585">
        <f>IF(ventas_libreria[[#This Row],[valoracion_cliente]]="","Sin valoración",ventas_libreria[[#This Row],[valoracion_cliente]])</f>
        <v>3</v>
      </c>
    </row>
    <row r="586" spans="1:18" x14ac:dyDescent="0.25">
      <c r="A586" t="s">
        <v>862</v>
      </c>
      <c r="B586" t="s">
        <v>254</v>
      </c>
      <c r="C586" t="s">
        <v>255</v>
      </c>
      <c r="D586" t="s">
        <v>139</v>
      </c>
      <c r="E586" t="s">
        <v>116</v>
      </c>
      <c r="F586">
        <f>ventas_libreria[[#This Row],[precio_eur]]/100</f>
        <v>1.49</v>
      </c>
      <c r="G586">
        <v>149</v>
      </c>
      <c r="H586">
        <v>1</v>
      </c>
      <c r="I586">
        <f>ventas_libreria[[#This Row],[precio]]*ventas_libreria[[#This Row],[cantidad]]</f>
        <v>1.49</v>
      </c>
      <c r="J586">
        <v>69</v>
      </c>
      <c r="K586" t="s">
        <v>30</v>
      </c>
      <c r="L586" s="1">
        <v>45210</v>
      </c>
      <c r="M586" t="s">
        <v>21</v>
      </c>
      <c r="N586" t="s">
        <v>22</v>
      </c>
      <c r="O586" t="s">
        <v>67</v>
      </c>
      <c r="P586" t="s">
        <v>56</v>
      </c>
      <c r="Q586">
        <v>5</v>
      </c>
      <c r="R586">
        <f>IF(ventas_libreria[[#This Row],[valoracion_cliente]]="","Sin valoración",ventas_libreria[[#This Row],[valoracion_cliente]])</f>
        <v>5</v>
      </c>
    </row>
    <row r="587" spans="1:18" x14ac:dyDescent="0.25">
      <c r="A587" t="s">
        <v>863</v>
      </c>
      <c r="B587" t="s">
        <v>95</v>
      </c>
      <c r="C587" t="s">
        <v>96</v>
      </c>
      <c r="D587" t="s">
        <v>97</v>
      </c>
      <c r="E587" t="s">
        <v>29</v>
      </c>
      <c r="F587">
        <f>ventas_libreria[[#This Row],[precio_eur]]/100</f>
        <v>18.79</v>
      </c>
      <c r="G587">
        <v>1879</v>
      </c>
      <c r="H587">
        <v>1</v>
      </c>
      <c r="I587">
        <f>ventas_libreria[[#This Row],[precio]]*ventas_libreria[[#This Row],[cantidad]]</f>
        <v>18.79</v>
      </c>
      <c r="J587">
        <v>20</v>
      </c>
      <c r="K587" t="s">
        <v>38</v>
      </c>
      <c r="L587" s="1">
        <v>45449</v>
      </c>
      <c r="M587" t="s">
        <v>43</v>
      </c>
      <c r="N587" t="s">
        <v>32</v>
      </c>
      <c r="O587" t="s">
        <v>33</v>
      </c>
      <c r="P587" t="s">
        <v>34</v>
      </c>
      <c r="Q587">
        <v>5</v>
      </c>
      <c r="R587">
        <f>IF(ventas_libreria[[#This Row],[valoracion_cliente]]="","Sin valoración",ventas_libreria[[#This Row],[valoracion_cliente]])</f>
        <v>5</v>
      </c>
    </row>
    <row r="588" spans="1:18" x14ac:dyDescent="0.25">
      <c r="A588" t="s">
        <v>864</v>
      </c>
      <c r="B588" t="s">
        <v>243</v>
      </c>
      <c r="C588" t="s">
        <v>244</v>
      </c>
      <c r="D588" t="s">
        <v>245</v>
      </c>
      <c r="E588" t="s">
        <v>48</v>
      </c>
      <c r="F588">
        <f>ventas_libreria[[#This Row],[precio_eur]]/100</f>
        <v>2.19</v>
      </c>
      <c r="G588">
        <v>219</v>
      </c>
      <c r="H588">
        <v>1</v>
      </c>
      <c r="I588">
        <f>ventas_libreria[[#This Row],[precio]]*ventas_libreria[[#This Row],[cantidad]]</f>
        <v>2.19</v>
      </c>
      <c r="J588">
        <v>45</v>
      </c>
      <c r="K588" t="s">
        <v>30</v>
      </c>
      <c r="L588" s="1">
        <v>45254</v>
      </c>
      <c r="M588" t="s">
        <v>31</v>
      </c>
      <c r="N588" t="s">
        <v>32</v>
      </c>
      <c r="O588" t="s">
        <v>33</v>
      </c>
      <c r="P588" t="s">
        <v>34</v>
      </c>
      <c r="Q588">
        <v>5</v>
      </c>
      <c r="R588">
        <f>IF(ventas_libreria[[#This Row],[valoracion_cliente]]="","Sin valoración",ventas_libreria[[#This Row],[valoracion_cliente]])</f>
        <v>5</v>
      </c>
    </row>
    <row r="589" spans="1:18" x14ac:dyDescent="0.25">
      <c r="A589" t="s">
        <v>865</v>
      </c>
      <c r="B589" t="s">
        <v>413</v>
      </c>
      <c r="C589" t="s">
        <v>414</v>
      </c>
      <c r="D589" t="s">
        <v>270</v>
      </c>
      <c r="E589" t="s">
        <v>415</v>
      </c>
      <c r="F589">
        <f>ventas_libreria[[#This Row],[precio_eur]]/100</f>
        <v>8.91</v>
      </c>
      <c r="G589">
        <v>891</v>
      </c>
      <c r="H589">
        <v>1</v>
      </c>
      <c r="I589">
        <f>ventas_libreria[[#This Row],[precio]]*ventas_libreria[[#This Row],[cantidad]]</f>
        <v>8.91</v>
      </c>
      <c r="J589">
        <v>45</v>
      </c>
      <c r="K589" t="s">
        <v>30</v>
      </c>
      <c r="L589" s="1">
        <v>44991</v>
      </c>
      <c r="M589" t="s">
        <v>43</v>
      </c>
      <c r="N589" t="s">
        <v>32</v>
      </c>
      <c r="O589" t="s">
        <v>33</v>
      </c>
      <c r="P589" t="s">
        <v>56</v>
      </c>
      <c r="Q589">
        <v>4</v>
      </c>
      <c r="R589">
        <f>IF(ventas_libreria[[#This Row],[valoracion_cliente]]="","Sin valoración",ventas_libreria[[#This Row],[valoracion_cliente]])</f>
        <v>4</v>
      </c>
    </row>
    <row r="590" spans="1:18" x14ac:dyDescent="0.25">
      <c r="A590" t="s">
        <v>866</v>
      </c>
      <c r="B590" t="s">
        <v>134</v>
      </c>
      <c r="C590" t="s">
        <v>135</v>
      </c>
      <c r="D590" t="s">
        <v>106</v>
      </c>
      <c r="E590" t="s">
        <v>107</v>
      </c>
      <c r="F590">
        <f>ventas_libreria[[#This Row],[precio_eur]]/100</f>
        <v>1.49</v>
      </c>
      <c r="G590">
        <v>149</v>
      </c>
      <c r="H590">
        <v>3</v>
      </c>
      <c r="I590">
        <f>ventas_libreria[[#This Row],[precio]]*ventas_libreria[[#This Row],[cantidad]]</f>
        <v>4.47</v>
      </c>
      <c r="J590">
        <v>13</v>
      </c>
      <c r="K590" t="s">
        <v>20</v>
      </c>
      <c r="L590" s="1">
        <v>45022</v>
      </c>
      <c r="M590" t="s">
        <v>43</v>
      </c>
      <c r="N590" t="s">
        <v>32</v>
      </c>
      <c r="O590" t="s">
        <v>33</v>
      </c>
      <c r="P590" t="s">
        <v>56</v>
      </c>
      <c r="Q590">
        <v>4</v>
      </c>
      <c r="R590">
        <f>IF(ventas_libreria[[#This Row],[valoracion_cliente]]="","Sin valoración",ventas_libreria[[#This Row],[valoracion_cliente]])</f>
        <v>4</v>
      </c>
    </row>
    <row r="591" spans="1:18" x14ac:dyDescent="0.25">
      <c r="A591" t="s">
        <v>867</v>
      </c>
      <c r="B591" t="s">
        <v>156</v>
      </c>
      <c r="C591" t="s">
        <v>157</v>
      </c>
      <c r="D591" t="s">
        <v>158</v>
      </c>
      <c r="E591" t="s">
        <v>149</v>
      </c>
      <c r="F591">
        <f>ventas_libreria[[#This Row],[precio_eur]]/100</f>
        <v>20.79</v>
      </c>
      <c r="G591">
        <v>2079</v>
      </c>
      <c r="H591">
        <v>1</v>
      </c>
      <c r="I591">
        <f>ventas_libreria[[#This Row],[precio]]*ventas_libreria[[#This Row],[cantidad]]</f>
        <v>20.79</v>
      </c>
      <c r="J591">
        <v>59</v>
      </c>
      <c r="K591" t="s">
        <v>38</v>
      </c>
      <c r="L591" s="1">
        <v>45649</v>
      </c>
      <c r="M591" t="s">
        <v>43</v>
      </c>
      <c r="N591" t="s">
        <v>32</v>
      </c>
      <c r="O591" t="s">
        <v>33</v>
      </c>
      <c r="P591" t="s">
        <v>84</v>
      </c>
      <c r="Q591">
        <v>3</v>
      </c>
      <c r="R591">
        <f>IF(ventas_libreria[[#This Row],[valoracion_cliente]]="","Sin valoración",ventas_libreria[[#This Row],[valoracion_cliente]])</f>
        <v>3</v>
      </c>
    </row>
    <row r="592" spans="1:18" x14ac:dyDescent="0.25">
      <c r="A592" t="s">
        <v>868</v>
      </c>
      <c r="B592" t="s">
        <v>466</v>
      </c>
      <c r="C592" t="s">
        <v>467</v>
      </c>
      <c r="D592" t="s">
        <v>468</v>
      </c>
      <c r="E592" t="s">
        <v>154</v>
      </c>
      <c r="F592">
        <f>ventas_libreria[[#This Row],[precio_eur]]/100</f>
        <v>1.89</v>
      </c>
      <c r="G592">
        <v>189</v>
      </c>
      <c r="H592">
        <v>1</v>
      </c>
      <c r="I592">
        <f>ventas_libreria[[#This Row],[precio]]*ventas_libreria[[#This Row],[cantidad]]</f>
        <v>1.89</v>
      </c>
      <c r="J592">
        <v>36</v>
      </c>
      <c r="K592" t="s">
        <v>62</v>
      </c>
      <c r="L592" s="1">
        <v>45887</v>
      </c>
      <c r="M592" t="s">
        <v>21</v>
      </c>
      <c r="N592" t="s">
        <v>32</v>
      </c>
      <c r="O592" t="s">
        <v>33</v>
      </c>
      <c r="P592" t="s">
        <v>24</v>
      </c>
      <c r="Q592">
        <v>2</v>
      </c>
      <c r="R592">
        <f>IF(ventas_libreria[[#This Row],[valoracion_cliente]]="","Sin valoración",ventas_libreria[[#This Row],[valoracion_cliente]])</f>
        <v>2</v>
      </c>
    </row>
    <row r="593" spans="1:18" x14ac:dyDescent="0.25">
      <c r="A593" t="s">
        <v>869</v>
      </c>
      <c r="B593" t="s">
        <v>301</v>
      </c>
      <c r="C593" t="s">
        <v>302</v>
      </c>
      <c r="D593" t="s">
        <v>245</v>
      </c>
      <c r="E593" t="s">
        <v>48</v>
      </c>
      <c r="F593">
        <f>ventas_libreria[[#This Row],[precio_eur]]/100</f>
        <v>2.4900000000000002</v>
      </c>
      <c r="G593">
        <v>249</v>
      </c>
      <c r="H593">
        <v>1</v>
      </c>
      <c r="I593">
        <f>ventas_libreria[[#This Row],[precio]]*ventas_libreria[[#This Row],[cantidad]]</f>
        <v>2.4900000000000002</v>
      </c>
      <c r="J593">
        <v>21</v>
      </c>
      <c r="K593" t="s">
        <v>62</v>
      </c>
      <c r="L593" s="1">
        <v>45260</v>
      </c>
      <c r="M593" t="s">
        <v>43</v>
      </c>
      <c r="N593" t="s">
        <v>32</v>
      </c>
      <c r="O593" t="s">
        <v>33</v>
      </c>
      <c r="P593" t="s">
        <v>56</v>
      </c>
      <c r="Q593">
        <v>5</v>
      </c>
      <c r="R593">
        <f>IF(ventas_libreria[[#This Row],[valoracion_cliente]]="","Sin valoración",ventas_libreria[[#This Row],[valoracion_cliente]])</f>
        <v>5</v>
      </c>
    </row>
    <row r="594" spans="1:18" x14ac:dyDescent="0.25">
      <c r="A594" t="s">
        <v>870</v>
      </c>
      <c r="B594" t="s">
        <v>69</v>
      </c>
      <c r="C594" t="s">
        <v>70</v>
      </c>
      <c r="D594" t="s">
        <v>71</v>
      </c>
      <c r="E594" t="s">
        <v>72</v>
      </c>
      <c r="F594">
        <f>ventas_libreria[[#This Row],[precio_eur]]/100</f>
        <v>13.52</v>
      </c>
      <c r="G594">
        <v>1352</v>
      </c>
      <c r="H594">
        <v>1</v>
      </c>
      <c r="I594">
        <f>ventas_libreria[[#This Row],[precio]]*ventas_libreria[[#This Row],[cantidad]]</f>
        <v>13.52</v>
      </c>
      <c r="J594">
        <v>36</v>
      </c>
      <c r="K594" t="s">
        <v>62</v>
      </c>
      <c r="L594" s="1">
        <v>45483</v>
      </c>
      <c r="M594" t="s">
        <v>21</v>
      </c>
      <c r="N594" t="s">
        <v>22</v>
      </c>
      <c r="O594" t="s">
        <v>49</v>
      </c>
      <c r="P594" t="s">
        <v>84</v>
      </c>
      <c r="Q594">
        <v>3</v>
      </c>
      <c r="R594">
        <f>IF(ventas_libreria[[#This Row],[valoracion_cliente]]="","Sin valoración",ventas_libreria[[#This Row],[valoracion_cliente]])</f>
        <v>3</v>
      </c>
    </row>
    <row r="595" spans="1:18" x14ac:dyDescent="0.25">
      <c r="A595" t="s">
        <v>871</v>
      </c>
      <c r="B595" t="s">
        <v>671</v>
      </c>
      <c r="C595" t="s">
        <v>672</v>
      </c>
      <c r="D595" t="s">
        <v>673</v>
      </c>
      <c r="E595" t="s">
        <v>116</v>
      </c>
      <c r="F595">
        <f>ventas_libreria[[#This Row],[precio_eur]]/100</f>
        <v>1.29</v>
      </c>
      <c r="G595">
        <v>129</v>
      </c>
      <c r="H595">
        <v>1</v>
      </c>
      <c r="I595">
        <f>ventas_libreria[[#This Row],[precio]]*ventas_libreria[[#This Row],[cantidad]]</f>
        <v>1.29</v>
      </c>
      <c r="J595">
        <v>19</v>
      </c>
      <c r="K595" t="s">
        <v>62</v>
      </c>
      <c r="L595" s="1">
        <v>45666</v>
      </c>
      <c r="M595" t="s">
        <v>21</v>
      </c>
      <c r="N595" t="s">
        <v>22</v>
      </c>
      <c r="O595" t="s">
        <v>23</v>
      </c>
      <c r="P595" t="s">
        <v>34</v>
      </c>
      <c r="Q595">
        <v>4</v>
      </c>
      <c r="R595">
        <f>IF(ventas_libreria[[#This Row],[valoracion_cliente]]="","Sin valoración",ventas_libreria[[#This Row],[valoracion_cliente]])</f>
        <v>4</v>
      </c>
    </row>
    <row r="596" spans="1:18" x14ac:dyDescent="0.25">
      <c r="A596" t="s">
        <v>872</v>
      </c>
      <c r="B596" t="s">
        <v>602</v>
      </c>
      <c r="C596" t="s">
        <v>603</v>
      </c>
      <c r="D596" t="s">
        <v>217</v>
      </c>
      <c r="E596" t="s">
        <v>55</v>
      </c>
      <c r="F596">
        <f>ventas_libreria[[#This Row],[precio_eur]]/100</f>
        <v>18.79</v>
      </c>
      <c r="G596">
        <v>1879</v>
      </c>
      <c r="H596">
        <v>1</v>
      </c>
      <c r="I596">
        <f>ventas_libreria[[#This Row],[precio]]*ventas_libreria[[#This Row],[cantidad]]</f>
        <v>18.79</v>
      </c>
      <c r="J596">
        <v>44</v>
      </c>
      <c r="K596" t="s">
        <v>62</v>
      </c>
      <c r="L596" s="1">
        <v>45535</v>
      </c>
      <c r="M596" t="s">
        <v>43</v>
      </c>
      <c r="N596" t="s">
        <v>32</v>
      </c>
      <c r="O596" t="s">
        <v>33</v>
      </c>
      <c r="P596" t="s">
        <v>34</v>
      </c>
      <c r="Q596">
        <v>2</v>
      </c>
      <c r="R596">
        <f>IF(ventas_libreria[[#This Row],[valoracion_cliente]]="","Sin valoración",ventas_libreria[[#This Row],[valoracion_cliente]])</f>
        <v>2</v>
      </c>
    </row>
    <row r="597" spans="1:18" x14ac:dyDescent="0.25">
      <c r="A597" t="s">
        <v>873</v>
      </c>
      <c r="B597" t="s">
        <v>151</v>
      </c>
      <c r="C597" t="s">
        <v>152</v>
      </c>
      <c r="D597" t="s">
        <v>153</v>
      </c>
      <c r="E597" t="s">
        <v>154</v>
      </c>
      <c r="F597">
        <f>ventas_libreria[[#This Row],[precio_eur]]/100</f>
        <v>1.69</v>
      </c>
      <c r="G597">
        <v>169</v>
      </c>
      <c r="H597">
        <v>1</v>
      </c>
      <c r="I597">
        <f>ventas_libreria[[#This Row],[precio]]*ventas_libreria[[#This Row],[cantidad]]</f>
        <v>1.69</v>
      </c>
      <c r="J597">
        <v>56</v>
      </c>
      <c r="K597" t="s">
        <v>38</v>
      </c>
      <c r="L597" s="1">
        <v>45430</v>
      </c>
      <c r="M597" t="s">
        <v>21</v>
      </c>
      <c r="N597" t="s">
        <v>32</v>
      </c>
      <c r="O597" t="s">
        <v>33</v>
      </c>
      <c r="P597" t="s">
        <v>56</v>
      </c>
      <c r="Q597">
        <v>4</v>
      </c>
      <c r="R597">
        <f>IF(ventas_libreria[[#This Row],[valoracion_cliente]]="","Sin valoración",ventas_libreria[[#This Row],[valoracion_cliente]])</f>
        <v>4</v>
      </c>
    </row>
    <row r="598" spans="1:18" x14ac:dyDescent="0.25">
      <c r="A598" t="s">
        <v>874</v>
      </c>
      <c r="B598" t="s">
        <v>156</v>
      </c>
      <c r="C598" t="s">
        <v>157</v>
      </c>
      <c r="D598" t="s">
        <v>158</v>
      </c>
      <c r="E598" t="s">
        <v>149</v>
      </c>
      <c r="F598">
        <f>ventas_libreria[[#This Row],[precio_eur]]/100</f>
        <v>20.79</v>
      </c>
      <c r="G598">
        <v>2079</v>
      </c>
      <c r="H598">
        <v>1</v>
      </c>
      <c r="I598">
        <f>ventas_libreria[[#This Row],[precio]]*ventas_libreria[[#This Row],[cantidad]]</f>
        <v>20.79</v>
      </c>
      <c r="J598">
        <v>64</v>
      </c>
      <c r="K598" t="s">
        <v>62</v>
      </c>
      <c r="L598" s="1">
        <v>45157</v>
      </c>
      <c r="M598" t="s">
        <v>21</v>
      </c>
      <c r="N598" t="s">
        <v>22</v>
      </c>
      <c r="O598" t="s">
        <v>67</v>
      </c>
      <c r="P598" t="s">
        <v>56</v>
      </c>
      <c r="Q598">
        <v>5</v>
      </c>
      <c r="R598">
        <f>IF(ventas_libreria[[#This Row],[valoracion_cliente]]="","Sin valoración",ventas_libreria[[#This Row],[valoracion_cliente]])</f>
        <v>5</v>
      </c>
    </row>
    <row r="599" spans="1:18" x14ac:dyDescent="0.25">
      <c r="A599" t="s">
        <v>875</v>
      </c>
      <c r="B599" t="s">
        <v>375</v>
      </c>
      <c r="C599" t="s">
        <v>376</v>
      </c>
      <c r="D599" t="s">
        <v>377</v>
      </c>
      <c r="E599" t="s">
        <v>29</v>
      </c>
      <c r="F599">
        <f>ventas_libreria[[#This Row],[precio_eur]]/100</f>
        <v>12.72</v>
      </c>
      <c r="G599">
        <v>1272</v>
      </c>
      <c r="H599">
        <v>4</v>
      </c>
      <c r="I599">
        <f>ventas_libreria[[#This Row],[precio]]*ventas_libreria[[#This Row],[cantidad]]</f>
        <v>50.88</v>
      </c>
      <c r="J599">
        <v>21</v>
      </c>
      <c r="K599" t="s">
        <v>62</v>
      </c>
      <c r="L599" s="1">
        <v>45963</v>
      </c>
      <c r="M599" t="s">
        <v>31</v>
      </c>
      <c r="N599" t="s">
        <v>22</v>
      </c>
      <c r="O599" t="s">
        <v>23</v>
      </c>
      <c r="P599" t="s">
        <v>84</v>
      </c>
      <c r="Q599">
        <v>2</v>
      </c>
      <c r="R599">
        <f>IF(ventas_libreria[[#This Row],[valoracion_cliente]]="","Sin valoración",ventas_libreria[[#This Row],[valoracion_cliente]])</f>
        <v>2</v>
      </c>
    </row>
    <row r="600" spans="1:18" x14ac:dyDescent="0.25">
      <c r="A600" t="s">
        <v>876</v>
      </c>
      <c r="B600" t="s">
        <v>104</v>
      </c>
      <c r="C600" t="s">
        <v>105</v>
      </c>
      <c r="D600" t="s">
        <v>106</v>
      </c>
      <c r="E600" t="s">
        <v>107</v>
      </c>
      <c r="F600">
        <f>ventas_libreria[[#This Row],[precio_eur]]/100</f>
        <v>16.39</v>
      </c>
      <c r="G600">
        <v>1639</v>
      </c>
      <c r="H600">
        <v>1</v>
      </c>
      <c r="I600">
        <f>ventas_libreria[[#This Row],[precio]]*ventas_libreria[[#This Row],[cantidad]]</f>
        <v>16.39</v>
      </c>
      <c r="J600">
        <v>10</v>
      </c>
      <c r="K600" t="s">
        <v>38</v>
      </c>
      <c r="L600" s="1">
        <v>45044</v>
      </c>
      <c r="M600" t="s">
        <v>43</v>
      </c>
      <c r="N600" t="s">
        <v>32</v>
      </c>
      <c r="O600" t="s">
        <v>33</v>
      </c>
      <c r="P600" t="s">
        <v>50</v>
      </c>
      <c r="R600" t="str">
        <f>IF(ventas_libreria[[#This Row],[valoracion_cliente]]="","Sin valoración",ventas_libreria[[#This Row],[valoracion_cliente]])</f>
        <v>Sin valoración</v>
      </c>
    </row>
    <row r="601" spans="1:18" x14ac:dyDescent="0.25">
      <c r="A601" t="s">
        <v>877</v>
      </c>
      <c r="B601" t="s">
        <v>146</v>
      </c>
      <c r="C601" t="s">
        <v>147</v>
      </c>
      <c r="D601" t="s">
        <v>148</v>
      </c>
      <c r="E601" t="s">
        <v>149</v>
      </c>
      <c r="F601">
        <f>ventas_libreria[[#This Row],[precio_eur]]/100</f>
        <v>1.67</v>
      </c>
      <c r="G601">
        <v>167</v>
      </c>
      <c r="H601">
        <v>1</v>
      </c>
      <c r="I601">
        <f>ventas_libreria[[#This Row],[precio]]*ventas_libreria[[#This Row],[cantidad]]</f>
        <v>1.67</v>
      </c>
      <c r="J601">
        <v>58</v>
      </c>
      <c r="K601" t="s">
        <v>62</v>
      </c>
      <c r="L601" s="1">
        <v>46003</v>
      </c>
      <c r="M601" t="s">
        <v>31</v>
      </c>
      <c r="N601" t="s">
        <v>22</v>
      </c>
      <c r="O601" t="s">
        <v>23</v>
      </c>
      <c r="P601" t="s">
        <v>34</v>
      </c>
      <c r="Q601">
        <v>5</v>
      </c>
      <c r="R601">
        <f>IF(ventas_libreria[[#This Row],[valoracion_cliente]]="","Sin valoración",ventas_libreria[[#This Row],[valoracion_cliente]])</f>
        <v>5</v>
      </c>
    </row>
    <row r="602" spans="1:18" x14ac:dyDescent="0.25">
      <c r="A602" t="s">
        <v>878</v>
      </c>
      <c r="B602" t="s">
        <v>353</v>
      </c>
      <c r="C602" t="s">
        <v>354</v>
      </c>
      <c r="D602" t="s">
        <v>226</v>
      </c>
      <c r="E602" t="s">
        <v>116</v>
      </c>
      <c r="F602">
        <f>ventas_libreria[[#This Row],[precio_eur]]/100</f>
        <v>1.69</v>
      </c>
      <c r="G602">
        <v>169</v>
      </c>
      <c r="H602">
        <v>1</v>
      </c>
      <c r="I602">
        <f>ventas_libreria[[#This Row],[precio]]*ventas_libreria[[#This Row],[cantidad]]</f>
        <v>1.69</v>
      </c>
      <c r="J602">
        <v>52</v>
      </c>
      <c r="K602" t="s">
        <v>30</v>
      </c>
      <c r="L602" s="1">
        <v>45180</v>
      </c>
      <c r="M602" t="s">
        <v>31</v>
      </c>
      <c r="N602" t="s">
        <v>32</v>
      </c>
      <c r="O602" t="s">
        <v>33</v>
      </c>
      <c r="P602" t="s">
        <v>84</v>
      </c>
      <c r="Q602">
        <v>5</v>
      </c>
      <c r="R602">
        <f>IF(ventas_libreria[[#This Row],[valoracion_cliente]]="","Sin valoración",ventas_libreria[[#This Row],[valoracion_cliente]])</f>
        <v>5</v>
      </c>
    </row>
    <row r="603" spans="1:18" x14ac:dyDescent="0.25">
      <c r="A603" t="s">
        <v>879</v>
      </c>
      <c r="B603" t="s">
        <v>247</v>
      </c>
      <c r="C603" t="s">
        <v>248</v>
      </c>
      <c r="D603" t="s">
        <v>249</v>
      </c>
      <c r="E603" t="s">
        <v>172</v>
      </c>
      <c r="F603">
        <f>ventas_libreria[[#This Row],[precio_eur]]/100</f>
        <v>11.81</v>
      </c>
      <c r="G603">
        <v>1181</v>
      </c>
      <c r="H603">
        <v>1</v>
      </c>
      <c r="I603">
        <f>ventas_libreria[[#This Row],[precio]]*ventas_libreria[[#This Row],[cantidad]]</f>
        <v>11.81</v>
      </c>
      <c r="J603">
        <v>36</v>
      </c>
      <c r="K603" t="s">
        <v>38</v>
      </c>
      <c r="L603" s="1">
        <v>45974</v>
      </c>
      <c r="M603" t="s">
        <v>21</v>
      </c>
      <c r="N603" t="s">
        <v>22</v>
      </c>
      <c r="O603" t="s">
        <v>49</v>
      </c>
      <c r="P603" t="s">
        <v>50</v>
      </c>
      <c r="Q603">
        <v>2</v>
      </c>
      <c r="R603">
        <f>IF(ventas_libreria[[#This Row],[valoracion_cliente]]="","Sin valoración",ventas_libreria[[#This Row],[valoracion_cliente]])</f>
        <v>2</v>
      </c>
    </row>
    <row r="604" spans="1:18" x14ac:dyDescent="0.25">
      <c r="A604" t="s">
        <v>880</v>
      </c>
      <c r="B604" t="s">
        <v>141</v>
      </c>
      <c r="C604" t="s">
        <v>142</v>
      </c>
      <c r="D604" t="s">
        <v>143</v>
      </c>
      <c r="E604" t="s">
        <v>116</v>
      </c>
      <c r="F604">
        <f>ventas_libreria[[#This Row],[precio_eur]]/100</f>
        <v>12.66</v>
      </c>
      <c r="G604">
        <v>1266</v>
      </c>
      <c r="H604">
        <v>1</v>
      </c>
      <c r="I604">
        <f>ventas_libreria[[#This Row],[precio]]*ventas_libreria[[#This Row],[cantidad]]</f>
        <v>12.66</v>
      </c>
      <c r="J604">
        <v>53</v>
      </c>
      <c r="K604" t="s">
        <v>38</v>
      </c>
      <c r="L604" s="1">
        <v>45061</v>
      </c>
      <c r="M604" t="s">
        <v>43</v>
      </c>
      <c r="N604" t="s">
        <v>32</v>
      </c>
      <c r="O604" t="s">
        <v>33</v>
      </c>
      <c r="P604" t="s">
        <v>56</v>
      </c>
      <c r="Q604">
        <v>4</v>
      </c>
      <c r="R604">
        <f>IF(ventas_libreria[[#This Row],[valoracion_cliente]]="","Sin valoración",ventas_libreria[[#This Row],[valoracion_cliente]])</f>
        <v>4</v>
      </c>
    </row>
    <row r="605" spans="1:18" x14ac:dyDescent="0.25">
      <c r="A605" t="s">
        <v>881</v>
      </c>
      <c r="B605" t="s">
        <v>16</v>
      </c>
      <c r="C605" t="s">
        <v>17</v>
      </c>
      <c r="D605" t="s">
        <v>18</v>
      </c>
      <c r="E605" t="s">
        <v>19</v>
      </c>
      <c r="F605">
        <f>ventas_libreria[[#This Row],[precio_eur]]/100</f>
        <v>1.49</v>
      </c>
      <c r="G605">
        <v>149</v>
      </c>
      <c r="H605">
        <v>2</v>
      </c>
      <c r="I605">
        <f>ventas_libreria[[#This Row],[precio]]*ventas_libreria[[#This Row],[cantidad]]</f>
        <v>2.98</v>
      </c>
      <c r="J605">
        <v>43</v>
      </c>
      <c r="K605" t="s">
        <v>30</v>
      </c>
      <c r="L605" s="1">
        <v>45221</v>
      </c>
      <c r="M605" t="s">
        <v>21</v>
      </c>
      <c r="N605" t="s">
        <v>32</v>
      </c>
      <c r="O605" t="s">
        <v>33</v>
      </c>
      <c r="P605" t="s">
        <v>84</v>
      </c>
      <c r="R605" t="str">
        <f>IF(ventas_libreria[[#This Row],[valoracion_cliente]]="","Sin valoración",ventas_libreria[[#This Row],[valoracion_cliente]])</f>
        <v>Sin valoración</v>
      </c>
    </row>
    <row r="606" spans="1:18" x14ac:dyDescent="0.25">
      <c r="A606" t="s">
        <v>882</v>
      </c>
      <c r="B606" t="s">
        <v>74</v>
      </c>
      <c r="C606" t="s">
        <v>75</v>
      </c>
      <c r="D606" t="s">
        <v>76</v>
      </c>
      <c r="E606" t="s">
        <v>77</v>
      </c>
      <c r="F606">
        <f>ventas_libreria[[#This Row],[precio_eur]]/100</f>
        <v>14.31</v>
      </c>
      <c r="G606">
        <v>1431</v>
      </c>
      <c r="H606">
        <v>1</v>
      </c>
      <c r="I606">
        <f>ventas_libreria[[#This Row],[precio]]*ventas_libreria[[#This Row],[cantidad]]</f>
        <v>14.31</v>
      </c>
      <c r="J606">
        <v>11</v>
      </c>
      <c r="K606" t="s">
        <v>38</v>
      </c>
      <c r="L606" s="1">
        <v>45433</v>
      </c>
      <c r="M606" t="s">
        <v>21</v>
      </c>
      <c r="N606" t="s">
        <v>22</v>
      </c>
      <c r="O606" t="s">
        <v>132</v>
      </c>
      <c r="P606" t="s">
        <v>34</v>
      </c>
      <c r="Q606">
        <v>5</v>
      </c>
      <c r="R606">
        <f>IF(ventas_libreria[[#This Row],[valoracion_cliente]]="","Sin valoración",ventas_libreria[[#This Row],[valoracion_cliente]])</f>
        <v>5</v>
      </c>
    </row>
    <row r="607" spans="1:18" x14ac:dyDescent="0.25">
      <c r="A607" t="s">
        <v>883</v>
      </c>
      <c r="B607" t="s">
        <v>236</v>
      </c>
      <c r="C607" t="s">
        <v>237</v>
      </c>
      <c r="D607" t="s">
        <v>238</v>
      </c>
      <c r="E607" t="s">
        <v>29</v>
      </c>
      <c r="F607">
        <f>ventas_libreria[[#This Row],[precio_eur]]/100</f>
        <v>19.690000000000001</v>
      </c>
      <c r="G607">
        <v>1969</v>
      </c>
      <c r="H607">
        <v>3</v>
      </c>
      <c r="I607">
        <f>ventas_libreria[[#This Row],[precio]]*ventas_libreria[[#This Row],[cantidad]]</f>
        <v>59.070000000000007</v>
      </c>
      <c r="J607">
        <v>29</v>
      </c>
      <c r="K607" t="s">
        <v>62</v>
      </c>
      <c r="L607" s="1">
        <v>45121</v>
      </c>
      <c r="M607" t="s">
        <v>21</v>
      </c>
      <c r="N607" t="s">
        <v>32</v>
      </c>
      <c r="O607" t="s">
        <v>33</v>
      </c>
      <c r="P607" t="s">
        <v>24</v>
      </c>
      <c r="Q607">
        <v>4</v>
      </c>
      <c r="R607">
        <f>IF(ventas_libreria[[#This Row],[valoracion_cliente]]="","Sin valoración",ventas_libreria[[#This Row],[valoracion_cliente]])</f>
        <v>4</v>
      </c>
    </row>
    <row r="608" spans="1:18" x14ac:dyDescent="0.25">
      <c r="A608" t="s">
        <v>884</v>
      </c>
      <c r="B608" t="s">
        <v>208</v>
      </c>
      <c r="C608" t="s">
        <v>209</v>
      </c>
      <c r="D608" t="s">
        <v>106</v>
      </c>
      <c r="E608" t="s">
        <v>107</v>
      </c>
      <c r="F608">
        <f>ventas_libreria[[#This Row],[precio_eur]]/100</f>
        <v>1.49</v>
      </c>
      <c r="G608">
        <v>149</v>
      </c>
      <c r="H608">
        <v>1</v>
      </c>
      <c r="I608">
        <f>ventas_libreria[[#This Row],[precio]]*ventas_libreria[[#This Row],[cantidad]]</f>
        <v>1.49</v>
      </c>
      <c r="J608">
        <v>21</v>
      </c>
      <c r="K608" t="s">
        <v>62</v>
      </c>
      <c r="L608" s="1">
        <v>45025</v>
      </c>
      <c r="M608" t="s">
        <v>43</v>
      </c>
      <c r="N608" t="s">
        <v>32</v>
      </c>
      <c r="O608" t="s">
        <v>33</v>
      </c>
      <c r="P608" t="s">
        <v>24</v>
      </c>
      <c r="Q608">
        <v>2</v>
      </c>
      <c r="R608">
        <f>IF(ventas_libreria[[#This Row],[valoracion_cliente]]="","Sin valoración",ventas_libreria[[#This Row],[valoracion_cliente]])</f>
        <v>2</v>
      </c>
    </row>
    <row r="609" spans="1:18" x14ac:dyDescent="0.25">
      <c r="A609" t="s">
        <v>885</v>
      </c>
      <c r="B609" t="s">
        <v>193</v>
      </c>
      <c r="C609" t="s">
        <v>194</v>
      </c>
      <c r="D609" t="s">
        <v>195</v>
      </c>
      <c r="E609" t="s">
        <v>48</v>
      </c>
      <c r="F609">
        <f>ventas_libreria[[#This Row],[precio_eur]]/100</f>
        <v>1.99</v>
      </c>
      <c r="G609">
        <v>199</v>
      </c>
      <c r="H609">
        <v>1</v>
      </c>
      <c r="I609">
        <f>ventas_libreria[[#This Row],[precio]]*ventas_libreria[[#This Row],[cantidad]]</f>
        <v>1.99</v>
      </c>
      <c r="J609">
        <v>26</v>
      </c>
      <c r="K609" t="s">
        <v>30</v>
      </c>
      <c r="L609" s="1">
        <v>45394</v>
      </c>
      <c r="M609" t="s">
        <v>31</v>
      </c>
      <c r="N609" t="s">
        <v>22</v>
      </c>
      <c r="O609" t="s">
        <v>67</v>
      </c>
      <c r="P609" t="s">
        <v>84</v>
      </c>
      <c r="Q609">
        <v>4</v>
      </c>
      <c r="R609">
        <f>IF(ventas_libreria[[#This Row],[valoracion_cliente]]="","Sin valoración",ventas_libreria[[#This Row],[valoracion_cliente]])</f>
        <v>4</v>
      </c>
    </row>
    <row r="610" spans="1:18" x14ac:dyDescent="0.25">
      <c r="A610" t="s">
        <v>886</v>
      </c>
      <c r="B610" t="s">
        <v>58</v>
      </c>
      <c r="C610" t="s">
        <v>59</v>
      </c>
      <c r="D610" t="s">
        <v>60</v>
      </c>
      <c r="E610" t="s">
        <v>61</v>
      </c>
      <c r="F610">
        <f>ventas_libreria[[#This Row],[precio_eur]]/100</f>
        <v>10.96</v>
      </c>
      <c r="G610">
        <v>1096</v>
      </c>
      <c r="H610">
        <v>1</v>
      </c>
      <c r="I610">
        <f>ventas_libreria[[#This Row],[precio]]*ventas_libreria[[#This Row],[cantidad]]</f>
        <v>10.96</v>
      </c>
      <c r="J610">
        <v>42</v>
      </c>
      <c r="K610" t="s">
        <v>30</v>
      </c>
      <c r="L610" s="1">
        <v>44995</v>
      </c>
      <c r="M610" t="s">
        <v>43</v>
      </c>
      <c r="N610" t="s">
        <v>32</v>
      </c>
      <c r="O610" t="s">
        <v>33</v>
      </c>
      <c r="P610" t="s">
        <v>34</v>
      </c>
      <c r="Q610">
        <v>4</v>
      </c>
      <c r="R610">
        <f>IF(ventas_libreria[[#This Row],[valoracion_cliente]]="","Sin valoración",ventas_libreria[[#This Row],[valoracion_cliente]])</f>
        <v>4</v>
      </c>
    </row>
    <row r="611" spans="1:18" x14ac:dyDescent="0.25">
      <c r="A611" t="s">
        <v>887</v>
      </c>
      <c r="B611" t="s">
        <v>254</v>
      </c>
      <c r="C611" t="s">
        <v>255</v>
      </c>
      <c r="D611" t="s">
        <v>139</v>
      </c>
      <c r="E611" t="s">
        <v>116</v>
      </c>
      <c r="F611">
        <f>ventas_libreria[[#This Row],[precio_eur]]/100</f>
        <v>12.66</v>
      </c>
      <c r="G611">
        <v>1266</v>
      </c>
      <c r="H611">
        <v>2</v>
      </c>
      <c r="I611">
        <f>ventas_libreria[[#This Row],[precio]]*ventas_libreria[[#This Row],[cantidad]]</f>
        <v>25.32</v>
      </c>
      <c r="J611">
        <v>47</v>
      </c>
      <c r="K611" t="s">
        <v>38</v>
      </c>
      <c r="L611" s="1">
        <v>45414</v>
      </c>
      <c r="M611" t="s">
        <v>31</v>
      </c>
      <c r="N611" t="s">
        <v>22</v>
      </c>
      <c r="O611" t="s">
        <v>67</v>
      </c>
      <c r="P611" t="s">
        <v>34</v>
      </c>
      <c r="Q611">
        <v>5</v>
      </c>
      <c r="R611">
        <f>IF(ventas_libreria[[#This Row],[valoracion_cliente]]="","Sin valoración",ventas_libreria[[#This Row],[valoracion_cliente]])</f>
        <v>5</v>
      </c>
    </row>
    <row r="612" spans="1:18" x14ac:dyDescent="0.25">
      <c r="A612" t="s">
        <v>888</v>
      </c>
      <c r="B612" t="s">
        <v>332</v>
      </c>
      <c r="C612" t="s">
        <v>333</v>
      </c>
      <c r="D612" t="s">
        <v>334</v>
      </c>
      <c r="E612" t="s">
        <v>116</v>
      </c>
      <c r="F612">
        <f>ventas_libreria[[#This Row],[precio_eur]]/100</f>
        <v>15.21</v>
      </c>
      <c r="G612">
        <v>1521</v>
      </c>
      <c r="H612">
        <v>2</v>
      </c>
      <c r="I612">
        <f>ventas_libreria[[#This Row],[precio]]*ventas_libreria[[#This Row],[cantidad]]</f>
        <v>30.42</v>
      </c>
      <c r="J612">
        <v>41</v>
      </c>
      <c r="K612" t="s">
        <v>30</v>
      </c>
      <c r="L612" s="1">
        <v>45899</v>
      </c>
      <c r="M612" t="s">
        <v>31</v>
      </c>
      <c r="N612" t="s">
        <v>22</v>
      </c>
      <c r="O612" t="s">
        <v>23</v>
      </c>
      <c r="P612" t="s">
        <v>56</v>
      </c>
      <c r="Q612">
        <v>5</v>
      </c>
      <c r="R612">
        <f>IF(ventas_libreria[[#This Row],[valoracion_cliente]]="","Sin valoración",ventas_libreria[[#This Row],[valoracion_cliente]])</f>
        <v>5</v>
      </c>
    </row>
    <row r="613" spans="1:18" x14ac:dyDescent="0.25">
      <c r="A613" t="s">
        <v>889</v>
      </c>
      <c r="B613" t="s">
        <v>424</v>
      </c>
      <c r="C613" t="s">
        <v>425</v>
      </c>
      <c r="D613" t="s">
        <v>426</v>
      </c>
      <c r="E613" t="s">
        <v>55</v>
      </c>
      <c r="F613">
        <f>ventas_libreria[[#This Row],[precio_eur]]/100</f>
        <v>15.12</v>
      </c>
      <c r="G613">
        <v>1512</v>
      </c>
      <c r="H613">
        <v>2</v>
      </c>
      <c r="I613">
        <f>ventas_libreria[[#This Row],[precio]]*ventas_libreria[[#This Row],[cantidad]]</f>
        <v>30.24</v>
      </c>
      <c r="J613">
        <v>71</v>
      </c>
      <c r="K613" t="s">
        <v>20</v>
      </c>
      <c r="L613" s="1">
        <v>44969</v>
      </c>
      <c r="M613" t="s">
        <v>21</v>
      </c>
      <c r="N613" t="s">
        <v>32</v>
      </c>
      <c r="O613" t="s">
        <v>33</v>
      </c>
      <c r="P613" t="s">
        <v>50</v>
      </c>
      <c r="Q613">
        <v>5</v>
      </c>
      <c r="R613">
        <f>IF(ventas_libreria[[#This Row],[valoracion_cliente]]="","Sin valoración",ventas_libreria[[#This Row],[valoracion_cliente]])</f>
        <v>5</v>
      </c>
    </row>
    <row r="614" spans="1:18" x14ac:dyDescent="0.25">
      <c r="A614" t="s">
        <v>890</v>
      </c>
      <c r="B614" t="s">
        <v>186</v>
      </c>
      <c r="C614" t="s">
        <v>187</v>
      </c>
      <c r="D614" t="s">
        <v>188</v>
      </c>
      <c r="E614" t="s">
        <v>189</v>
      </c>
      <c r="F614">
        <f>ventas_libreria[[#This Row],[precio_eur]]/100</f>
        <v>1.99</v>
      </c>
      <c r="G614">
        <v>199</v>
      </c>
      <c r="H614">
        <v>1</v>
      </c>
      <c r="I614">
        <f>ventas_libreria[[#This Row],[precio]]*ventas_libreria[[#This Row],[cantidad]]</f>
        <v>1.99</v>
      </c>
      <c r="J614">
        <v>40</v>
      </c>
      <c r="K614" t="s">
        <v>38</v>
      </c>
      <c r="L614" s="1">
        <v>45139</v>
      </c>
      <c r="M614" t="s">
        <v>21</v>
      </c>
      <c r="N614" t="s">
        <v>32</v>
      </c>
      <c r="O614" t="s">
        <v>33</v>
      </c>
      <c r="P614" t="s">
        <v>24</v>
      </c>
      <c r="R614" t="str">
        <f>IF(ventas_libreria[[#This Row],[valoracion_cliente]]="","Sin valoración",ventas_libreria[[#This Row],[valoracion_cliente]])</f>
        <v>Sin valoración</v>
      </c>
    </row>
    <row r="615" spans="1:18" x14ac:dyDescent="0.25">
      <c r="A615" t="s">
        <v>891</v>
      </c>
      <c r="B615" t="s">
        <v>113</v>
      </c>
      <c r="C615" t="s">
        <v>114</v>
      </c>
      <c r="D615" t="s">
        <v>115</v>
      </c>
      <c r="E615" t="s">
        <v>116</v>
      </c>
      <c r="F615">
        <f>ventas_libreria[[#This Row],[precio_eur]]/100</f>
        <v>1.39</v>
      </c>
      <c r="G615">
        <v>139</v>
      </c>
      <c r="H615">
        <v>2</v>
      </c>
      <c r="I615">
        <f>ventas_libreria[[#This Row],[precio]]*ventas_libreria[[#This Row],[cantidad]]</f>
        <v>2.78</v>
      </c>
      <c r="J615">
        <v>48</v>
      </c>
      <c r="K615" t="s">
        <v>20</v>
      </c>
      <c r="L615" s="1">
        <v>45242</v>
      </c>
      <c r="M615" t="s">
        <v>21</v>
      </c>
      <c r="N615" t="s">
        <v>22</v>
      </c>
      <c r="O615" t="s">
        <v>98</v>
      </c>
      <c r="P615" t="s">
        <v>34</v>
      </c>
      <c r="Q615">
        <v>5</v>
      </c>
      <c r="R615">
        <f>IF(ventas_libreria[[#This Row],[valoracion_cliente]]="","Sin valoración",ventas_libreria[[#This Row],[valoracion_cliente]])</f>
        <v>5</v>
      </c>
    </row>
    <row r="616" spans="1:18" x14ac:dyDescent="0.25">
      <c r="A616" t="s">
        <v>892</v>
      </c>
      <c r="B616" t="s">
        <v>176</v>
      </c>
      <c r="C616" t="s">
        <v>177</v>
      </c>
      <c r="D616" t="s">
        <v>178</v>
      </c>
      <c r="E616" t="s">
        <v>179</v>
      </c>
      <c r="F616">
        <f>ventas_libreria[[#This Row],[precio_eur]]/100</f>
        <v>1.59</v>
      </c>
      <c r="G616">
        <v>159</v>
      </c>
      <c r="H616">
        <v>1</v>
      </c>
      <c r="I616">
        <f>ventas_libreria[[#This Row],[precio]]*ventas_libreria[[#This Row],[cantidad]]</f>
        <v>1.59</v>
      </c>
      <c r="J616">
        <v>20</v>
      </c>
      <c r="K616" t="s">
        <v>38</v>
      </c>
      <c r="L616" s="1">
        <v>45240</v>
      </c>
      <c r="M616" t="s">
        <v>31</v>
      </c>
      <c r="N616" t="s">
        <v>32</v>
      </c>
      <c r="O616" t="s">
        <v>33</v>
      </c>
      <c r="P616" t="s">
        <v>24</v>
      </c>
      <c r="Q616">
        <v>3</v>
      </c>
      <c r="R616">
        <f>IF(ventas_libreria[[#This Row],[valoracion_cliente]]="","Sin valoración",ventas_libreria[[#This Row],[valoracion_cliente]])</f>
        <v>3</v>
      </c>
    </row>
    <row r="617" spans="1:18" x14ac:dyDescent="0.25">
      <c r="A617" t="s">
        <v>893</v>
      </c>
      <c r="B617" t="s">
        <v>91</v>
      </c>
      <c r="C617" t="s">
        <v>92</v>
      </c>
      <c r="D617" t="s">
        <v>93</v>
      </c>
      <c r="E617" t="s">
        <v>72</v>
      </c>
      <c r="F617">
        <f>ventas_libreria[[#This Row],[precio_eur]]/100</f>
        <v>1.46</v>
      </c>
      <c r="G617">
        <v>146</v>
      </c>
      <c r="H617">
        <v>1</v>
      </c>
      <c r="I617">
        <f>ventas_libreria[[#This Row],[precio]]*ventas_libreria[[#This Row],[cantidad]]</f>
        <v>1.46</v>
      </c>
      <c r="J617">
        <v>63</v>
      </c>
      <c r="K617" t="s">
        <v>30</v>
      </c>
      <c r="L617" s="1">
        <v>45672</v>
      </c>
      <c r="M617" t="s">
        <v>43</v>
      </c>
      <c r="N617" t="s">
        <v>32</v>
      </c>
      <c r="O617" t="s">
        <v>33</v>
      </c>
      <c r="P617" t="s">
        <v>34</v>
      </c>
      <c r="R617" t="str">
        <f>IF(ventas_libreria[[#This Row],[valoracion_cliente]]="","Sin valoración",ventas_libreria[[#This Row],[valoracion_cliente]])</f>
        <v>Sin valoración</v>
      </c>
    </row>
    <row r="618" spans="1:18" x14ac:dyDescent="0.25">
      <c r="A618" t="s">
        <v>894</v>
      </c>
      <c r="B618" t="s">
        <v>109</v>
      </c>
      <c r="C618" t="s">
        <v>110</v>
      </c>
      <c r="D618" t="s">
        <v>111</v>
      </c>
      <c r="E618" t="s">
        <v>55</v>
      </c>
      <c r="F618">
        <f>ventas_libreria[[#This Row],[precio_eur]]/100</f>
        <v>1.99</v>
      </c>
      <c r="G618">
        <v>199</v>
      </c>
      <c r="H618">
        <v>2</v>
      </c>
      <c r="I618">
        <f>ventas_libreria[[#This Row],[precio]]*ventas_libreria[[#This Row],[cantidad]]</f>
        <v>3.98</v>
      </c>
      <c r="J618">
        <v>68</v>
      </c>
      <c r="K618" t="s">
        <v>62</v>
      </c>
      <c r="L618" s="1">
        <v>45382</v>
      </c>
      <c r="M618" t="s">
        <v>31</v>
      </c>
      <c r="N618" t="s">
        <v>32</v>
      </c>
      <c r="O618" t="s">
        <v>33</v>
      </c>
      <c r="P618" t="s">
        <v>84</v>
      </c>
      <c r="Q618">
        <v>2</v>
      </c>
      <c r="R618">
        <f>IF(ventas_libreria[[#This Row],[valoracion_cliente]]="","Sin valoración",ventas_libreria[[#This Row],[valoracion_cliente]])</f>
        <v>2</v>
      </c>
    </row>
    <row r="619" spans="1:18" x14ac:dyDescent="0.25">
      <c r="A619" t="s">
        <v>895</v>
      </c>
      <c r="B619" t="s">
        <v>160</v>
      </c>
      <c r="C619" t="s">
        <v>161</v>
      </c>
      <c r="D619" t="s">
        <v>162</v>
      </c>
      <c r="E619" t="s">
        <v>29</v>
      </c>
      <c r="F619">
        <f>ventas_libreria[[#This Row],[precio_eur]]/100</f>
        <v>17.75</v>
      </c>
      <c r="G619">
        <v>1775</v>
      </c>
      <c r="H619">
        <v>1</v>
      </c>
      <c r="I619">
        <f>ventas_libreria[[#This Row],[precio]]*ventas_libreria[[#This Row],[cantidad]]</f>
        <v>17.75</v>
      </c>
      <c r="J619">
        <v>59</v>
      </c>
      <c r="K619" t="s">
        <v>20</v>
      </c>
      <c r="L619" s="1">
        <v>45897</v>
      </c>
      <c r="M619" t="s">
        <v>31</v>
      </c>
      <c r="N619" t="s">
        <v>32</v>
      </c>
      <c r="O619" t="s">
        <v>33</v>
      </c>
      <c r="P619" t="s">
        <v>24</v>
      </c>
      <c r="Q619">
        <v>2</v>
      </c>
      <c r="R619">
        <f>IF(ventas_libreria[[#This Row],[valoracion_cliente]]="","Sin valoración",ventas_libreria[[#This Row],[valoracion_cliente]])</f>
        <v>2</v>
      </c>
    </row>
    <row r="620" spans="1:18" x14ac:dyDescent="0.25">
      <c r="A620" t="s">
        <v>896</v>
      </c>
      <c r="B620" t="s">
        <v>134</v>
      </c>
      <c r="C620" t="s">
        <v>135</v>
      </c>
      <c r="D620" t="s">
        <v>106</v>
      </c>
      <c r="E620" t="s">
        <v>107</v>
      </c>
      <c r="F620">
        <f>ventas_libreria[[#This Row],[precio_eur]]/100</f>
        <v>13.41</v>
      </c>
      <c r="G620">
        <v>1341</v>
      </c>
      <c r="H620">
        <v>1</v>
      </c>
      <c r="I620">
        <f>ventas_libreria[[#This Row],[precio]]*ventas_libreria[[#This Row],[cantidad]]</f>
        <v>13.41</v>
      </c>
      <c r="J620">
        <v>21</v>
      </c>
      <c r="K620" t="s">
        <v>38</v>
      </c>
      <c r="L620" s="1">
        <v>45867</v>
      </c>
      <c r="M620" t="s">
        <v>31</v>
      </c>
      <c r="N620" t="s">
        <v>22</v>
      </c>
      <c r="O620" t="s">
        <v>23</v>
      </c>
      <c r="P620" t="s">
        <v>24</v>
      </c>
      <c r="Q620">
        <v>2</v>
      </c>
      <c r="R620">
        <f>IF(ventas_libreria[[#This Row],[valoracion_cliente]]="","Sin valoración",ventas_libreria[[#This Row],[valoracion_cliente]])</f>
        <v>2</v>
      </c>
    </row>
    <row r="621" spans="1:18" x14ac:dyDescent="0.25">
      <c r="A621" t="s">
        <v>897</v>
      </c>
      <c r="B621" t="s">
        <v>220</v>
      </c>
      <c r="C621" t="s">
        <v>221</v>
      </c>
      <c r="D621" t="s">
        <v>222</v>
      </c>
      <c r="E621" t="s">
        <v>116</v>
      </c>
      <c r="F621">
        <f>ventas_libreria[[#This Row],[precio_eur]]/100</f>
        <v>14.19</v>
      </c>
      <c r="G621">
        <v>1419</v>
      </c>
      <c r="H621">
        <v>1</v>
      </c>
      <c r="I621">
        <f>ventas_libreria[[#This Row],[precio]]*ventas_libreria[[#This Row],[cantidad]]</f>
        <v>14.19</v>
      </c>
      <c r="J621">
        <v>70</v>
      </c>
      <c r="K621" t="s">
        <v>30</v>
      </c>
      <c r="L621" s="1">
        <v>45334</v>
      </c>
      <c r="M621" t="s">
        <v>43</v>
      </c>
      <c r="N621" t="s">
        <v>32</v>
      </c>
      <c r="O621" t="s">
        <v>33</v>
      </c>
      <c r="P621" t="s">
        <v>24</v>
      </c>
      <c r="Q621">
        <v>5</v>
      </c>
      <c r="R621">
        <f>IF(ventas_libreria[[#This Row],[valoracion_cliente]]="","Sin valoración",ventas_libreria[[#This Row],[valoracion_cliente]])</f>
        <v>5</v>
      </c>
    </row>
    <row r="622" spans="1:18" x14ac:dyDescent="0.25">
      <c r="A622" t="s">
        <v>898</v>
      </c>
      <c r="B622" t="s">
        <v>204</v>
      </c>
      <c r="C622" t="s">
        <v>205</v>
      </c>
      <c r="D622" t="s">
        <v>206</v>
      </c>
      <c r="E622" t="s">
        <v>116</v>
      </c>
      <c r="F622">
        <f>ventas_libreria[[#This Row],[precio_eur]]/100</f>
        <v>1.29</v>
      </c>
      <c r="G622">
        <v>129</v>
      </c>
      <c r="H622">
        <v>1</v>
      </c>
      <c r="I622">
        <f>ventas_libreria[[#This Row],[precio]]*ventas_libreria[[#This Row],[cantidad]]</f>
        <v>1.29</v>
      </c>
      <c r="J622">
        <v>75</v>
      </c>
      <c r="K622" t="s">
        <v>38</v>
      </c>
      <c r="L622" s="1">
        <v>45785</v>
      </c>
      <c r="M622" t="s">
        <v>21</v>
      </c>
      <c r="N622" t="s">
        <v>32</v>
      </c>
      <c r="O622" t="s">
        <v>33</v>
      </c>
      <c r="P622" t="s">
        <v>34</v>
      </c>
      <c r="Q622">
        <v>2</v>
      </c>
      <c r="R622">
        <f>IF(ventas_libreria[[#This Row],[valoracion_cliente]]="","Sin valoración",ventas_libreria[[#This Row],[valoracion_cliente]])</f>
        <v>2</v>
      </c>
    </row>
    <row r="623" spans="1:18" x14ac:dyDescent="0.25">
      <c r="A623" t="s">
        <v>899</v>
      </c>
      <c r="B623" t="s">
        <v>224</v>
      </c>
      <c r="C623" t="s">
        <v>225</v>
      </c>
      <c r="D623" t="s">
        <v>226</v>
      </c>
      <c r="E623" t="s">
        <v>116</v>
      </c>
      <c r="F623">
        <f>ventas_libreria[[#This Row],[precio_eur]]/100</f>
        <v>19.920000000000002</v>
      </c>
      <c r="G623">
        <v>1992</v>
      </c>
      <c r="H623">
        <v>1</v>
      </c>
      <c r="I623">
        <f>ventas_libreria[[#This Row],[precio]]*ventas_libreria[[#This Row],[cantidad]]</f>
        <v>19.920000000000002</v>
      </c>
      <c r="J623">
        <v>70</v>
      </c>
      <c r="K623" t="s">
        <v>30</v>
      </c>
      <c r="L623" s="1">
        <v>45476</v>
      </c>
      <c r="M623" t="s">
        <v>21</v>
      </c>
      <c r="N623" t="s">
        <v>22</v>
      </c>
      <c r="O623" t="s">
        <v>132</v>
      </c>
      <c r="P623" t="s">
        <v>50</v>
      </c>
      <c r="Q623">
        <v>3</v>
      </c>
      <c r="R623">
        <f>IF(ventas_libreria[[#This Row],[valoracion_cliente]]="","Sin valoración",ventas_libreria[[#This Row],[valoracion_cliente]])</f>
        <v>3</v>
      </c>
    </row>
    <row r="624" spans="1:18" x14ac:dyDescent="0.25">
      <c r="A624" t="s">
        <v>900</v>
      </c>
      <c r="B624" t="s">
        <v>224</v>
      </c>
      <c r="C624" t="s">
        <v>225</v>
      </c>
      <c r="D624" t="s">
        <v>226</v>
      </c>
      <c r="E624" t="s">
        <v>116</v>
      </c>
      <c r="F624">
        <f>ventas_libreria[[#This Row],[precio_eur]]/100</f>
        <v>2.4900000000000002</v>
      </c>
      <c r="G624">
        <v>249</v>
      </c>
      <c r="H624">
        <v>2</v>
      </c>
      <c r="I624">
        <f>ventas_libreria[[#This Row],[precio]]*ventas_libreria[[#This Row],[cantidad]]</f>
        <v>4.9800000000000004</v>
      </c>
      <c r="J624">
        <v>16</v>
      </c>
      <c r="K624" t="s">
        <v>20</v>
      </c>
      <c r="L624" s="1">
        <v>44950</v>
      </c>
      <c r="M624" t="s">
        <v>21</v>
      </c>
      <c r="N624" t="s">
        <v>22</v>
      </c>
      <c r="O624" t="s">
        <v>98</v>
      </c>
      <c r="P624" t="s">
        <v>84</v>
      </c>
      <c r="Q624">
        <v>5</v>
      </c>
      <c r="R624">
        <f>IF(ventas_libreria[[#This Row],[valoracion_cliente]]="","Sin valoración",ventas_libreria[[#This Row],[valoracion_cliente]])</f>
        <v>5</v>
      </c>
    </row>
    <row r="625" spans="1:18" x14ac:dyDescent="0.25">
      <c r="A625" t="s">
        <v>901</v>
      </c>
      <c r="B625" t="s">
        <v>461</v>
      </c>
      <c r="C625" t="s">
        <v>462</v>
      </c>
      <c r="D625" t="s">
        <v>143</v>
      </c>
      <c r="E625" t="s">
        <v>116</v>
      </c>
      <c r="F625">
        <f>ventas_libreria[[#This Row],[precio_eur]]/100</f>
        <v>1.39</v>
      </c>
      <c r="G625">
        <v>139</v>
      </c>
      <c r="H625">
        <v>1</v>
      </c>
      <c r="I625">
        <f>ventas_libreria[[#This Row],[precio]]*ventas_libreria[[#This Row],[cantidad]]</f>
        <v>1.39</v>
      </c>
      <c r="J625">
        <v>30</v>
      </c>
      <c r="K625" t="s">
        <v>38</v>
      </c>
      <c r="L625" s="1">
        <v>45035</v>
      </c>
      <c r="M625" t="s">
        <v>43</v>
      </c>
      <c r="N625" t="s">
        <v>32</v>
      </c>
      <c r="O625" t="s">
        <v>33</v>
      </c>
      <c r="P625" t="s">
        <v>56</v>
      </c>
      <c r="Q625">
        <v>3</v>
      </c>
      <c r="R625">
        <f>IF(ventas_libreria[[#This Row],[valoracion_cliente]]="","Sin valoración",ventas_libreria[[#This Row],[valoracion_cliente]])</f>
        <v>3</v>
      </c>
    </row>
    <row r="626" spans="1:18" x14ac:dyDescent="0.25">
      <c r="A626" t="s">
        <v>902</v>
      </c>
      <c r="B626" t="s">
        <v>446</v>
      </c>
      <c r="C626" t="s">
        <v>447</v>
      </c>
      <c r="D626" t="s">
        <v>262</v>
      </c>
      <c r="E626" t="s">
        <v>263</v>
      </c>
      <c r="F626">
        <f>ventas_libreria[[#This Row],[precio_eur]]/100</f>
        <v>17.91</v>
      </c>
      <c r="G626">
        <v>1791</v>
      </c>
      <c r="H626">
        <v>1</v>
      </c>
      <c r="I626">
        <f>ventas_libreria[[#This Row],[precio]]*ventas_libreria[[#This Row],[cantidad]]</f>
        <v>17.91</v>
      </c>
      <c r="J626">
        <v>50</v>
      </c>
      <c r="K626" t="s">
        <v>62</v>
      </c>
      <c r="L626" s="1">
        <v>45242</v>
      </c>
      <c r="M626" t="s">
        <v>43</v>
      </c>
      <c r="N626" t="s">
        <v>32</v>
      </c>
      <c r="O626" t="s">
        <v>33</v>
      </c>
      <c r="P626" t="s">
        <v>56</v>
      </c>
      <c r="Q626">
        <v>5</v>
      </c>
      <c r="R626">
        <f>IF(ventas_libreria[[#This Row],[valoracion_cliente]]="","Sin valoración",ventas_libreria[[#This Row],[valoracion_cliente]])</f>
        <v>5</v>
      </c>
    </row>
    <row r="627" spans="1:18" x14ac:dyDescent="0.25">
      <c r="A627" t="s">
        <v>903</v>
      </c>
      <c r="B627" t="s">
        <v>208</v>
      </c>
      <c r="C627" t="s">
        <v>209</v>
      </c>
      <c r="D627" t="s">
        <v>106</v>
      </c>
      <c r="E627" t="s">
        <v>107</v>
      </c>
      <c r="F627">
        <f>ventas_libreria[[#This Row],[precio_eur]]/100</f>
        <v>16.39</v>
      </c>
      <c r="G627">
        <v>1639</v>
      </c>
      <c r="H627">
        <v>1</v>
      </c>
      <c r="I627">
        <f>ventas_libreria[[#This Row],[precio]]*ventas_libreria[[#This Row],[cantidad]]</f>
        <v>16.39</v>
      </c>
      <c r="J627">
        <v>20</v>
      </c>
      <c r="K627" t="s">
        <v>62</v>
      </c>
      <c r="L627" s="1">
        <v>45248</v>
      </c>
      <c r="M627" t="s">
        <v>31</v>
      </c>
      <c r="N627" t="s">
        <v>22</v>
      </c>
      <c r="O627" t="s">
        <v>23</v>
      </c>
      <c r="P627" t="s">
        <v>34</v>
      </c>
      <c r="Q627">
        <v>3</v>
      </c>
      <c r="R627">
        <f>IF(ventas_libreria[[#This Row],[valoracion_cliente]]="","Sin valoración",ventas_libreria[[#This Row],[valoracion_cliente]])</f>
        <v>3</v>
      </c>
    </row>
    <row r="628" spans="1:18" x14ac:dyDescent="0.25">
      <c r="A628" t="s">
        <v>904</v>
      </c>
      <c r="B628" t="s">
        <v>118</v>
      </c>
      <c r="C628" t="s">
        <v>119</v>
      </c>
      <c r="D628" t="s">
        <v>47</v>
      </c>
      <c r="E628" t="s">
        <v>48</v>
      </c>
      <c r="F628">
        <f>ventas_libreria[[#This Row],[precio_eur]]/100</f>
        <v>1.59</v>
      </c>
      <c r="G628">
        <v>159</v>
      </c>
      <c r="H628">
        <v>1</v>
      </c>
      <c r="I628">
        <f>ventas_libreria[[#This Row],[precio]]*ventas_libreria[[#This Row],[cantidad]]</f>
        <v>1.59</v>
      </c>
      <c r="J628">
        <v>66</v>
      </c>
      <c r="K628" t="s">
        <v>20</v>
      </c>
      <c r="L628" s="1">
        <v>45731</v>
      </c>
      <c r="M628" t="s">
        <v>21</v>
      </c>
      <c r="N628" t="s">
        <v>32</v>
      </c>
      <c r="O628" t="s">
        <v>33</v>
      </c>
      <c r="P628" t="s">
        <v>34</v>
      </c>
      <c r="Q628">
        <v>5</v>
      </c>
      <c r="R628">
        <f>IF(ventas_libreria[[#This Row],[valoracion_cliente]]="","Sin valoración",ventas_libreria[[#This Row],[valoracion_cliente]])</f>
        <v>5</v>
      </c>
    </row>
    <row r="629" spans="1:18" x14ac:dyDescent="0.25">
      <c r="A629" t="s">
        <v>905</v>
      </c>
      <c r="B629" t="s">
        <v>215</v>
      </c>
      <c r="C629" t="s">
        <v>216</v>
      </c>
      <c r="D629" t="s">
        <v>217</v>
      </c>
      <c r="E629" t="s">
        <v>55</v>
      </c>
      <c r="F629">
        <f>ventas_libreria[[#This Row],[precio_eur]]/100</f>
        <v>16.649999999999999</v>
      </c>
      <c r="G629">
        <v>1665</v>
      </c>
      <c r="H629">
        <v>1</v>
      </c>
      <c r="I629">
        <f>ventas_libreria[[#This Row],[precio]]*ventas_libreria[[#This Row],[cantidad]]</f>
        <v>16.649999999999999</v>
      </c>
      <c r="J629">
        <v>69</v>
      </c>
      <c r="K629" t="s">
        <v>62</v>
      </c>
      <c r="L629" s="1">
        <v>45100</v>
      </c>
      <c r="M629" t="s">
        <v>43</v>
      </c>
      <c r="N629" t="s">
        <v>32</v>
      </c>
      <c r="O629" t="s">
        <v>33</v>
      </c>
      <c r="P629" t="s">
        <v>50</v>
      </c>
      <c r="Q629">
        <v>4</v>
      </c>
      <c r="R629">
        <f>IF(ventas_libreria[[#This Row],[valoracion_cliente]]="","Sin valoración",ventas_libreria[[#This Row],[valoracion_cliente]])</f>
        <v>4</v>
      </c>
    </row>
    <row r="630" spans="1:18" x14ac:dyDescent="0.25">
      <c r="A630" t="s">
        <v>906</v>
      </c>
      <c r="B630" t="s">
        <v>80</v>
      </c>
      <c r="C630" t="s">
        <v>81</v>
      </c>
      <c r="D630" t="s">
        <v>82</v>
      </c>
      <c r="E630" t="s">
        <v>83</v>
      </c>
      <c r="F630">
        <f>ventas_libreria[[#This Row],[precio_eur]]/100</f>
        <v>1.04</v>
      </c>
      <c r="G630">
        <v>104</v>
      </c>
      <c r="H630">
        <v>2</v>
      </c>
      <c r="I630">
        <f>ventas_libreria[[#This Row],[precio]]*ventas_libreria[[#This Row],[cantidad]]</f>
        <v>2.08</v>
      </c>
      <c r="J630">
        <v>37</v>
      </c>
      <c r="K630" t="s">
        <v>30</v>
      </c>
      <c r="L630" s="1">
        <v>45854</v>
      </c>
      <c r="M630" t="s">
        <v>43</v>
      </c>
      <c r="N630" t="s">
        <v>32</v>
      </c>
      <c r="O630" t="s">
        <v>33</v>
      </c>
      <c r="P630" t="s">
        <v>84</v>
      </c>
      <c r="Q630">
        <v>5</v>
      </c>
      <c r="R630">
        <f>IF(ventas_libreria[[#This Row],[valoracion_cliente]]="","Sin valoración",ventas_libreria[[#This Row],[valoracion_cliente]])</f>
        <v>5</v>
      </c>
    </row>
    <row r="631" spans="1:18" x14ac:dyDescent="0.25">
      <c r="A631" t="s">
        <v>907</v>
      </c>
      <c r="B631" t="s">
        <v>181</v>
      </c>
      <c r="C631" t="s">
        <v>182</v>
      </c>
      <c r="D631" t="s">
        <v>183</v>
      </c>
      <c r="E631" t="s">
        <v>116</v>
      </c>
      <c r="F631">
        <f>ventas_libreria[[#This Row],[precio_eur]]/100</f>
        <v>11.81</v>
      </c>
      <c r="G631">
        <v>1181</v>
      </c>
      <c r="H631">
        <v>1</v>
      </c>
      <c r="I631">
        <f>ventas_libreria[[#This Row],[precio]]*ventas_libreria[[#This Row],[cantidad]]</f>
        <v>11.81</v>
      </c>
      <c r="J631">
        <v>24</v>
      </c>
      <c r="K631" t="s">
        <v>62</v>
      </c>
      <c r="L631" s="1">
        <v>45953</v>
      </c>
      <c r="M631" t="s">
        <v>31</v>
      </c>
      <c r="N631" t="s">
        <v>32</v>
      </c>
      <c r="O631" t="s">
        <v>33</v>
      </c>
      <c r="P631" t="s">
        <v>84</v>
      </c>
      <c r="Q631">
        <v>4</v>
      </c>
      <c r="R631">
        <f>IF(ventas_libreria[[#This Row],[valoracion_cliente]]="","Sin valoración",ventas_libreria[[#This Row],[valoracion_cliente]])</f>
        <v>4</v>
      </c>
    </row>
    <row r="632" spans="1:18" x14ac:dyDescent="0.25">
      <c r="A632" t="s">
        <v>908</v>
      </c>
      <c r="B632" t="s">
        <v>362</v>
      </c>
      <c r="C632" t="s">
        <v>363</v>
      </c>
      <c r="D632" t="s">
        <v>249</v>
      </c>
      <c r="E632" t="s">
        <v>172</v>
      </c>
      <c r="F632">
        <f>ventas_libreria[[#This Row],[precio_eur]]/100</f>
        <v>16.72</v>
      </c>
      <c r="G632">
        <v>1672</v>
      </c>
      <c r="H632">
        <v>1</v>
      </c>
      <c r="I632">
        <f>ventas_libreria[[#This Row],[precio]]*ventas_libreria[[#This Row],[cantidad]]</f>
        <v>16.72</v>
      </c>
      <c r="J632">
        <v>62</v>
      </c>
      <c r="K632" t="s">
        <v>30</v>
      </c>
      <c r="L632" s="1">
        <v>45861</v>
      </c>
      <c r="M632" t="s">
        <v>21</v>
      </c>
      <c r="N632" t="s">
        <v>32</v>
      </c>
      <c r="O632" t="s">
        <v>33</v>
      </c>
      <c r="P632" t="s">
        <v>50</v>
      </c>
      <c r="R632" t="str">
        <f>IF(ventas_libreria[[#This Row],[valoracion_cliente]]="","Sin valoración",ventas_libreria[[#This Row],[valoracion_cliente]])</f>
        <v>Sin valoración</v>
      </c>
    </row>
    <row r="633" spans="1:18" x14ac:dyDescent="0.25">
      <c r="A633" t="s">
        <v>909</v>
      </c>
      <c r="B633" t="s">
        <v>418</v>
      </c>
      <c r="C633" t="s">
        <v>419</v>
      </c>
      <c r="D633" t="s">
        <v>420</v>
      </c>
      <c r="E633" t="s">
        <v>149</v>
      </c>
      <c r="F633">
        <f>ventas_libreria[[#This Row],[precio_eur]]/100</f>
        <v>1.69</v>
      </c>
      <c r="G633">
        <v>169</v>
      </c>
      <c r="H633">
        <v>1</v>
      </c>
      <c r="I633">
        <f>ventas_libreria[[#This Row],[precio]]*ventas_libreria[[#This Row],[cantidad]]</f>
        <v>1.69</v>
      </c>
      <c r="J633">
        <v>56</v>
      </c>
      <c r="K633" t="s">
        <v>38</v>
      </c>
      <c r="L633" s="1">
        <v>45007</v>
      </c>
      <c r="M633" t="s">
        <v>31</v>
      </c>
      <c r="N633" t="s">
        <v>32</v>
      </c>
      <c r="O633" t="s">
        <v>33</v>
      </c>
      <c r="P633" t="s">
        <v>84</v>
      </c>
      <c r="Q633">
        <v>3</v>
      </c>
      <c r="R633">
        <f>IF(ventas_libreria[[#This Row],[valoracion_cliente]]="","Sin valoración",ventas_libreria[[#This Row],[valoracion_cliente]])</f>
        <v>3</v>
      </c>
    </row>
    <row r="634" spans="1:18" x14ac:dyDescent="0.25">
      <c r="A634" t="s">
        <v>910</v>
      </c>
      <c r="B634" t="s">
        <v>318</v>
      </c>
      <c r="C634" t="s">
        <v>319</v>
      </c>
      <c r="D634" t="s">
        <v>167</v>
      </c>
      <c r="E634" t="s">
        <v>61</v>
      </c>
      <c r="F634">
        <f>ventas_libreria[[#This Row],[precio_eur]]/100</f>
        <v>16.059999999999999</v>
      </c>
      <c r="G634">
        <v>1606</v>
      </c>
      <c r="H634">
        <v>1</v>
      </c>
      <c r="I634">
        <f>ventas_libreria[[#This Row],[precio]]*ventas_libreria[[#This Row],[cantidad]]</f>
        <v>16.059999999999999</v>
      </c>
      <c r="J634">
        <v>42</v>
      </c>
      <c r="K634" t="s">
        <v>20</v>
      </c>
      <c r="L634" s="1">
        <v>45326</v>
      </c>
      <c r="M634" t="s">
        <v>31</v>
      </c>
      <c r="N634" t="s">
        <v>32</v>
      </c>
      <c r="O634" t="s">
        <v>33</v>
      </c>
      <c r="P634" t="s">
        <v>84</v>
      </c>
      <c r="Q634">
        <v>5</v>
      </c>
      <c r="R634">
        <f>IF(ventas_libreria[[#This Row],[valoracion_cliente]]="","Sin valoración",ventas_libreria[[#This Row],[valoracion_cliente]])</f>
        <v>5</v>
      </c>
    </row>
    <row r="635" spans="1:18" x14ac:dyDescent="0.25">
      <c r="A635" t="s">
        <v>911</v>
      </c>
      <c r="B635" t="s">
        <v>418</v>
      </c>
      <c r="C635" t="s">
        <v>419</v>
      </c>
      <c r="D635" t="s">
        <v>420</v>
      </c>
      <c r="E635" t="s">
        <v>149</v>
      </c>
      <c r="F635">
        <f>ventas_libreria[[#This Row],[precio_eur]]/100</f>
        <v>15.21</v>
      </c>
      <c r="G635">
        <v>1521</v>
      </c>
      <c r="H635">
        <v>1</v>
      </c>
      <c r="I635">
        <f>ventas_libreria[[#This Row],[precio]]*ventas_libreria[[#This Row],[cantidad]]</f>
        <v>15.21</v>
      </c>
      <c r="J635">
        <v>65</v>
      </c>
      <c r="K635" t="s">
        <v>20</v>
      </c>
      <c r="L635" s="1">
        <v>45578</v>
      </c>
      <c r="M635" t="s">
        <v>21</v>
      </c>
      <c r="N635" t="s">
        <v>32</v>
      </c>
      <c r="O635" t="s">
        <v>33</v>
      </c>
      <c r="P635" t="s">
        <v>56</v>
      </c>
      <c r="R635" t="str">
        <f>IF(ventas_libreria[[#This Row],[valoracion_cliente]]="","Sin valoración",ventas_libreria[[#This Row],[valoracion_cliente]])</f>
        <v>Sin valoración</v>
      </c>
    </row>
    <row r="636" spans="1:18" x14ac:dyDescent="0.25">
      <c r="A636" t="s">
        <v>912</v>
      </c>
      <c r="B636" t="s">
        <v>228</v>
      </c>
      <c r="C636" t="s">
        <v>229</v>
      </c>
      <c r="D636" t="s">
        <v>206</v>
      </c>
      <c r="E636" t="s">
        <v>116</v>
      </c>
      <c r="F636">
        <f>ventas_libreria[[#This Row],[precio_eur]]/100</f>
        <v>20.79</v>
      </c>
      <c r="G636">
        <v>2079</v>
      </c>
      <c r="H636">
        <v>1</v>
      </c>
      <c r="I636">
        <f>ventas_libreria[[#This Row],[precio]]*ventas_libreria[[#This Row],[cantidad]]</f>
        <v>20.79</v>
      </c>
      <c r="J636">
        <v>20</v>
      </c>
      <c r="K636" t="s">
        <v>38</v>
      </c>
      <c r="L636" s="1">
        <v>45530</v>
      </c>
      <c r="M636" t="s">
        <v>21</v>
      </c>
      <c r="N636" t="s">
        <v>32</v>
      </c>
      <c r="O636" t="s">
        <v>33</v>
      </c>
      <c r="P636" t="s">
        <v>24</v>
      </c>
      <c r="Q636">
        <v>3</v>
      </c>
      <c r="R636">
        <f>IF(ventas_libreria[[#This Row],[valoracion_cliente]]="","Sin valoración",ventas_libreria[[#This Row],[valoracion_cliente]])</f>
        <v>3</v>
      </c>
    </row>
    <row r="637" spans="1:18" x14ac:dyDescent="0.25">
      <c r="A637" t="s">
        <v>913</v>
      </c>
      <c r="B637" t="s">
        <v>91</v>
      </c>
      <c r="C637" t="s">
        <v>92</v>
      </c>
      <c r="D637" t="s">
        <v>93</v>
      </c>
      <c r="E637" t="s">
        <v>72</v>
      </c>
      <c r="F637">
        <f>ventas_libreria[[#This Row],[precio_eur]]/100</f>
        <v>12.51</v>
      </c>
      <c r="G637">
        <v>1251</v>
      </c>
      <c r="H637">
        <v>1</v>
      </c>
      <c r="I637">
        <f>ventas_libreria[[#This Row],[precio]]*ventas_libreria[[#This Row],[cantidad]]</f>
        <v>12.51</v>
      </c>
      <c r="J637">
        <v>56</v>
      </c>
      <c r="K637" t="s">
        <v>30</v>
      </c>
      <c r="L637" s="1">
        <v>45569</v>
      </c>
      <c r="M637" t="s">
        <v>31</v>
      </c>
      <c r="N637" t="s">
        <v>32</v>
      </c>
      <c r="O637" t="s">
        <v>33</v>
      </c>
      <c r="P637" t="s">
        <v>56</v>
      </c>
      <c r="R637" t="str">
        <f>IF(ventas_libreria[[#This Row],[valoracion_cliente]]="","Sin valoración",ventas_libreria[[#This Row],[valoracion_cliente]])</f>
        <v>Sin valoración</v>
      </c>
    </row>
    <row r="638" spans="1:18" x14ac:dyDescent="0.25">
      <c r="A638" t="s">
        <v>914</v>
      </c>
      <c r="B638" t="s">
        <v>197</v>
      </c>
      <c r="C638" t="s">
        <v>198</v>
      </c>
      <c r="D638" t="s">
        <v>199</v>
      </c>
      <c r="E638" t="s">
        <v>55</v>
      </c>
      <c r="F638">
        <f>ventas_libreria[[#This Row],[precio_eur]]/100</f>
        <v>1.75</v>
      </c>
      <c r="G638">
        <v>175</v>
      </c>
      <c r="H638">
        <v>1</v>
      </c>
      <c r="I638">
        <f>ventas_libreria[[#This Row],[precio]]*ventas_libreria[[#This Row],[cantidad]]</f>
        <v>1.75</v>
      </c>
      <c r="J638">
        <v>42</v>
      </c>
      <c r="K638" t="s">
        <v>62</v>
      </c>
      <c r="L638" s="1">
        <v>45731</v>
      </c>
      <c r="M638" t="s">
        <v>31</v>
      </c>
      <c r="N638" t="s">
        <v>22</v>
      </c>
      <c r="O638" t="s">
        <v>23</v>
      </c>
      <c r="P638" t="s">
        <v>84</v>
      </c>
      <c r="Q638">
        <v>5</v>
      </c>
      <c r="R638">
        <f>IF(ventas_libreria[[#This Row],[valoracion_cliente]]="","Sin valoración",ventas_libreria[[#This Row],[valoracion_cliente]])</f>
        <v>5</v>
      </c>
    </row>
    <row r="639" spans="1:18" x14ac:dyDescent="0.25">
      <c r="A639" t="s">
        <v>915</v>
      </c>
      <c r="B639" t="s">
        <v>134</v>
      </c>
      <c r="C639" t="s">
        <v>135</v>
      </c>
      <c r="D639" t="s">
        <v>106</v>
      </c>
      <c r="E639" t="s">
        <v>107</v>
      </c>
      <c r="F639">
        <f>ventas_libreria[[#This Row],[precio_eur]]/100</f>
        <v>11.92</v>
      </c>
      <c r="G639">
        <v>1192</v>
      </c>
      <c r="H639">
        <v>1</v>
      </c>
      <c r="I639">
        <f>ventas_libreria[[#This Row],[precio]]*ventas_libreria[[#This Row],[cantidad]]</f>
        <v>11.92</v>
      </c>
      <c r="J639">
        <v>13</v>
      </c>
      <c r="K639" t="s">
        <v>62</v>
      </c>
      <c r="L639" s="1">
        <v>45789</v>
      </c>
      <c r="M639" t="s">
        <v>43</v>
      </c>
      <c r="N639" t="s">
        <v>32</v>
      </c>
      <c r="O639" t="s">
        <v>33</v>
      </c>
      <c r="P639" t="s">
        <v>50</v>
      </c>
      <c r="Q639">
        <v>4</v>
      </c>
      <c r="R639">
        <f>IF(ventas_libreria[[#This Row],[valoracion_cliente]]="","Sin valoración",ventas_libreria[[#This Row],[valoracion_cliente]])</f>
        <v>4</v>
      </c>
    </row>
    <row r="640" spans="1:18" x14ac:dyDescent="0.25">
      <c r="A640" t="s">
        <v>916</v>
      </c>
      <c r="B640" t="s">
        <v>125</v>
      </c>
      <c r="C640" t="s">
        <v>126</v>
      </c>
      <c r="D640" t="s">
        <v>127</v>
      </c>
      <c r="E640" t="s">
        <v>29</v>
      </c>
      <c r="F640">
        <f>ventas_libreria[[#This Row],[precio_eur]]/100</f>
        <v>14.32</v>
      </c>
      <c r="G640">
        <v>1432</v>
      </c>
      <c r="H640">
        <v>1</v>
      </c>
      <c r="I640">
        <f>ventas_libreria[[#This Row],[precio]]*ventas_libreria[[#This Row],[cantidad]]</f>
        <v>14.32</v>
      </c>
      <c r="J640">
        <v>16</v>
      </c>
      <c r="K640" t="s">
        <v>20</v>
      </c>
      <c r="L640" s="1">
        <v>45256</v>
      </c>
      <c r="M640" t="s">
        <v>31</v>
      </c>
      <c r="N640" t="s">
        <v>22</v>
      </c>
      <c r="O640" t="s">
        <v>23</v>
      </c>
      <c r="P640" t="s">
        <v>50</v>
      </c>
      <c r="Q640">
        <v>4</v>
      </c>
      <c r="R640">
        <f>IF(ventas_libreria[[#This Row],[valoracion_cliente]]="","Sin valoración",ventas_libreria[[#This Row],[valoracion_cliente]])</f>
        <v>4</v>
      </c>
    </row>
    <row r="641" spans="1:18" x14ac:dyDescent="0.25">
      <c r="A641" t="s">
        <v>917</v>
      </c>
      <c r="B641" t="s">
        <v>466</v>
      </c>
      <c r="C641" t="s">
        <v>467</v>
      </c>
      <c r="D641" t="s">
        <v>468</v>
      </c>
      <c r="E641" t="s">
        <v>154</v>
      </c>
      <c r="F641">
        <f>ventas_libreria[[#This Row],[precio_eur]]/100</f>
        <v>16.059999999999999</v>
      </c>
      <c r="G641">
        <v>1606</v>
      </c>
      <c r="H641">
        <v>1</v>
      </c>
      <c r="I641">
        <f>ventas_libreria[[#This Row],[precio]]*ventas_libreria[[#This Row],[cantidad]]</f>
        <v>16.059999999999999</v>
      </c>
      <c r="J641">
        <v>72</v>
      </c>
      <c r="K641" t="s">
        <v>38</v>
      </c>
      <c r="L641" s="1">
        <v>45690</v>
      </c>
      <c r="M641" t="s">
        <v>43</v>
      </c>
      <c r="N641" t="s">
        <v>32</v>
      </c>
      <c r="O641" t="s">
        <v>33</v>
      </c>
      <c r="P641" t="s">
        <v>50</v>
      </c>
      <c r="Q641">
        <v>4</v>
      </c>
      <c r="R641">
        <f>IF(ventas_libreria[[#This Row],[valoracion_cliente]]="","Sin valoración",ventas_libreria[[#This Row],[valoracion_cliente]])</f>
        <v>4</v>
      </c>
    </row>
    <row r="642" spans="1:18" x14ac:dyDescent="0.25">
      <c r="A642" t="s">
        <v>918</v>
      </c>
      <c r="B642" t="s">
        <v>240</v>
      </c>
      <c r="C642" t="s">
        <v>241</v>
      </c>
      <c r="D642" t="s">
        <v>54</v>
      </c>
      <c r="E642" t="s">
        <v>172</v>
      </c>
      <c r="F642">
        <f>ventas_libreria[[#This Row],[precio_eur]]/100</f>
        <v>13.41</v>
      </c>
      <c r="G642">
        <v>1341</v>
      </c>
      <c r="H642">
        <v>1</v>
      </c>
      <c r="I642">
        <f>ventas_libreria[[#This Row],[precio]]*ventas_libreria[[#This Row],[cantidad]]</f>
        <v>13.41</v>
      </c>
      <c r="J642">
        <v>56</v>
      </c>
      <c r="K642" t="s">
        <v>30</v>
      </c>
      <c r="L642" s="1">
        <v>44951</v>
      </c>
      <c r="M642" t="s">
        <v>21</v>
      </c>
      <c r="N642" t="s">
        <v>32</v>
      </c>
      <c r="O642" t="s">
        <v>33</v>
      </c>
      <c r="P642" t="s">
        <v>56</v>
      </c>
      <c r="Q642">
        <v>4</v>
      </c>
      <c r="R642">
        <f>IF(ventas_libreria[[#This Row],[valoracion_cliente]]="","Sin valoración",ventas_libreria[[#This Row],[valoracion_cliente]])</f>
        <v>4</v>
      </c>
    </row>
    <row r="643" spans="1:18" x14ac:dyDescent="0.25">
      <c r="A643" t="s">
        <v>919</v>
      </c>
      <c r="B643" t="s">
        <v>36</v>
      </c>
      <c r="C643" t="s">
        <v>37</v>
      </c>
      <c r="D643" t="s">
        <v>28</v>
      </c>
      <c r="E643" t="s">
        <v>29</v>
      </c>
      <c r="F643">
        <f>ventas_libreria[[#This Row],[precio_eur]]/100</f>
        <v>15.12</v>
      </c>
      <c r="G643">
        <v>1512</v>
      </c>
      <c r="H643">
        <v>2</v>
      </c>
      <c r="I643">
        <f>ventas_libreria[[#This Row],[precio]]*ventas_libreria[[#This Row],[cantidad]]</f>
        <v>30.24</v>
      </c>
      <c r="J643">
        <v>50</v>
      </c>
      <c r="K643" t="s">
        <v>20</v>
      </c>
      <c r="L643" s="1">
        <v>45281</v>
      </c>
      <c r="M643" t="s">
        <v>43</v>
      </c>
      <c r="N643" t="s">
        <v>32</v>
      </c>
      <c r="O643" t="s">
        <v>33</v>
      </c>
      <c r="P643" t="s">
        <v>84</v>
      </c>
      <c r="Q643">
        <v>3</v>
      </c>
      <c r="R643">
        <f>IF(ventas_libreria[[#This Row],[valoracion_cliente]]="","Sin valoración",ventas_libreria[[#This Row],[valoracion_cliente]])</f>
        <v>3</v>
      </c>
    </row>
    <row r="644" spans="1:18" x14ac:dyDescent="0.25">
      <c r="A644" t="s">
        <v>920</v>
      </c>
      <c r="B644" t="s">
        <v>413</v>
      </c>
      <c r="C644" t="s">
        <v>414</v>
      </c>
      <c r="D644" t="s">
        <v>270</v>
      </c>
      <c r="E644" t="s">
        <v>415</v>
      </c>
      <c r="F644">
        <f>ventas_libreria[[#This Row],[precio_eur]]/100</f>
        <v>0.99</v>
      </c>
      <c r="G644">
        <v>99</v>
      </c>
      <c r="H644">
        <v>1</v>
      </c>
      <c r="I644">
        <f>ventas_libreria[[#This Row],[precio]]*ventas_libreria[[#This Row],[cantidad]]</f>
        <v>0.99</v>
      </c>
      <c r="J644">
        <v>40</v>
      </c>
      <c r="K644" t="s">
        <v>62</v>
      </c>
      <c r="L644" s="1">
        <v>45675</v>
      </c>
      <c r="M644" t="s">
        <v>31</v>
      </c>
      <c r="N644" t="s">
        <v>22</v>
      </c>
      <c r="O644" t="s">
        <v>23</v>
      </c>
      <c r="P644" t="s">
        <v>84</v>
      </c>
      <c r="R644" t="str">
        <f>IF(ventas_libreria[[#This Row],[valoracion_cliente]]="","Sin valoración",ventas_libreria[[#This Row],[valoracion_cliente]])</f>
        <v>Sin valoración</v>
      </c>
    </row>
    <row r="645" spans="1:18" x14ac:dyDescent="0.25">
      <c r="A645" t="s">
        <v>921</v>
      </c>
      <c r="B645" t="s">
        <v>165</v>
      </c>
      <c r="C645" t="s">
        <v>166</v>
      </c>
      <c r="D645" t="s">
        <v>167</v>
      </c>
      <c r="E645" t="s">
        <v>61</v>
      </c>
      <c r="F645">
        <f>ventas_libreria[[#This Row],[precio_eur]]/100</f>
        <v>12.66</v>
      </c>
      <c r="G645">
        <v>1266</v>
      </c>
      <c r="H645">
        <v>1</v>
      </c>
      <c r="I645">
        <f>ventas_libreria[[#This Row],[precio]]*ventas_libreria[[#This Row],[cantidad]]</f>
        <v>12.66</v>
      </c>
      <c r="J645">
        <v>66</v>
      </c>
      <c r="K645" t="s">
        <v>20</v>
      </c>
      <c r="L645" s="1">
        <v>45306</v>
      </c>
      <c r="M645" t="s">
        <v>21</v>
      </c>
      <c r="N645" t="s">
        <v>32</v>
      </c>
      <c r="O645" t="s">
        <v>33</v>
      </c>
      <c r="P645" t="s">
        <v>56</v>
      </c>
      <c r="Q645">
        <v>3</v>
      </c>
      <c r="R645">
        <f>IF(ventas_libreria[[#This Row],[valoracion_cliente]]="","Sin valoración",ventas_libreria[[#This Row],[valoracion_cliente]])</f>
        <v>3</v>
      </c>
    </row>
    <row r="646" spans="1:18" x14ac:dyDescent="0.25">
      <c r="A646" t="s">
        <v>922</v>
      </c>
      <c r="B646" t="s">
        <v>125</v>
      </c>
      <c r="C646" t="s">
        <v>126</v>
      </c>
      <c r="D646" t="s">
        <v>127</v>
      </c>
      <c r="E646" t="s">
        <v>29</v>
      </c>
      <c r="F646">
        <f>ventas_libreria[[#This Row],[precio_eur]]/100</f>
        <v>1.79</v>
      </c>
      <c r="G646">
        <v>179</v>
      </c>
      <c r="H646">
        <v>1</v>
      </c>
      <c r="I646">
        <f>ventas_libreria[[#This Row],[precio]]*ventas_libreria[[#This Row],[cantidad]]</f>
        <v>1.79</v>
      </c>
      <c r="J646">
        <v>24</v>
      </c>
      <c r="K646" t="s">
        <v>38</v>
      </c>
      <c r="L646" s="1">
        <v>45007</v>
      </c>
      <c r="M646" t="s">
        <v>21</v>
      </c>
      <c r="N646" t="s">
        <v>22</v>
      </c>
      <c r="O646" t="s">
        <v>67</v>
      </c>
      <c r="P646" t="s">
        <v>56</v>
      </c>
      <c r="Q646">
        <v>5</v>
      </c>
      <c r="R646">
        <f>IF(ventas_libreria[[#This Row],[valoracion_cliente]]="","Sin valoración",ventas_libreria[[#This Row],[valoracion_cliente]])</f>
        <v>5</v>
      </c>
    </row>
    <row r="647" spans="1:18" x14ac:dyDescent="0.25">
      <c r="A647" t="s">
        <v>923</v>
      </c>
      <c r="B647" t="s">
        <v>602</v>
      </c>
      <c r="C647" t="s">
        <v>603</v>
      </c>
      <c r="D647" t="s">
        <v>217</v>
      </c>
      <c r="E647" t="s">
        <v>55</v>
      </c>
      <c r="F647">
        <f>ventas_libreria[[#This Row],[precio_eur]]/100</f>
        <v>16.11</v>
      </c>
      <c r="G647">
        <v>1611</v>
      </c>
      <c r="H647">
        <v>1</v>
      </c>
      <c r="I647">
        <f>ventas_libreria[[#This Row],[precio]]*ventas_libreria[[#This Row],[cantidad]]</f>
        <v>16.11</v>
      </c>
      <c r="J647">
        <v>72</v>
      </c>
      <c r="K647" t="s">
        <v>20</v>
      </c>
      <c r="L647" s="1">
        <v>45828</v>
      </c>
      <c r="M647" t="s">
        <v>31</v>
      </c>
      <c r="N647" t="s">
        <v>32</v>
      </c>
      <c r="O647" t="s">
        <v>33</v>
      </c>
      <c r="P647" t="s">
        <v>24</v>
      </c>
      <c r="R647" t="str">
        <f>IF(ventas_libreria[[#This Row],[valoracion_cliente]]="","Sin valoración",ventas_libreria[[#This Row],[valoracion_cliente]])</f>
        <v>Sin valoración</v>
      </c>
    </row>
    <row r="648" spans="1:18" x14ac:dyDescent="0.25">
      <c r="A648" t="s">
        <v>924</v>
      </c>
      <c r="B648" t="s">
        <v>224</v>
      </c>
      <c r="C648" t="s">
        <v>225</v>
      </c>
      <c r="D648" t="s">
        <v>226</v>
      </c>
      <c r="E648" t="s">
        <v>116</v>
      </c>
      <c r="F648">
        <f>ventas_libreria[[#This Row],[precio_eur]]/100</f>
        <v>19.920000000000002</v>
      </c>
      <c r="G648">
        <v>1992</v>
      </c>
      <c r="H648">
        <v>1</v>
      </c>
      <c r="I648">
        <f>ventas_libreria[[#This Row],[precio]]*ventas_libreria[[#This Row],[cantidad]]</f>
        <v>19.920000000000002</v>
      </c>
      <c r="J648">
        <v>59</v>
      </c>
      <c r="K648" t="s">
        <v>38</v>
      </c>
      <c r="L648" s="1">
        <v>45366</v>
      </c>
      <c r="M648" t="s">
        <v>21</v>
      </c>
      <c r="N648" t="s">
        <v>22</v>
      </c>
      <c r="O648" t="s">
        <v>49</v>
      </c>
      <c r="P648" t="s">
        <v>34</v>
      </c>
      <c r="Q648">
        <v>4</v>
      </c>
      <c r="R648">
        <f>IF(ventas_libreria[[#This Row],[valoracion_cliente]]="","Sin valoración",ventas_libreria[[#This Row],[valoracion_cliente]])</f>
        <v>4</v>
      </c>
    </row>
    <row r="649" spans="1:18" x14ac:dyDescent="0.25">
      <c r="A649" t="s">
        <v>925</v>
      </c>
      <c r="B649" t="s">
        <v>69</v>
      </c>
      <c r="C649" t="s">
        <v>70</v>
      </c>
      <c r="D649" t="s">
        <v>71</v>
      </c>
      <c r="E649" t="s">
        <v>72</v>
      </c>
      <c r="F649">
        <f>ventas_libreria[[#This Row],[precio_eur]]/100</f>
        <v>18.59</v>
      </c>
      <c r="G649">
        <v>1859</v>
      </c>
      <c r="H649">
        <v>1</v>
      </c>
      <c r="I649">
        <f>ventas_libreria[[#This Row],[precio]]*ventas_libreria[[#This Row],[cantidad]]</f>
        <v>18.59</v>
      </c>
      <c r="J649">
        <v>61</v>
      </c>
      <c r="K649" t="s">
        <v>62</v>
      </c>
      <c r="L649" s="1">
        <v>45188</v>
      </c>
      <c r="M649" t="s">
        <v>21</v>
      </c>
      <c r="N649" t="s">
        <v>32</v>
      </c>
      <c r="O649" t="s">
        <v>33</v>
      </c>
      <c r="P649" t="s">
        <v>84</v>
      </c>
      <c r="R649" t="str">
        <f>IF(ventas_libreria[[#This Row],[valoracion_cliente]]="","Sin valoración",ventas_libreria[[#This Row],[valoracion_cliente]])</f>
        <v>Sin valoración</v>
      </c>
    </row>
    <row r="650" spans="1:18" x14ac:dyDescent="0.25">
      <c r="A650" t="s">
        <v>926</v>
      </c>
      <c r="B650" t="s">
        <v>307</v>
      </c>
      <c r="C650" t="s">
        <v>308</v>
      </c>
      <c r="D650" t="s">
        <v>88</v>
      </c>
      <c r="E650" t="s">
        <v>77</v>
      </c>
      <c r="F650">
        <f>ventas_libreria[[#This Row],[precio_eur]]/100</f>
        <v>1.0900000000000001</v>
      </c>
      <c r="G650">
        <v>109</v>
      </c>
      <c r="H650">
        <v>2</v>
      </c>
      <c r="I650">
        <f>ventas_libreria[[#This Row],[precio]]*ventas_libreria[[#This Row],[cantidad]]</f>
        <v>2.1800000000000002</v>
      </c>
      <c r="J650">
        <v>10</v>
      </c>
      <c r="K650" t="s">
        <v>30</v>
      </c>
      <c r="L650" s="1">
        <v>45849</v>
      </c>
      <c r="M650" t="s">
        <v>43</v>
      </c>
      <c r="N650" t="s">
        <v>32</v>
      </c>
      <c r="O650" t="s">
        <v>33</v>
      </c>
      <c r="P650" t="s">
        <v>34</v>
      </c>
      <c r="Q650">
        <v>5</v>
      </c>
      <c r="R650">
        <f>IF(ventas_libreria[[#This Row],[valoracion_cliente]]="","Sin valoración",ventas_libreria[[#This Row],[valoracion_cliente]])</f>
        <v>5</v>
      </c>
    </row>
    <row r="651" spans="1:18" x14ac:dyDescent="0.25">
      <c r="A651" t="s">
        <v>927</v>
      </c>
      <c r="B651" t="s">
        <v>228</v>
      </c>
      <c r="C651" t="s">
        <v>229</v>
      </c>
      <c r="D651" t="s">
        <v>206</v>
      </c>
      <c r="E651" t="s">
        <v>116</v>
      </c>
      <c r="F651">
        <f>ventas_libreria[[#This Row],[precio_eur]]/100</f>
        <v>19.84</v>
      </c>
      <c r="G651">
        <v>1984</v>
      </c>
      <c r="H651">
        <v>1</v>
      </c>
      <c r="I651">
        <f>ventas_libreria[[#This Row],[precio]]*ventas_libreria[[#This Row],[cantidad]]</f>
        <v>19.84</v>
      </c>
      <c r="J651">
        <v>24</v>
      </c>
      <c r="K651" t="s">
        <v>38</v>
      </c>
      <c r="L651" s="1">
        <v>44981</v>
      </c>
      <c r="M651" t="s">
        <v>31</v>
      </c>
      <c r="N651" t="s">
        <v>22</v>
      </c>
      <c r="O651" t="s">
        <v>98</v>
      </c>
      <c r="P651" t="s">
        <v>56</v>
      </c>
      <c r="Q651">
        <v>5</v>
      </c>
      <c r="R651">
        <f>IF(ventas_libreria[[#This Row],[valoracion_cliente]]="","Sin valoración",ventas_libreria[[#This Row],[valoracion_cliente]])</f>
        <v>5</v>
      </c>
    </row>
    <row r="652" spans="1:18" x14ac:dyDescent="0.25">
      <c r="A652" t="s">
        <v>928</v>
      </c>
      <c r="B652" t="s">
        <v>314</v>
      </c>
      <c r="C652" t="s">
        <v>315</v>
      </c>
      <c r="D652" t="s">
        <v>217</v>
      </c>
      <c r="E652" t="s">
        <v>55</v>
      </c>
      <c r="F652">
        <f>ventas_libreria[[#This Row],[precio_eur]]/100</f>
        <v>1.85</v>
      </c>
      <c r="G652">
        <v>185</v>
      </c>
      <c r="H652">
        <v>1</v>
      </c>
      <c r="I652">
        <f>ventas_libreria[[#This Row],[precio]]*ventas_libreria[[#This Row],[cantidad]]</f>
        <v>1.85</v>
      </c>
      <c r="J652">
        <v>43</v>
      </c>
      <c r="K652" t="s">
        <v>38</v>
      </c>
      <c r="L652" s="1">
        <v>45931</v>
      </c>
      <c r="M652" t="s">
        <v>31</v>
      </c>
      <c r="N652" t="s">
        <v>32</v>
      </c>
      <c r="O652" t="s">
        <v>33</v>
      </c>
      <c r="P652" t="s">
        <v>56</v>
      </c>
      <c r="Q652">
        <v>5</v>
      </c>
      <c r="R652">
        <f>IF(ventas_libreria[[#This Row],[valoracion_cliente]]="","Sin valoración",ventas_libreria[[#This Row],[valoracion_cliente]])</f>
        <v>5</v>
      </c>
    </row>
    <row r="653" spans="1:18" x14ac:dyDescent="0.25">
      <c r="A653" t="s">
        <v>929</v>
      </c>
      <c r="B653" t="s">
        <v>109</v>
      </c>
      <c r="C653" t="s">
        <v>110</v>
      </c>
      <c r="D653" t="s">
        <v>111</v>
      </c>
      <c r="E653" t="s">
        <v>55</v>
      </c>
      <c r="F653">
        <f>ventas_libreria[[#This Row],[precio_eur]]/100</f>
        <v>20.89</v>
      </c>
      <c r="G653">
        <v>2089</v>
      </c>
      <c r="H653">
        <v>1</v>
      </c>
      <c r="I653">
        <f>ventas_libreria[[#This Row],[precio]]*ventas_libreria[[#This Row],[cantidad]]</f>
        <v>20.89</v>
      </c>
      <c r="J653">
        <v>61</v>
      </c>
      <c r="K653" t="s">
        <v>62</v>
      </c>
      <c r="L653" s="1">
        <v>45519</v>
      </c>
      <c r="M653" t="s">
        <v>21</v>
      </c>
      <c r="N653" t="s">
        <v>32</v>
      </c>
      <c r="O653" t="s">
        <v>33</v>
      </c>
      <c r="P653" t="s">
        <v>34</v>
      </c>
      <c r="R653" t="str">
        <f>IF(ventas_libreria[[#This Row],[valoracion_cliente]]="","Sin valoración",ventas_libreria[[#This Row],[valoracion_cliente]])</f>
        <v>Sin valoración</v>
      </c>
    </row>
    <row r="654" spans="1:18" x14ac:dyDescent="0.25">
      <c r="A654" t="s">
        <v>930</v>
      </c>
      <c r="B654" t="s">
        <v>541</v>
      </c>
      <c r="C654" t="s">
        <v>542</v>
      </c>
      <c r="D654" t="s">
        <v>131</v>
      </c>
      <c r="E654" t="s">
        <v>107</v>
      </c>
      <c r="F654">
        <f>ventas_libreria[[#This Row],[precio_eur]]/100</f>
        <v>1.67</v>
      </c>
      <c r="G654">
        <v>167</v>
      </c>
      <c r="H654">
        <v>3</v>
      </c>
      <c r="I654">
        <f>ventas_libreria[[#This Row],[precio]]*ventas_libreria[[#This Row],[cantidad]]</f>
        <v>5.01</v>
      </c>
      <c r="J654">
        <v>20</v>
      </c>
      <c r="K654" t="s">
        <v>30</v>
      </c>
      <c r="L654" s="1">
        <v>45959</v>
      </c>
      <c r="M654" t="s">
        <v>43</v>
      </c>
      <c r="N654" t="s">
        <v>32</v>
      </c>
      <c r="O654" t="s">
        <v>33</v>
      </c>
      <c r="P654" t="s">
        <v>84</v>
      </c>
      <c r="Q654">
        <v>5</v>
      </c>
      <c r="R654">
        <f>IF(ventas_libreria[[#This Row],[valoracion_cliente]]="","Sin valoración",ventas_libreria[[#This Row],[valoracion_cliente]])</f>
        <v>5</v>
      </c>
    </row>
    <row r="655" spans="1:18" x14ac:dyDescent="0.25">
      <c r="A655" t="s">
        <v>931</v>
      </c>
      <c r="B655" t="s">
        <v>273</v>
      </c>
      <c r="C655" t="s">
        <v>274</v>
      </c>
      <c r="D655" t="s">
        <v>262</v>
      </c>
      <c r="E655" t="s">
        <v>263</v>
      </c>
      <c r="F655">
        <f>ventas_libreria[[#This Row],[precio_eur]]/100</f>
        <v>18.61</v>
      </c>
      <c r="G655">
        <v>1861</v>
      </c>
      <c r="H655">
        <v>2</v>
      </c>
      <c r="I655">
        <f>ventas_libreria[[#This Row],[precio]]*ventas_libreria[[#This Row],[cantidad]]</f>
        <v>37.22</v>
      </c>
      <c r="J655">
        <v>52</v>
      </c>
      <c r="K655" t="s">
        <v>20</v>
      </c>
      <c r="L655" s="1">
        <v>44962</v>
      </c>
      <c r="M655" t="s">
        <v>43</v>
      </c>
      <c r="N655" t="s">
        <v>32</v>
      </c>
      <c r="O655" t="s">
        <v>33</v>
      </c>
      <c r="P655" t="s">
        <v>34</v>
      </c>
      <c r="Q655">
        <v>5</v>
      </c>
      <c r="R655">
        <f>IF(ventas_libreria[[#This Row],[valoracion_cliente]]="","Sin valoración",ventas_libreria[[#This Row],[valoracion_cliente]])</f>
        <v>5</v>
      </c>
    </row>
    <row r="656" spans="1:18" x14ac:dyDescent="0.25">
      <c r="A656" t="s">
        <v>932</v>
      </c>
      <c r="B656" t="s">
        <v>36</v>
      </c>
      <c r="C656" t="s">
        <v>37</v>
      </c>
      <c r="D656" t="s">
        <v>28</v>
      </c>
      <c r="E656" t="s">
        <v>29</v>
      </c>
      <c r="F656">
        <f>ventas_libreria[[#This Row],[precio_eur]]/100</f>
        <v>1.89</v>
      </c>
      <c r="G656">
        <v>189</v>
      </c>
      <c r="H656">
        <v>1</v>
      </c>
      <c r="I656">
        <f>ventas_libreria[[#This Row],[precio]]*ventas_libreria[[#This Row],[cantidad]]</f>
        <v>1.89</v>
      </c>
      <c r="J656">
        <v>24</v>
      </c>
      <c r="K656" t="s">
        <v>20</v>
      </c>
      <c r="L656" s="1">
        <v>45214</v>
      </c>
      <c r="M656" t="s">
        <v>43</v>
      </c>
      <c r="N656" t="s">
        <v>32</v>
      </c>
      <c r="O656" t="s">
        <v>33</v>
      </c>
      <c r="P656" t="s">
        <v>24</v>
      </c>
      <c r="Q656">
        <v>4</v>
      </c>
      <c r="R656">
        <f>IF(ventas_libreria[[#This Row],[valoracion_cliente]]="","Sin valoración",ventas_libreria[[#This Row],[valoracion_cliente]])</f>
        <v>4</v>
      </c>
    </row>
    <row r="657" spans="1:18" x14ac:dyDescent="0.25">
      <c r="A657" t="s">
        <v>933</v>
      </c>
      <c r="B657" t="s">
        <v>260</v>
      </c>
      <c r="C657" t="s">
        <v>261</v>
      </c>
      <c r="D657" t="s">
        <v>262</v>
      </c>
      <c r="E657" t="s">
        <v>263</v>
      </c>
      <c r="F657">
        <f>ventas_libreria[[#This Row],[precio_eur]]/100</f>
        <v>2.2999999999999998</v>
      </c>
      <c r="G657">
        <v>230</v>
      </c>
      <c r="H657">
        <v>1</v>
      </c>
      <c r="I657">
        <f>ventas_libreria[[#This Row],[precio]]*ventas_libreria[[#This Row],[cantidad]]</f>
        <v>2.2999999999999998</v>
      </c>
      <c r="J657">
        <v>48</v>
      </c>
      <c r="K657" t="s">
        <v>38</v>
      </c>
      <c r="L657" s="1">
        <v>45284</v>
      </c>
      <c r="M657" t="s">
        <v>43</v>
      </c>
      <c r="N657" t="s">
        <v>32</v>
      </c>
      <c r="O657" t="s">
        <v>33</v>
      </c>
      <c r="P657" t="s">
        <v>84</v>
      </c>
      <c r="Q657">
        <v>5</v>
      </c>
      <c r="R657">
        <f>IF(ventas_libreria[[#This Row],[valoracion_cliente]]="","Sin valoración",ventas_libreria[[#This Row],[valoracion_cliente]])</f>
        <v>5</v>
      </c>
    </row>
    <row r="658" spans="1:18" x14ac:dyDescent="0.25">
      <c r="A658" t="s">
        <v>934</v>
      </c>
      <c r="B658" t="s">
        <v>160</v>
      </c>
      <c r="C658" t="s">
        <v>161</v>
      </c>
      <c r="D658" t="s">
        <v>162</v>
      </c>
      <c r="E658" t="s">
        <v>29</v>
      </c>
      <c r="F658">
        <f>ventas_libreria[[#This Row],[precio_eur]]/100</f>
        <v>14.36</v>
      </c>
      <c r="G658">
        <v>1436</v>
      </c>
      <c r="H658">
        <v>1</v>
      </c>
      <c r="I658">
        <f>ventas_libreria[[#This Row],[precio]]*ventas_libreria[[#This Row],[cantidad]]</f>
        <v>14.36</v>
      </c>
      <c r="J658">
        <v>35</v>
      </c>
      <c r="K658" t="s">
        <v>62</v>
      </c>
      <c r="L658" s="1">
        <v>44964</v>
      </c>
      <c r="M658" t="s">
        <v>31</v>
      </c>
      <c r="N658" t="s">
        <v>22</v>
      </c>
      <c r="O658" t="s">
        <v>132</v>
      </c>
      <c r="P658" t="s">
        <v>84</v>
      </c>
      <c r="R658" t="str">
        <f>IF(ventas_libreria[[#This Row],[valoracion_cliente]]="","Sin valoración",ventas_libreria[[#This Row],[valoracion_cliente]])</f>
        <v>Sin valoración</v>
      </c>
    </row>
    <row r="659" spans="1:18" x14ac:dyDescent="0.25">
      <c r="A659" t="s">
        <v>935</v>
      </c>
      <c r="B659" t="s">
        <v>176</v>
      </c>
      <c r="C659" t="s">
        <v>177</v>
      </c>
      <c r="D659" t="s">
        <v>178</v>
      </c>
      <c r="E659" t="s">
        <v>179</v>
      </c>
      <c r="F659">
        <f>ventas_libreria[[#This Row],[precio_eur]]/100</f>
        <v>17.489999999999998</v>
      </c>
      <c r="G659">
        <v>1749</v>
      </c>
      <c r="H659">
        <v>1</v>
      </c>
      <c r="I659">
        <f>ventas_libreria[[#This Row],[precio]]*ventas_libreria[[#This Row],[cantidad]]</f>
        <v>17.489999999999998</v>
      </c>
      <c r="J659">
        <v>54</v>
      </c>
      <c r="K659" t="s">
        <v>20</v>
      </c>
      <c r="L659" s="1">
        <v>45887</v>
      </c>
      <c r="M659" t="s">
        <v>21</v>
      </c>
      <c r="N659" t="s">
        <v>22</v>
      </c>
      <c r="O659" t="s">
        <v>23</v>
      </c>
      <c r="P659" t="s">
        <v>50</v>
      </c>
      <c r="Q659">
        <v>1</v>
      </c>
      <c r="R659">
        <f>IF(ventas_libreria[[#This Row],[valoracion_cliente]]="","Sin valoración",ventas_libreria[[#This Row],[valoracion_cliente]])</f>
        <v>1</v>
      </c>
    </row>
    <row r="660" spans="1:18" x14ac:dyDescent="0.25">
      <c r="A660" t="s">
        <v>936</v>
      </c>
      <c r="B660" t="s">
        <v>365</v>
      </c>
      <c r="C660" t="s">
        <v>366</v>
      </c>
      <c r="D660" t="s">
        <v>367</v>
      </c>
      <c r="E660" t="s">
        <v>19</v>
      </c>
      <c r="F660">
        <f>ventas_libreria[[#This Row],[precio_eur]]/100</f>
        <v>19.84</v>
      </c>
      <c r="G660">
        <v>1984</v>
      </c>
      <c r="H660">
        <v>2</v>
      </c>
      <c r="I660">
        <f>ventas_libreria[[#This Row],[precio]]*ventas_libreria[[#This Row],[cantidad]]</f>
        <v>39.68</v>
      </c>
      <c r="J660">
        <v>61</v>
      </c>
      <c r="K660" t="s">
        <v>38</v>
      </c>
      <c r="L660" s="1">
        <v>45988</v>
      </c>
      <c r="M660" t="s">
        <v>43</v>
      </c>
      <c r="N660" t="s">
        <v>32</v>
      </c>
      <c r="O660" t="s">
        <v>33</v>
      </c>
      <c r="P660" t="s">
        <v>56</v>
      </c>
      <c r="Q660">
        <v>4</v>
      </c>
      <c r="R660">
        <f>IF(ventas_libreria[[#This Row],[valoracion_cliente]]="","Sin valoración",ventas_libreria[[#This Row],[valoracion_cliente]])</f>
        <v>4</v>
      </c>
    </row>
    <row r="661" spans="1:18" x14ac:dyDescent="0.25">
      <c r="A661" t="s">
        <v>937</v>
      </c>
      <c r="B661" t="s">
        <v>466</v>
      </c>
      <c r="C661" t="s">
        <v>467</v>
      </c>
      <c r="D661" t="s">
        <v>468</v>
      </c>
      <c r="E661" t="s">
        <v>154</v>
      </c>
      <c r="F661">
        <f>ventas_libreria[[#This Row],[precio_eur]]/100</f>
        <v>15.12</v>
      </c>
      <c r="G661">
        <v>1512</v>
      </c>
      <c r="H661">
        <v>2</v>
      </c>
      <c r="I661">
        <f>ventas_libreria[[#This Row],[precio]]*ventas_libreria[[#This Row],[cantidad]]</f>
        <v>30.24</v>
      </c>
      <c r="J661">
        <v>29</v>
      </c>
      <c r="K661" t="s">
        <v>30</v>
      </c>
      <c r="L661" s="1">
        <v>45027</v>
      </c>
      <c r="M661" t="s">
        <v>43</v>
      </c>
      <c r="N661" t="s">
        <v>32</v>
      </c>
      <c r="O661" t="s">
        <v>33</v>
      </c>
      <c r="P661" t="s">
        <v>50</v>
      </c>
      <c r="Q661">
        <v>4</v>
      </c>
      <c r="R661">
        <f>IF(ventas_libreria[[#This Row],[valoracion_cliente]]="","Sin valoración",ventas_libreria[[#This Row],[valoracion_cliente]])</f>
        <v>4</v>
      </c>
    </row>
    <row r="662" spans="1:18" x14ac:dyDescent="0.25">
      <c r="A662" t="s">
        <v>938</v>
      </c>
      <c r="B662" t="s">
        <v>220</v>
      </c>
      <c r="C662" t="s">
        <v>221</v>
      </c>
      <c r="D662" t="s">
        <v>222</v>
      </c>
      <c r="E662" t="s">
        <v>116</v>
      </c>
      <c r="F662">
        <f>ventas_libreria[[#This Row],[precio_eur]]/100</f>
        <v>14.19</v>
      </c>
      <c r="G662">
        <v>1419</v>
      </c>
      <c r="H662">
        <v>1</v>
      </c>
      <c r="I662">
        <f>ventas_libreria[[#This Row],[precio]]*ventas_libreria[[#This Row],[cantidad]]</f>
        <v>14.19</v>
      </c>
      <c r="J662">
        <v>51</v>
      </c>
      <c r="K662" t="s">
        <v>62</v>
      </c>
      <c r="L662" s="1">
        <v>45979</v>
      </c>
      <c r="M662" t="s">
        <v>43</v>
      </c>
      <c r="N662" t="s">
        <v>32</v>
      </c>
      <c r="O662" t="s">
        <v>33</v>
      </c>
      <c r="P662" t="s">
        <v>50</v>
      </c>
      <c r="Q662">
        <v>2</v>
      </c>
      <c r="R662">
        <f>IF(ventas_libreria[[#This Row],[valoracion_cliente]]="","Sin valoración",ventas_libreria[[#This Row],[valoracion_cliente]])</f>
        <v>2</v>
      </c>
    </row>
    <row r="663" spans="1:18" x14ac:dyDescent="0.25">
      <c r="A663" t="s">
        <v>939</v>
      </c>
      <c r="B663" t="s">
        <v>134</v>
      </c>
      <c r="C663" t="s">
        <v>135</v>
      </c>
      <c r="D663" t="s">
        <v>106</v>
      </c>
      <c r="E663" t="s">
        <v>107</v>
      </c>
      <c r="F663">
        <f>ventas_libreria[[#This Row],[precio_eur]]/100</f>
        <v>1.49</v>
      </c>
      <c r="G663">
        <v>149</v>
      </c>
      <c r="H663">
        <v>3</v>
      </c>
      <c r="I663">
        <f>ventas_libreria[[#This Row],[precio]]*ventas_libreria[[#This Row],[cantidad]]</f>
        <v>4.47</v>
      </c>
      <c r="J663">
        <v>16</v>
      </c>
      <c r="K663" t="s">
        <v>20</v>
      </c>
      <c r="L663" s="1">
        <v>45815</v>
      </c>
      <c r="M663" t="s">
        <v>43</v>
      </c>
      <c r="N663" t="s">
        <v>32</v>
      </c>
      <c r="O663" t="s">
        <v>33</v>
      </c>
      <c r="P663" t="s">
        <v>34</v>
      </c>
      <c r="Q663">
        <v>4</v>
      </c>
      <c r="R663">
        <f>IF(ventas_libreria[[#This Row],[valoracion_cliente]]="","Sin valoración",ventas_libreria[[#This Row],[valoracion_cliente]])</f>
        <v>4</v>
      </c>
    </row>
    <row r="664" spans="1:18" x14ac:dyDescent="0.25">
      <c r="A664" t="s">
        <v>940</v>
      </c>
      <c r="B664" t="s">
        <v>165</v>
      </c>
      <c r="C664" t="s">
        <v>166</v>
      </c>
      <c r="D664" t="s">
        <v>167</v>
      </c>
      <c r="E664" t="s">
        <v>61</v>
      </c>
      <c r="F664">
        <f>ventas_libreria[[#This Row],[precio_eur]]/100</f>
        <v>12.66</v>
      </c>
      <c r="G664">
        <v>1266</v>
      </c>
      <c r="H664">
        <v>1</v>
      </c>
      <c r="I664">
        <f>ventas_libreria[[#This Row],[precio]]*ventas_libreria[[#This Row],[cantidad]]</f>
        <v>12.66</v>
      </c>
      <c r="J664">
        <v>22</v>
      </c>
      <c r="K664" t="s">
        <v>20</v>
      </c>
      <c r="L664" s="1">
        <v>45253</v>
      </c>
      <c r="M664" t="s">
        <v>21</v>
      </c>
      <c r="N664" t="s">
        <v>22</v>
      </c>
      <c r="O664" t="s">
        <v>49</v>
      </c>
      <c r="P664" t="s">
        <v>84</v>
      </c>
      <c r="Q664">
        <v>2</v>
      </c>
      <c r="R664">
        <f>IF(ventas_libreria[[#This Row],[valoracion_cliente]]="","Sin valoración",ventas_libreria[[#This Row],[valoracion_cliente]])</f>
        <v>2</v>
      </c>
    </row>
    <row r="665" spans="1:18" x14ac:dyDescent="0.25">
      <c r="A665" t="s">
        <v>941</v>
      </c>
      <c r="B665" t="s">
        <v>384</v>
      </c>
      <c r="C665" t="s">
        <v>385</v>
      </c>
      <c r="D665" t="s">
        <v>158</v>
      </c>
      <c r="E665" t="s">
        <v>149</v>
      </c>
      <c r="F665">
        <f>ventas_libreria[[#This Row],[precio_eur]]/100</f>
        <v>17.52</v>
      </c>
      <c r="G665">
        <v>1752</v>
      </c>
      <c r="H665">
        <v>1</v>
      </c>
      <c r="I665">
        <f>ventas_libreria[[#This Row],[precio]]*ventas_libreria[[#This Row],[cantidad]]</f>
        <v>17.52</v>
      </c>
      <c r="J665">
        <v>16</v>
      </c>
      <c r="K665" t="s">
        <v>62</v>
      </c>
      <c r="L665" s="1">
        <v>45362</v>
      </c>
      <c r="M665" t="s">
        <v>31</v>
      </c>
      <c r="N665" t="s">
        <v>32</v>
      </c>
      <c r="O665" t="s">
        <v>33</v>
      </c>
      <c r="P665" t="s">
        <v>34</v>
      </c>
      <c r="Q665">
        <v>4</v>
      </c>
      <c r="R665">
        <f>IF(ventas_libreria[[#This Row],[valoracion_cliente]]="","Sin valoración",ventas_libreria[[#This Row],[valoracion_cliente]])</f>
        <v>4</v>
      </c>
    </row>
    <row r="666" spans="1:18" x14ac:dyDescent="0.25">
      <c r="A666" t="s">
        <v>942</v>
      </c>
      <c r="B666" t="s">
        <v>314</v>
      </c>
      <c r="C666" t="s">
        <v>315</v>
      </c>
      <c r="D666" t="s">
        <v>217</v>
      </c>
      <c r="E666" t="s">
        <v>55</v>
      </c>
      <c r="F666">
        <f>ventas_libreria[[#This Row],[precio_eur]]/100</f>
        <v>1.48</v>
      </c>
      <c r="G666">
        <v>148</v>
      </c>
      <c r="H666">
        <v>1</v>
      </c>
      <c r="I666">
        <f>ventas_libreria[[#This Row],[precio]]*ventas_libreria[[#This Row],[cantidad]]</f>
        <v>1.48</v>
      </c>
      <c r="J666">
        <v>62</v>
      </c>
      <c r="K666" t="s">
        <v>20</v>
      </c>
      <c r="L666" s="1">
        <v>45915</v>
      </c>
      <c r="M666" t="s">
        <v>43</v>
      </c>
      <c r="N666" t="s">
        <v>32</v>
      </c>
      <c r="O666" t="s">
        <v>33</v>
      </c>
      <c r="P666" t="s">
        <v>24</v>
      </c>
      <c r="Q666">
        <v>5</v>
      </c>
      <c r="R666">
        <f>IF(ventas_libreria[[#This Row],[valoracion_cliente]]="","Sin valoración",ventas_libreria[[#This Row],[valoracion_cliente]])</f>
        <v>5</v>
      </c>
    </row>
    <row r="667" spans="1:18" x14ac:dyDescent="0.25">
      <c r="A667" t="s">
        <v>943</v>
      </c>
      <c r="B667" t="s">
        <v>265</v>
      </c>
      <c r="C667" t="s">
        <v>266</v>
      </c>
      <c r="D667" t="s">
        <v>162</v>
      </c>
      <c r="E667" t="s">
        <v>29</v>
      </c>
      <c r="F667">
        <f>ventas_libreria[[#This Row],[precio_eur]]/100</f>
        <v>1.69</v>
      </c>
      <c r="G667">
        <v>169</v>
      </c>
      <c r="H667">
        <v>2</v>
      </c>
      <c r="I667">
        <f>ventas_libreria[[#This Row],[precio]]*ventas_libreria[[#This Row],[cantidad]]</f>
        <v>3.38</v>
      </c>
      <c r="J667">
        <v>48</v>
      </c>
      <c r="K667" t="s">
        <v>20</v>
      </c>
      <c r="L667" s="1">
        <v>45550</v>
      </c>
      <c r="M667" t="s">
        <v>43</v>
      </c>
      <c r="N667" t="s">
        <v>32</v>
      </c>
      <c r="O667" t="s">
        <v>33</v>
      </c>
      <c r="P667" t="s">
        <v>24</v>
      </c>
      <c r="Q667">
        <v>4</v>
      </c>
      <c r="R667">
        <f>IF(ventas_libreria[[#This Row],[valoracion_cliente]]="","Sin valoración",ventas_libreria[[#This Row],[valoracion_cliente]])</f>
        <v>4</v>
      </c>
    </row>
    <row r="668" spans="1:18" x14ac:dyDescent="0.25">
      <c r="A668" t="s">
        <v>944</v>
      </c>
      <c r="B668" t="s">
        <v>64</v>
      </c>
      <c r="C668" t="s">
        <v>65</v>
      </c>
      <c r="D668" t="s">
        <v>66</v>
      </c>
      <c r="E668" t="s">
        <v>29</v>
      </c>
      <c r="F668">
        <f>ventas_libreria[[#This Row],[precio_eur]]/100</f>
        <v>17.32</v>
      </c>
      <c r="G668">
        <v>1732</v>
      </c>
      <c r="H668">
        <v>1</v>
      </c>
      <c r="I668">
        <f>ventas_libreria[[#This Row],[precio]]*ventas_libreria[[#This Row],[cantidad]]</f>
        <v>17.32</v>
      </c>
      <c r="J668">
        <v>17</v>
      </c>
      <c r="K668" t="s">
        <v>20</v>
      </c>
      <c r="L668" s="1">
        <v>45692</v>
      </c>
      <c r="M668" t="s">
        <v>31</v>
      </c>
      <c r="N668" t="s">
        <v>22</v>
      </c>
      <c r="O668" t="s">
        <v>49</v>
      </c>
      <c r="P668" t="s">
        <v>56</v>
      </c>
      <c r="R668" t="str">
        <f>IF(ventas_libreria[[#This Row],[valoracion_cliente]]="","Sin valoración",ventas_libreria[[#This Row],[valoracion_cliente]])</f>
        <v>Sin valoración</v>
      </c>
    </row>
    <row r="669" spans="1:18" x14ac:dyDescent="0.25">
      <c r="A669" t="s">
        <v>945</v>
      </c>
      <c r="B669" t="s">
        <v>208</v>
      </c>
      <c r="C669" t="s">
        <v>209</v>
      </c>
      <c r="D669" t="s">
        <v>106</v>
      </c>
      <c r="E669" t="s">
        <v>107</v>
      </c>
      <c r="F669">
        <f>ventas_libreria[[#This Row],[precio_eur]]/100</f>
        <v>11.92</v>
      </c>
      <c r="G669">
        <v>1192</v>
      </c>
      <c r="H669">
        <v>1</v>
      </c>
      <c r="I669">
        <f>ventas_libreria[[#This Row],[precio]]*ventas_libreria[[#This Row],[cantidad]]</f>
        <v>11.92</v>
      </c>
      <c r="J669">
        <v>21</v>
      </c>
      <c r="K669" t="s">
        <v>20</v>
      </c>
      <c r="L669" s="1">
        <v>45092</v>
      </c>
      <c r="M669" t="s">
        <v>31</v>
      </c>
      <c r="N669" t="s">
        <v>22</v>
      </c>
      <c r="O669" t="s">
        <v>49</v>
      </c>
      <c r="P669" t="s">
        <v>34</v>
      </c>
      <c r="Q669">
        <v>1</v>
      </c>
      <c r="R669">
        <f>IF(ventas_libreria[[#This Row],[valoracion_cliente]]="","Sin valoración",ventas_libreria[[#This Row],[valoracion_cliente]])</f>
        <v>1</v>
      </c>
    </row>
    <row r="670" spans="1:18" x14ac:dyDescent="0.25">
      <c r="A670" t="s">
        <v>946</v>
      </c>
      <c r="B670" t="s">
        <v>276</v>
      </c>
      <c r="C670" t="s">
        <v>277</v>
      </c>
      <c r="D670" t="s">
        <v>278</v>
      </c>
      <c r="E670" t="s">
        <v>189</v>
      </c>
      <c r="F670">
        <f>ventas_libreria[[#This Row],[precio_eur]]/100</f>
        <v>1.79</v>
      </c>
      <c r="G670">
        <v>179</v>
      </c>
      <c r="H670">
        <v>1</v>
      </c>
      <c r="I670">
        <f>ventas_libreria[[#This Row],[precio]]*ventas_libreria[[#This Row],[cantidad]]</f>
        <v>1.79</v>
      </c>
      <c r="J670">
        <v>30</v>
      </c>
      <c r="K670" t="s">
        <v>38</v>
      </c>
      <c r="L670" s="1">
        <v>45468</v>
      </c>
      <c r="M670" t="s">
        <v>31</v>
      </c>
      <c r="N670" t="s">
        <v>32</v>
      </c>
      <c r="O670" t="s">
        <v>33</v>
      </c>
      <c r="P670" t="s">
        <v>24</v>
      </c>
      <c r="Q670">
        <v>4</v>
      </c>
      <c r="R670">
        <f>IF(ventas_libreria[[#This Row],[valoracion_cliente]]="","Sin valoración",ventas_libreria[[#This Row],[valoracion_cliente]])</f>
        <v>4</v>
      </c>
    </row>
    <row r="671" spans="1:18" x14ac:dyDescent="0.25">
      <c r="A671" t="s">
        <v>947</v>
      </c>
      <c r="B671" t="s">
        <v>398</v>
      </c>
      <c r="C671" t="s">
        <v>399</v>
      </c>
      <c r="D671" t="s">
        <v>167</v>
      </c>
      <c r="E671" t="s">
        <v>61</v>
      </c>
      <c r="F671">
        <f>ventas_libreria[[#This Row],[precio_eur]]/100</f>
        <v>14.36</v>
      </c>
      <c r="G671">
        <v>1436</v>
      </c>
      <c r="H671">
        <v>2</v>
      </c>
      <c r="I671">
        <f>ventas_libreria[[#This Row],[precio]]*ventas_libreria[[#This Row],[cantidad]]</f>
        <v>28.72</v>
      </c>
      <c r="J671">
        <v>52</v>
      </c>
      <c r="K671" t="s">
        <v>38</v>
      </c>
      <c r="L671" s="1">
        <v>45807</v>
      </c>
      <c r="M671" t="s">
        <v>43</v>
      </c>
      <c r="N671" t="s">
        <v>32</v>
      </c>
      <c r="O671" t="s">
        <v>33</v>
      </c>
      <c r="P671" t="s">
        <v>50</v>
      </c>
      <c r="Q671">
        <v>3</v>
      </c>
      <c r="R671">
        <f>IF(ventas_libreria[[#This Row],[valoracion_cliente]]="","Sin valoración",ventas_libreria[[#This Row],[valoracion_cliente]])</f>
        <v>3</v>
      </c>
    </row>
    <row r="672" spans="1:18" x14ac:dyDescent="0.25">
      <c r="A672" t="s">
        <v>948</v>
      </c>
      <c r="B672" t="s">
        <v>541</v>
      </c>
      <c r="C672" t="s">
        <v>542</v>
      </c>
      <c r="D672" t="s">
        <v>131</v>
      </c>
      <c r="E672" t="s">
        <v>107</v>
      </c>
      <c r="F672">
        <f>ventas_libreria[[#This Row],[precio_eur]]/100</f>
        <v>12.72</v>
      </c>
      <c r="G672">
        <v>1272</v>
      </c>
      <c r="H672">
        <v>4</v>
      </c>
      <c r="I672">
        <f>ventas_libreria[[#This Row],[precio]]*ventas_libreria[[#This Row],[cantidad]]</f>
        <v>50.88</v>
      </c>
      <c r="J672">
        <v>22</v>
      </c>
      <c r="K672" t="s">
        <v>62</v>
      </c>
      <c r="L672" s="1">
        <v>45243</v>
      </c>
      <c r="M672" t="s">
        <v>43</v>
      </c>
      <c r="N672" t="s">
        <v>32</v>
      </c>
      <c r="O672" t="s">
        <v>33</v>
      </c>
      <c r="P672" t="s">
        <v>56</v>
      </c>
      <c r="Q672">
        <v>5</v>
      </c>
      <c r="R672">
        <f>IF(ventas_libreria[[#This Row],[valoracion_cliente]]="","Sin valoración",ventas_libreria[[#This Row],[valoracion_cliente]])</f>
        <v>5</v>
      </c>
    </row>
    <row r="673" spans="1:18" x14ac:dyDescent="0.25">
      <c r="A673" t="s">
        <v>949</v>
      </c>
      <c r="B673" t="s">
        <v>40</v>
      </c>
      <c r="C673" t="s">
        <v>41</v>
      </c>
      <c r="D673" t="s">
        <v>42</v>
      </c>
      <c r="E673" t="s">
        <v>19</v>
      </c>
      <c r="F673">
        <f>ventas_libreria[[#This Row],[precio_eur]]/100</f>
        <v>1.29</v>
      </c>
      <c r="G673">
        <v>129</v>
      </c>
      <c r="H673">
        <v>2</v>
      </c>
      <c r="I673">
        <f>ventas_libreria[[#This Row],[precio]]*ventas_libreria[[#This Row],[cantidad]]</f>
        <v>2.58</v>
      </c>
      <c r="J673">
        <v>39</v>
      </c>
      <c r="K673" t="s">
        <v>38</v>
      </c>
      <c r="L673" s="1">
        <v>45619</v>
      </c>
      <c r="M673" t="s">
        <v>43</v>
      </c>
      <c r="N673" t="s">
        <v>32</v>
      </c>
      <c r="O673" t="s">
        <v>33</v>
      </c>
      <c r="P673" t="s">
        <v>84</v>
      </c>
      <c r="Q673">
        <v>5</v>
      </c>
      <c r="R673">
        <f>IF(ventas_libreria[[#This Row],[valoracion_cliente]]="","Sin valoración",ventas_libreria[[#This Row],[valoracion_cliente]])</f>
        <v>5</v>
      </c>
    </row>
    <row r="674" spans="1:18" x14ac:dyDescent="0.25">
      <c r="A674" t="s">
        <v>950</v>
      </c>
      <c r="B674" t="s">
        <v>260</v>
      </c>
      <c r="C674" t="s">
        <v>261</v>
      </c>
      <c r="D674" t="s">
        <v>262</v>
      </c>
      <c r="E674" t="s">
        <v>263</v>
      </c>
      <c r="F674">
        <f>ventas_libreria[[#This Row],[precio_eur]]/100</f>
        <v>24.09</v>
      </c>
      <c r="G674">
        <v>2409</v>
      </c>
      <c r="H674">
        <v>1</v>
      </c>
      <c r="I674">
        <f>ventas_libreria[[#This Row],[precio]]*ventas_libreria[[#This Row],[cantidad]]</f>
        <v>24.09</v>
      </c>
      <c r="J674">
        <v>60</v>
      </c>
      <c r="K674" t="s">
        <v>62</v>
      </c>
      <c r="L674" s="1">
        <v>44969</v>
      </c>
      <c r="M674" t="s">
        <v>21</v>
      </c>
      <c r="N674" t="s">
        <v>22</v>
      </c>
      <c r="O674" t="s">
        <v>132</v>
      </c>
      <c r="P674" t="s">
        <v>34</v>
      </c>
      <c r="Q674">
        <v>5</v>
      </c>
      <c r="R674">
        <f>IF(ventas_libreria[[#This Row],[valoracion_cliente]]="","Sin valoración",ventas_libreria[[#This Row],[valoracion_cliente]])</f>
        <v>5</v>
      </c>
    </row>
    <row r="675" spans="1:18" x14ac:dyDescent="0.25">
      <c r="A675" t="s">
        <v>951</v>
      </c>
      <c r="B675" t="s">
        <v>301</v>
      </c>
      <c r="C675" t="s">
        <v>302</v>
      </c>
      <c r="D675" t="s">
        <v>245</v>
      </c>
      <c r="E675" t="s">
        <v>48</v>
      </c>
      <c r="F675">
        <f>ventas_libreria[[#This Row],[precio_eur]]/100</f>
        <v>2.4900000000000002</v>
      </c>
      <c r="G675">
        <v>249</v>
      </c>
      <c r="H675">
        <v>1</v>
      </c>
      <c r="I675">
        <f>ventas_libreria[[#This Row],[precio]]*ventas_libreria[[#This Row],[cantidad]]</f>
        <v>2.4900000000000002</v>
      </c>
      <c r="J675">
        <v>61</v>
      </c>
      <c r="K675" t="s">
        <v>20</v>
      </c>
      <c r="L675" s="1">
        <v>45008</v>
      </c>
      <c r="M675" t="s">
        <v>31</v>
      </c>
      <c r="N675" t="s">
        <v>32</v>
      </c>
      <c r="O675" t="s">
        <v>33</v>
      </c>
      <c r="P675" t="s">
        <v>50</v>
      </c>
      <c r="R675" t="str">
        <f>IF(ventas_libreria[[#This Row],[valoracion_cliente]]="","Sin valoración",ventas_libreria[[#This Row],[valoracion_cliente]])</f>
        <v>Sin valoración</v>
      </c>
    </row>
    <row r="676" spans="1:18" x14ac:dyDescent="0.25">
      <c r="A676" t="s">
        <v>952</v>
      </c>
      <c r="B676" t="s">
        <v>541</v>
      </c>
      <c r="C676" t="s">
        <v>542</v>
      </c>
      <c r="D676" t="s">
        <v>131</v>
      </c>
      <c r="E676" t="s">
        <v>107</v>
      </c>
      <c r="F676">
        <f>ventas_libreria[[#This Row],[precio_eur]]/100</f>
        <v>12.72</v>
      </c>
      <c r="G676">
        <v>1272</v>
      </c>
      <c r="H676">
        <v>2</v>
      </c>
      <c r="I676">
        <f>ventas_libreria[[#This Row],[precio]]*ventas_libreria[[#This Row],[cantidad]]</f>
        <v>25.44</v>
      </c>
      <c r="J676">
        <v>15</v>
      </c>
      <c r="K676" t="s">
        <v>20</v>
      </c>
      <c r="L676" s="1">
        <v>45146</v>
      </c>
      <c r="M676" t="s">
        <v>21</v>
      </c>
      <c r="N676" t="s">
        <v>32</v>
      </c>
      <c r="O676" t="s">
        <v>33</v>
      </c>
      <c r="P676" t="s">
        <v>84</v>
      </c>
      <c r="Q676">
        <v>5</v>
      </c>
      <c r="R676">
        <f>IF(ventas_libreria[[#This Row],[valoracion_cliente]]="","Sin valoración",ventas_libreria[[#This Row],[valoracion_cliente]])</f>
        <v>5</v>
      </c>
    </row>
    <row r="677" spans="1:18" x14ac:dyDescent="0.25">
      <c r="A677" t="s">
        <v>953</v>
      </c>
      <c r="B677" t="s">
        <v>45</v>
      </c>
      <c r="C677" t="s">
        <v>46</v>
      </c>
      <c r="D677" t="s">
        <v>47</v>
      </c>
      <c r="E677" t="s">
        <v>48</v>
      </c>
      <c r="F677">
        <f>ventas_libreria[[#This Row],[precio_eur]]/100</f>
        <v>15.92</v>
      </c>
      <c r="G677">
        <v>1592</v>
      </c>
      <c r="H677">
        <v>1</v>
      </c>
      <c r="I677">
        <f>ventas_libreria[[#This Row],[precio]]*ventas_libreria[[#This Row],[cantidad]]</f>
        <v>15.92</v>
      </c>
      <c r="J677">
        <v>60</v>
      </c>
      <c r="K677" t="s">
        <v>38</v>
      </c>
      <c r="L677" s="1">
        <v>44951</v>
      </c>
      <c r="M677" t="s">
        <v>43</v>
      </c>
      <c r="N677" t="s">
        <v>32</v>
      </c>
      <c r="O677" t="s">
        <v>33</v>
      </c>
      <c r="P677" t="s">
        <v>24</v>
      </c>
      <c r="Q677">
        <v>5</v>
      </c>
      <c r="R677">
        <f>IF(ventas_libreria[[#This Row],[valoracion_cliente]]="","Sin valoración",ventas_libreria[[#This Row],[valoracion_cliente]])</f>
        <v>5</v>
      </c>
    </row>
    <row r="678" spans="1:18" x14ac:dyDescent="0.25">
      <c r="A678" t="s">
        <v>954</v>
      </c>
      <c r="B678" t="s">
        <v>208</v>
      </c>
      <c r="C678" t="s">
        <v>209</v>
      </c>
      <c r="D678" t="s">
        <v>106</v>
      </c>
      <c r="E678" t="s">
        <v>107</v>
      </c>
      <c r="F678">
        <f>ventas_libreria[[#This Row],[precio_eur]]/100</f>
        <v>15.65</v>
      </c>
      <c r="G678">
        <v>1565</v>
      </c>
      <c r="H678">
        <v>1</v>
      </c>
      <c r="I678">
        <f>ventas_libreria[[#This Row],[precio]]*ventas_libreria[[#This Row],[cantidad]]</f>
        <v>15.65</v>
      </c>
      <c r="J678">
        <v>10</v>
      </c>
      <c r="K678" t="s">
        <v>30</v>
      </c>
      <c r="L678" s="1">
        <v>45507</v>
      </c>
      <c r="M678" t="s">
        <v>21</v>
      </c>
      <c r="N678" t="s">
        <v>22</v>
      </c>
      <c r="O678" t="s">
        <v>132</v>
      </c>
      <c r="P678" t="s">
        <v>24</v>
      </c>
      <c r="Q678">
        <v>4</v>
      </c>
      <c r="R678">
        <f>IF(ventas_libreria[[#This Row],[valoracion_cliente]]="","Sin valoración",ventas_libreria[[#This Row],[valoracion_cliente]])</f>
        <v>4</v>
      </c>
    </row>
    <row r="679" spans="1:18" x14ac:dyDescent="0.25">
      <c r="A679" t="s">
        <v>955</v>
      </c>
      <c r="B679" t="s">
        <v>104</v>
      </c>
      <c r="C679" t="s">
        <v>105</v>
      </c>
      <c r="D679" t="s">
        <v>106</v>
      </c>
      <c r="E679" t="s">
        <v>107</v>
      </c>
      <c r="F679">
        <f>ventas_libreria[[#This Row],[precio_eur]]/100</f>
        <v>1.49</v>
      </c>
      <c r="G679">
        <v>149</v>
      </c>
      <c r="H679">
        <v>1</v>
      </c>
      <c r="I679">
        <f>ventas_libreria[[#This Row],[precio]]*ventas_libreria[[#This Row],[cantidad]]</f>
        <v>1.49</v>
      </c>
      <c r="J679">
        <v>19</v>
      </c>
      <c r="K679" t="s">
        <v>38</v>
      </c>
      <c r="L679" s="1">
        <v>46013</v>
      </c>
      <c r="M679" t="s">
        <v>21</v>
      </c>
      <c r="N679" t="s">
        <v>22</v>
      </c>
      <c r="O679" t="s">
        <v>49</v>
      </c>
      <c r="P679" t="s">
        <v>34</v>
      </c>
      <c r="Q679">
        <v>5</v>
      </c>
      <c r="R679">
        <f>IF(ventas_libreria[[#This Row],[valoracion_cliente]]="","Sin valoración",ventas_libreria[[#This Row],[valoracion_cliente]])</f>
        <v>5</v>
      </c>
    </row>
    <row r="680" spans="1:18" x14ac:dyDescent="0.25">
      <c r="A680" t="s">
        <v>956</v>
      </c>
      <c r="B680" t="s">
        <v>74</v>
      </c>
      <c r="C680" t="s">
        <v>75</v>
      </c>
      <c r="D680" t="s">
        <v>76</v>
      </c>
      <c r="E680" t="s">
        <v>77</v>
      </c>
      <c r="F680">
        <f>ventas_libreria[[#This Row],[precio_eur]]/100</f>
        <v>13.52</v>
      </c>
      <c r="G680">
        <v>1352</v>
      </c>
      <c r="H680">
        <v>1</v>
      </c>
      <c r="I680">
        <f>ventas_libreria[[#This Row],[precio]]*ventas_libreria[[#This Row],[cantidad]]</f>
        <v>13.52</v>
      </c>
      <c r="J680">
        <v>11</v>
      </c>
      <c r="K680" t="s">
        <v>62</v>
      </c>
      <c r="L680" s="1">
        <v>45821</v>
      </c>
      <c r="M680" t="s">
        <v>43</v>
      </c>
      <c r="N680" t="s">
        <v>32</v>
      </c>
      <c r="O680" t="s">
        <v>33</v>
      </c>
      <c r="P680" t="s">
        <v>84</v>
      </c>
      <c r="Q680">
        <v>4</v>
      </c>
      <c r="R680">
        <f>IF(ventas_libreria[[#This Row],[valoracion_cliente]]="","Sin valoración",ventas_libreria[[#This Row],[valoracion_cliente]])</f>
        <v>4</v>
      </c>
    </row>
    <row r="681" spans="1:18" x14ac:dyDescent="0.25">
      <c r="A681" t="s">
        <v>957</v>
      </c>
      <c r="B681" t="s">
        <v>549</v>
      </c>
      <c r="C681" t="s">
        <v>550</v>
      </c>
      <c r="D681" t="s">
        <v>162</v>
      </c>
      <c r="E681" t="s">
        <v>29</v>
      </c>
      <c r="F681">
        <f>ventas_libreria[[#This Row],[precio_eur]]/100</f>
        <v>21.89</v>
      </c>
      <c r="G681">
        <v>2189</v>
      </c>
      <c r="H681">
        <v>1</v>
      </c>
      <c r="I681">
        <f>ventas_libreria[[#This Row],[precio]]*ventas_libreria[[#This Row],[cantidad]]</f>
        <v>21.89</v>
      </c>
      <c r="J681">
        <v>63</v>
      </c>
      <c r="K681" t="s">
        <v>20</v>
      </c>
      <c r="L681" s="1">
        <v>45704</v>
      </c>
      <c r="M681" t="s">
        <v>43</v>
      </c>
      <c r="N681" t="s">
        <v>32</v>
      </c>
      <c r="O681" t="s">
        <v>33</v>
      </c>
      <c r="P681" t="s">
        <v>34</v>
      </c>
      <c r="Q681">
        <v>5</v>
      </c>
      <c r="R681">
        <f>IF(ventas_libreria[[#This Row],[valoracion_cliente]]="","Sin valoración",ventas_libreria[[#This Row],[valoracion_cliente]])</f>
        <v>5</v>
      </c>
    </row>
    <row r="682" spans="1:18" x14ac:dyDescent="0.25">
      <c r="A682" t="s">
        <v>958</v>
      </c>
      <c r="B682" t="s">
        <v>530</v>
      </c>
      <c r="C682" t="s">
        <v>531</v>
      </c>
      <c r="D682" t="s">
        <v>195</v>
      </c>
      <c r="E682" t="s">
        <v>48</v>
      </c>
      <c r="F682">
        <f>ventas_libreria[[#This Row],[precio_eur]]/100</f>
        <v>1.99</v>
      </c>
      <c r="G682">
        <v>199</v>
      </c>
      <c r="H682">
        <v>3</v>
      </c>
      <c r="I682">
        <f>ventas_libreria[[#This Row],[precio]]*ventas_libreria[[#This Row],[cantidad]]</f>
        <v>5.97</v>
      </c>
      <c r="J682">
        <v>72</v>
      </c>
      <c r="K682" t="s">
        <v>62</v>
      </c>
      <c r="L682" s="1">
        <v>45587</v>
      </c>
      <c r="M682" t="s">
        <v>31</v>
      </c>
      <c r="N682" t="s">
        <v>32</v>
      </c>
      <c r="O682" t="s">
        <v>33</v>
      </c>
      <c r="P682" t="s">
        <v>56</v>
      </c>
      <c r="Q682">
        <v>5</v>
      </c>
      <c r="R682">
        <f>IF(ventas_libreria[[#This Row],[valoracion_cliente]]="","Sin valoración",ventas_libreria[[#This Row],[valoracion_cliente]])</f>
        <v>5</v>
      </c>
    </row>
    <row r="683" spans="1:18" x14ac:dyDescent="0.25">
      <c r="A683" t="s">
        <v>959</v>
      </c>
      <c r="B683" t="s">
        <v>69</v>
      </c>
      <c r="C683" t="s">
        <v>70</v>
      </c>
      <c r="D683" t="s">
        <v>71</v>
      </c>
      <c r="E683" t="s">
        <v>72</v>
      </c>
      <c r="F683">
        <f>ventas_libreria[[#This Row],[precio_eur]]/100</f>
        <v>13.52</v>
      </c>
      <c r="G683">
        <v>1352</v>
      </c>
      <c r="H683">
        <v>2</v>
      </c>
      <c r="I683">
        <f>ventas_libreria[[#This Row],[precio]]*ventas_libreria[[#This Row],[cantidad]]</f>
        <v>27.04</v>
      </c>
      <c r="J683">
        <v>31</v>
      </c>
      <c r="K683" t="s">
        <v>62</v>
      </c>
      <c r="L683" s="1">
        <v>45094</v>
      </c>
      <c r="M683" t="s">
        <v>31</v>
      </c>
      <c r="N683" t="s">
        <v>32</v>
      </c>
      <c r="O683" t="s">
        <v>33</v>
      </c>
      <c r="P683" t="s">
        <v>24</v>
      </c>
      <c r="Q683">
        <v>5</v>
      </c>
      <c r="R683">
        <f>IF(ventas_libreria[[#This Row],[valoracion_cliente]]="","Sin valoración",ventas_libreria[[#This Row],[valoracion_cliente]])</f>
        <v>5</v>
      </c>
    </row>
    <row r="684" spans="1:18" x14ac:dyDescent="0.25">
      <c r="A684" t="s">
        <v>960</v>
      </c>
      <c r="B684" t="s">
        <v>95</v>
      </c>
      <c r="C684" t="s">
        <v>96</v>
      </c>
      <c r="D684" t="s">
        <v>97</v>
      </c>
      <c r="E684" t="s">
        <v>29</v>
      </c>
      <c r="F684">
        <f>ventas_libreria[[#This Row],[precio_eur]]/100</f>
        <v>1.79</v>
      </c>
      <c r="G684">
        <v>179</v>
      </c>
      <c r="H684">
        <v>1</v>
      </c>
      <c r="I684">
        <f>ventas_libreria[[#This Row],[precio]]*ventas_libreria[[#This Row],[cantidad]]</f>
        <v>1.79</v>
      </c>
      <c r="J684">
        <v>18</v>
      </c>
      <c r="K684" t="s">
        <v>30</v>
      </c>
      <c r="L684" s="1">
        <v>45721</v>
      </c>
      <c r="M684" t="s">
        <v>21</v>
      </c>
      <c r="N684" t="s">
        <v>32</v>
      </c>
      <c r="O684" t="s">
        <v>33</v>
      </c>
      <c r="P684" t="s">
        <v>50</v>
      </c>
      <c r="Q684">
        <v>5</v>
      </c>
      <c r="R684">
        <f>IF(ventas_libreria[[#This Row],[valoracion_cliente]]="","Sin valoración",ventas_libreria[[#This Row],[valoracion_cliente]])</f>
        <v>5</v>
      </c>
    </row>
    <row r="685" spans="1:18" x14ac:dyDescent="0.25">
      <c r="A685" t="s">
        <v>961</v>
      </c>
      <c r="B685" t="s">
        <v>36</v>
      </c>
      <c r="C685" t="s">
        <v>37</v>
      </c>
      <c r="D685" t="s">
        <v>28</v>
      </c>
      <c r="E685" t="s">
        <v>29</v>
      </c>
      <c r="F685">
        <f>ventas_libreria[[#This Row],[precio_eur]]/100</f>
        <v>15.12</v>
      </c>
      <c r="G685">
        <v>1512</v>
      </c>
      <c r="H685">
        <v>1</v>
      </c>
      <c r="I685">
        <f>ventas_libreria[[#This Row],[precio]]*ventas_libreria[[#This Row],[cantidad]]</f>
        <v>15.12</v>
      </c>
      <c r="J685">
        <v>71</v>
      </c>
      <c r="K685" t="s">
        <v>38</v>
      </c>
      <c r="L685" s="1">
        <v>44948</v>
      </c>
      <c r="M685" t="s">
        <v>21</v>
      </c>
      <c r="N685" t="s">
        <v>32</v>
      </c>
      <c r="O685" t="s">
        <v>33</v>
      </c>
      <c r="P685" t="s">
        <v>24</v>
      </c>
      <c r="Q685">
        <v>3</v>
      </c>
      <c r="R685">
        <f>IF(ventas_libreria[[#This Row],[valoracion_cliente]]="","Sin valoración",ventas_libreria[[#This Row],[valoracion_cliente]])</f>
        <v>3</v>
      </c>
    </row>
    <row r="686" spans="1:18" x14ac:dyDescent="0.25">
      <c r="A686" t="s">
        <v>962</v>
      </c>
      <c r="B686" t="s">
        <v>69</v>
      </c>
      <c r="C686" t="s">
        <v>70</v>
      </c>
      <c r="D686" t="s">
        <v>71</v>
      </c>
      <c r="E686" t="s">
        <v>72</v>
      </c>
      <c r="F686">
        <f>ventas_libreria[[#This Row],[precio_eur]]/100</f>
        <v>13.52</v>
      </c>
      <c r="G686">
        <v>1352</v>
      </c>
      <c r="H686">
        <v>1</v>
      </c>
      <c r="I686">
        <f>ventas_libreria[[#This Row],[precio]]*ventas_libreria[[#This Row],[cantidad]]</f>
        <v>13.52</v>
      </c>
      <c r="J686">
        <v>66</v>
      </c>
      <c r="K686" t="s">
        <v>30</v>
      </c>
      <c r="L686" s="1">
        <v>45675</v>
      </c>
      <c r="M686" t="s">
        <v>43</v>
      </c>
      <c r="N686" t="s">
        <v>32</v>
      </c>
      <c r="O686" t="s">
        <v>33</v>
      </c>
      <c r="P686" t="s">
        <v>84</v>
      </c>
      <c r="Q686">
        <v>2</v>
      </c>
      <c r="R686">
        <f>IF(ventas_libreria[[#This Row],[valoracion_cliente]]="","Sin valoración",ventas_libreria[[#This Row],[valoracion_cliente]])</f>
        <v>2</v>
      </c>
    </row>
    <row r="687" spans="1:18" x14ac:dyDescent="0.25">
      <c r="A687" t="s">
        <v>963</v>
      </c>
      <c r="B687" t="s">
        <v>141</v>
      </c>
      <c r="C687" t="s">
        <v>142</v>
      </c>
      <c r="D687" t="s">
        <v>143</v>
      </c>
      <c r="E687" t="s">
        <v>116</v>
      </c>
      <c r="F687">
        <f>ventas_libreria[[#This Row],[precio_eur]]/100</f>
        <v>1.49</v>
      </c>
      <c r="G687">
        <v>149</v>
      </c>
      <c r="H687">
        <v>1</v>
      </c>
      <c r="I687">
        <f>ventas_libreria[[#This Row],[precio]]*ventas_libreria[[#This Row],[cantidad]]</f>
        <v>1.49</v>
      </c>
      <c r="J687">
        <v>57</v>
      </c>
      <c r="K687" t="s">
        <v>30</v>
      </c>
      <c r="L687" s="1">
        <v>45503</v>
      </c>
      <c r="M687" t="s">
        <v>43</v>
      </c>
      <c r="N687" t="s">
        <v>32</v>
      </c>
      <c r="O687" t="s">
        <v>33</v>
      </c>
      <c r="P687" t="s">
        <v>24</v>
      </c>
      <c r="R687" t="str">
        <f>IF(ventas_libreria[[#This Row],[valoracion_cliente]]="","Sin valoración",ventas_libreria[[#This Row],[valoracion_cliente]])</f>
        <v>Sin valoración</v>
      </c>
    </row>
    <row r="688" spans="1:18" x14ac:dyDescent="0.25">
      <c r="A688" t="s">
        <v>964</v>
      </c>
      <c r="B688" t="s">
        <v>276</v>
      </c>
      <c r="C688" t="s">
        <v>277</v>
      </c>
      <c r="D688" t="s">
        <v>278</v>
      </c>
      <c r="E688" t="s">
        <v>189</v>
      </c>
      <c r="F688">
        <f>ventas_libreria[[#This Row],[precio_eur]]/100</f>
        <v>1.79</v>
      </c>
      <c r="G688">
        <v>179</v>
      </c>
      <c r="H688">
        <v>1</v>
      </c>
      <c r="I688">
        <f>ventas_libreria[[#This Row],[precio]]*ventas_libreria[[#This Row],[cantidad]]</f>
        <v>1.79</v>
      </c>
      <c r="J688">
        <v>52</v>
      </c>
      <c r="K688" t="s">
        <v>62</v>
      </c>
      <c r="L688" s="1">
        <v>45818</v>
      </c>
      <c r="M688" t="s">
        <v>31</v>
      </c>
      <c r="N688" t="s">
        <v>32</v>
      </c>
      <c r="O688" t="s">
        <v>33</v>
      </c>
      <c r="P688" t="s">
        <v>56</v>
      </c>
      <c r="Q688">
        <v>4</v>
      </c>
      <c r="R688">
        <f>IF(ventas_libreria[[#This Row],[valoracion_cliente]]="","Sin valoración",ventas_libreria[[#This Row],[valoracion_cliente]])</f>
        <v>4</v>
      </c>
    </row>
    <row r="689" spans="1:18" x14ac:dyDescent="0.25">
      <c r="A689" t="s">
        <v>965</v>
      </c>
      <c r="B689" t="s">
        <v>228</v>
      </c>
      <c r="C689" t="s">
        <v>229</v>
      </c>
      <c r="D689" t="s">
        <v>206</v>
      </c>
      <c r="E689" t="s">
        <v>116</v>
      </c>
      <c r="F689">
        <f>ventas_libreria[[#This Row],[precio_eur]]/100</f>
        <v>1.89</v>
      </c>
      <c r="G689">
        <v>189</v>
      </c>
      <c r="H689">
        <v>1</v>
      </c>
      <c r="I689">
        <f>ventas_libreria[[#This Row],[precio]]*ventas_libreria[[#This Row],[cantidad]]</f>
        <v>1.89</v>
      </c>
      <c r="J689">
        <v>68</v>
      </c>
      <c r="K689" t="s">
        <v>62</v>
      </c>
      <c r="L689" s="1">
        <v>45311</v>
      </c>
      <c r="M689" t="s">
        <v>21</v>
      </c>
      <c r="N689" t="s">
        <v>32</v>
      </c>
      <c r="O689" t="s">
        <v>33</v>
      </c>
      <c r="P689" t="s">
        <v>56</v>
      </c>
      <c r="Q689">
        <v>5</v>
      </c>
      <c r="R689">
        <f>IF(ventas_libreria[[#This Row],[valoracion_cliente]]="","Sin valoración",ventas_libreria[[#This Row],[valoracion_cliente]])</f>
        <v>5</v>
      </c>
    </row>
    <row r="690" spans="1:18" x14ac:dyDescent="0.25">
      <c r="A690" t="s">
        <v>966</v>
      </c>
      <c r="B690" t="s">
        <v>398</v>
      </c>
      <c r="C690" t="s">
        <v>399</v>
      </c>
      <c r="D690" t="s">
        <v>167</v>
      </c>
      <c r="E690" t="s">
        <v>61</v>
      </c>
      <c r="F690">
        <f>ventas_libreria[[#This Row],[precio_eur]]/100</f>
        <v>15.21</v>
      </c>
      <c r="G690">
        <v>1521</v>
      </c>
      <c r="H690">
        <v>1</v>
      </c>
      <c r="I690">
        <f>ventas_libreria[[#This Row],[precio]]*ventas_libreria[[#This Row],[cantidad]]</f>
        <v>15.21</v>
      </c>
      <c r="J690">
        <v>40</v>
      </c>
      <c r="K690" t="s">
        <v>20</v>
      </c>
      <c r="L690" s="1">
        <v>45702</v>
      </c>
      <c r="M690" t="s">
        <v>31</v>
      </c>
      <c r="N690" t="s">
        <v>22</v>
      </c>
      <c r="O690" t="s">
        <v>23</v>
      </c>
      <c r="P690" t="s">
        <v>50</v>
      </c>
      <c r="R690" t="str">
        <f>IF(ventas_libreria[[#This Row],[valoracion_cliente]]="","Sin valoración",ventas_libreria[[#This Row],[valoracion_cliente]])</f>
        <v>Sin valoración</v>
      </c>
    </row>
    <row r="691" spans="1:18" x14ac:dyDescent="0.25">
      <c r="A691" t="s">
        <v>967</v>
      </c>
      <c r="B691" t="s">
        <v>215</v>
      </c>
      <c r="C691" t="s">
        <v>216</v>
      </c>
      <c r="D691" t="s">
        <v>217</v>
      </c>
      <c r="E691" t="s">
        <v>55</v>
      </c>
      <c r="F691">
        <f>ventas_libreria[[#This Row],[precio_eur]]/100</f>
        <v>1.85</v>
      </c>
      <c r="G691">
        <v>185</v>
      </c>
      <c r="H691">
        <v>1</v>
      </c>
      <c r="I691">
        <f>ventas_libreria[[#This Row],[precio]]*ventas_libreria[[#This Row],[cantidad]]</f>
        <v>1.85</v>
      </c>
      <c r="J691">
        <v>21</v>
      </c>
      <c r="K691" t="s">
        <v>20</v>
      </c>
      <c r="L691" s="1">
        <v>45345</v>
      </c>
      <c r="M691" t="s">
        <v>21</v>
      </c>
      <c r="N691" t="s">
        <v>32</v>
      </c>
      <c r="O691" t="s">
        <v>33</v>
      </c>
      <c r="P691" t="s">
        <v>50</v>
      </c>
      <c r="Q691">
        <v>5</v>
      </c>
      <c r="R691">
        <f>IF(ventas_libreria[[#This Row],[valoracion_cliente]]="","Sin valoración",ventas_libreria[[#This Row],[valoracion_cliente]])</f>
        <v>5</v>
      </c>
    </row>
    <row r="692" spans="1:18" x14ac:dyDescent="0.25">
      <c r="A692" t="s">
        <v>968</v>
      </c>
      <c r="B692" t="s">
        <v>197</v>
      </c>
      <c r="C692" t="s">
        <v>198</v>
      </c>
      <c r="D692" t="s">
        <v>199</v>
      </c>
      <c r="E692" t="s">
        <v>55</v>
      </c>
      <c r="F692">
        <f>ventas_libreria[[#This Row],[precio_eur]]/100</f>
        <v>1.75</v>
      </c>
      <c r="G692">
        <v>175</v>
      </c>
      <c r="H692">
        <v>2</v>
      </c>
      <c r="I692">
        <f>ventas_libreria[[#This Row],[precio]]*ventas_libreria[[#This Row],[cantidad]]</f>
        <v>3.5</v>
      </c>
      <c r="J692">
        <v>45</v>
      </c>
      <c r="K692" t="s">
        <v>30</v>
      </c>
      <c r="L692" s="1">
        <v>45322</v>
      </c>
      <c r="M692" t="s">
        <v>31</v>
      </c>
      <c r="N692" t="s">
        <v>32</v>
      </c>
      <c r="O692" t="s">
        <v>33</v>
      </c>
      <c r="P692" t="s">
        <v>24</v>
      </c>
      <c r="Q692">
        <v>5</v>
      </c>
      <c r="R692">
        <f>IF(ventas_libreria[[#This Row],[valoracion_cliente]]="","Sin valoración",ventas_libreria[[#This Row],[valoracion_cliente]])</f>
        <v>5</v>
      </c>
    </row>
    <row r="693" spans="1:18" x14ac:dyDescent="0.25">
      <c r="A693" t="s">
        <v>969</v>
      </c>
      <c r="B693" t="s">
        <v>384</v>
      </c>
      <c r="C693" t="s">
        <v>385</v>
      </c>
      <c r="D693" t="s">
        <v>158</v>
      </c>
      <c r="E693" t="s">
        <v>149</v>
      </c>
      <c r="F693">
        <f>ventas_libreria[[#This Row],[precio_eur]]/100</f>
        <v>17.52</v>
      </c>
      <c r="G693">
        <v>1752</v>
      </c>
      <c r="H693">
        <v>2</v>
      </c>
      <c r="I693">
        <f>ventas_libreria[[#This Row],[precio]]*ventas_libreria[[#This Row],[cantidad]]</f>
        <v>35.04</v>
      </c>
      <c r="J693">
        <v>61</v>
      </c>
      <c r="K693" t="s">
        <v>20</v>
      </c>
      <c r="L693" s="1">
        <v>45501</v>
      </c>
      <c r="M693" t="s">
        <v>31</v>
      </c>
      <c r="N693" t="s">
        <v>22</v>
      </c>
      <c r="O693" t="s">
        <v>23</v>
      </c>
      <c r="P693" t="s">
        <v>56</v>
      </c>
      <c r="Q693">
        <v>5</v>
      </c>
      <c r="R693">
        <f>IF(ventas_libreria[[#This Row],[valoracion_cliente]]="","Sin valoración",ventas_libreria[[#This Row],[valoracion_cliente]])</f>
        <v>5</v>
      </c>
    </row>
    <row r="694" spans="1:18" x14ac:dyDescent="0.25">
      <c r="A694" t="s">
        <v>970</v>
      </c>
      <c r="B694" t="s">
        <v>406</v>
      </c>
      <c r="C694" t="s">
        <v>407</v>
      </c>
      <c r="D694" t="s">
        <v>88</v>
      </c>
      <c r="E694" t="s">
        <v>77</v>
      </c>
      <c r="F694">
        <f>ventas_libreria[[#This Row],[precio_eur]]/100</f>
        <v>1.19</v>
      </c>
      <c r="G694">
        <v>119</v>
      </c>
      <c r="H694">
        <v>1</v>
      </c>
      <c r="I694">
        <f>ventas_libreria[[#This Row],[precio]]*ventas_libreria[[#This Row],[cantidad]]</f>
        <v>1.19</v>
      </c>
      <c r="J694">
        <v>6</v>
      </c>
      <c r="K694" t="s">
        <v>20</v>
      </c>
      <c r="L694" s="1">
        <v>45360</v>
      </c>
      <c r="M694" t="s">
        <v>21</v>
      </c>
      <c r="N694" t="s">
        <v>32</v>
      </c>
      <c r="O694" t="s">
        <v>33</v>
      </c>
      <c r="P694" t="s">
        <v>50</v>
      </c>
      <c r="Q694">
        <v>5</v>
      </c>
      <c r="R694">
        <f>IF(ventas_libreria[[#This Row],[valoracion_cliente]]="","Sin valoración",ventas_libreria[[#This Row],[valoracion_cliente]])</f>
        <v>5</v>
      </c>
    </row>
    <row r="695" spans="1:18" x14ac:dyDescent="0.25">
      <c r="A695" t="s">
        <v>971</v>
      </c>
      <c r="B695" t="s">
        <v>197</v>
      </c>
      <c r="C695" t="s">
        <v>198</v>
      </c>
      <c r="D695" t="s">
        <v>199</v>
      </c>
      <c r="E695" t="s">
        <v>55</v>
      </c>
      <c r="F695">
        <f>ventas_libreria[[#This Row],[precio_eur]]/100</f>
        <v>1.75</v>
      </c>
      <c r="G695">
        <v>175</v>
      </c>
      <c r="H695">
        <v>4</v>
      </c>
      <c r="I695">
        <f>ventas_libreria[[#This Row],[precio]]*ventas_libreria[[#This Row],[cantidad]]</f>
        <v>7</v>
      </c>
      <c r="J695">
        <v>58</v>
      </c>
      <c r="K695" t="s">
        <v>38</v>
      </c>
      <c r="L695" s="1">
        <v>45167</v>
      </c>
      <c r="M695" t="s">
        <v>43</v>
      </c>
      <c r="N695" t="s">
        <v>32</v>
      </c>
      <c r="O695" t="s">
        <v>33</v>
      </c>
      <c r="P695" t="s">
        <v>50</v>
      </c>
      <c r="Q695">
        <v>5</v>
      </c>
      <c r="R695">
        <f>IF(ventas_libreria[[#This Row],[valoracion_cliente]]="","Sin valoración",ventas_libreria[[#This Row],[valoracion_cliente]])</f>
        <v>5</v>
      </c>
    </row>
    <row r="696" spans="1:18" x14ac:dyDescent="0.25">
      <c r="A696" t="s">
        <v>972</v>
      </c>
      <c r="B696" t="s">
        <v>541</v>
      </c>
      <c r="C696" t="s">
        <v>542</v>
      </c>
      <c r="D696" t="s">
        <v>131</v>
      </c>
      <c r="E696" t="s">
        <v>107</v>
      </c>
      <c r="F696">
        <f>ventas_libreria[[#This Row],[precio_eur]]/100</f>
        <v>1.59</v>
      </c>
      <c r="G696">
        <v>159</v>
      </c>
      <c r="H696">
        <v>2</v>
      </c>
      <c r="I696">
        <f>ventas_libreria[[#This Row],[precio]]*ventas_libreria[[#This Row],[cantidad]]</f>
        <v>3.18</v>
      </c>
      <c r="J696">
        <v>20</v>
      </c>
      <c r="K696" t="s">
        <v>38</v>
      </c>
      <c r="L696" s="1">
        <v>45011</v>
      </c>
      <c r="M696" t="s">
        <v>31</v>
      </c>
      <c r="N696" t="s">
        <v>22</v>
      </c>
      <c r="O696" t="s">
        <v>49</v>
      </c>
      <c r="P696" t="s">
        <v>56</v>
      </c>
      <c r="R696" t="str">
        <f>IF(ventas_libreria[[#This Row],[valoracion_cliente]]="","Sin valoración",ventas_libreria[[#This Row],[valoracion_cliente]])</f>
        <v>Sin valoración</v>
      </c>
    </row>
    <row r="697" spans="1:18" x14ac:dyDescent="0.25">
      <c r="A697" t="s">
        <v>973</v>
      </c>
      <c r="B697" t="s">
        <v>156</v>
      </c>
      <c r="C697" t="s">
        <v>157</v>
      </c>
      <c r="D697" t="s">
        <v>158</v>
      </c>
      <c r="E697" t="s">
        <v>149</v>
      </c>
      <c r="F697">
        <f>ventas_libreria[[#This Row],[precio_eur]]/100</f>
        <v>17.010000000000002</v>
      </c>
      <c r="G697">
        <v>1701</v>
      </c>
      <c r="H697">
        <v>1</v>
      </c>
      <c r="I697">
        <f>ventas_libreria[[#This Row],[precio]]*ventas_libreria[[#This Row],[cantidad]]</f>
        <v>17.010000000000002</v>
      </c>
      <c r="J697">
        <v>23</v>
      </c>
      <c r="K697" t="s">
        <v>20</v>
      </c>
      <c r="L697" s="1">
        <v>45816</v>
      </c>
      <c r="M697" t="s">
        <v>31</v>
      </c>
      <c r="N697" t="s">
        <v>32</v>
      </c>
      <c r="O697" t="s">
        <v>33</v>
      </c>
      <c r="P697" t="s">
        <v>34</v>
      </c>
      <c r="Q697">
        <v>4</v>
      </c>
      <c r="R697">
        <f>IF(ventas_libreria[[#This Row],[valoracion_cliente]]="","Sin valoración",ventas_libreria[[#This Row],[valoracion_cliente]])</f>
        <v>4</v>
      </c>
    </row>
    <row r="698" spans="1:18" x14ac:dyDescent="0.25">
      <c r="A698" t="s">
        <v>974</v>
      </c>
      <c r="B698" t="s">
        <v>36</v>
      </c>
      <c r="C698" t="s">
        <v>37</v>
      </c>
      <c r="D698" t="s">
        <v>28</v>
      </c>
      <c r="E698" t="s">
        <v>29</v>
      </c>
      <c r="F698">
        <f>ventas_libreria[[#This Row],[precio_eur]]/100</f>
        <v>19.84</v>
      </c>
      <c r="G698">
        <v>1984</v>
      </c>
      <c r="H698">
        <v>1</v>
      </c>
      <c r="I698">
        <f>ventas_libreria[[#This Row],[precio]]*ventas_libreria[[#This Row],[cantidad]]</f>
        <v>19.84</v>
      </c>
      <c r="J698">
        <v>45</v>
      </c>
      <c r="K698" t="s">
        <v>38</v>
      </c>
      <c r="L698" s="1">
        <v>46021</v>
      </c>
      <c r="M698" t="s">
        <v>43</v>
      </c>
      <c r="N698" t="s">
        <v>32</v>
      </c>
      <c r="O698" t="s">
        <v>33</v>
      </c>
      <c r="P698" t="s">
        <v>50</v>
      </c>
      <c r="Q698">
        <v>5</v>
      </c>
      <c r="R698">
        <f>IF(ventas_libreria[[#This Row],[valoracion_cliente]]="","Sin valoración",ventas_libreria[[#This Row],[valoracion_cliente]])</f>
        <v>5</v>
      </c>
    </row>
    <row r="699" spans="1:18" x14ac:dyDescent="0.25">
      <c r="A699" t="s">
        <v>975</v>
      </c>
      <c r="B699" t="s">
        <v>134</v>
      </c>
      <c r="C699" t="s">
        <v>135</v>
      </c>
      <c r="D699" t="s">
        <v>106</v>
      </c>
      <c r="E699" t="s">
        <v>107</v>
      </c>
      <c r="F699">
        <f>ventas_libreria[[#This Row],[precio_eur]]/100</f>
        <v>1.49</v>
      </c>
      <c r="G699">
        <v>149</v>
      </c>
      <c r="H699">
        <v>1</v>
      </c>
      <c r="I699">
        <f>ventas_libreria[[#This Row],[precio]]*ventas_libreria[[#This Row],[cantidad]]</f>
        <v>1.49</v>
      </c>
      <c r="J699">
        <v>19</v>
      </c>
      <c r="K699" t="s">
        <v>30</v>
      </c>
      <c r="L699" s="1">
        <v>45713</v>
      </c>
      <c r="M699" t="s">
        <v>21</v>
      </c>
      <c r="N699" t="s">
        <v>32</v>
      </c>
      <c r="O699" t="s">
        <v>33</v>
      </c>
      <c r="P699" t="s">
        <v>56</v>
      </c>
      <c r="Q699">
        <v>3</v>
      </c>
      <c r="R699">
        <f>IF(ventas_libreria[[#This Row],[valoracion_cliente]]="","Sin valoración",ventas_libreria[[#This Row],[valoracion_cliente]])</f>
        <v>3</v>
      </c>
    </row>
    <row r="700" spans="1:18" x14ac:dyDescent="0.25">
      <c r="A700" t="s">
        <v>976</v>
      </c>
      <c r="B700" t="s">
        <v>291</v>
      </c>
      <c r="C700" t="s">
        <v>292</v>
      </c>
      <c r="D700" t="s">
        <v>76</v>
      </c>
      <c r="E700" t="s">
        <v>77</v>
      </c>
      <c r="F700">
        <f>ventas_libreria[[#This Row],[precio_eur]]/100</f>
        <v>7.92</v>
      </c>
      <c r="G700">
        <v>792</v>
      </c>
      <c r="H700">
        <v>1</v>
      </c>
      <c r="I700">
        <f>ventas_libreria[[#This Row],[precio]]*ventas_libreria[[#This Row],[cantidad]]</f>
        <v>7.92</v>
      </c>
      <c r="J700">
        <v>10</v>
      </c>
      <c r="K700" t="s">
        <v>62</v>
      </c>
      <c r="L700" s="1">
        <v>45197</v>
      </c>
      <c r="M700" t="s">
        <v>43</v>
      </c>
      <c r="N700" t="s">
        <v>32</v>
      </c>
      <c r="O700" t="s">
        <v>33</v>
      </c>
      <c r="P700" t="s">
        <v>56</v>
      </c>
      <c r="Q700">
        <v>4</v>
      </c>
      <c r="R700">
        <f>IF(ventas_libreria[[#This Row],[valoracion_cliente]]="","Sin valoración",ventas_libreria[[#This Row],[valoracion_cliente]])</f>
        <v>4</v>
      </c>
    </row>
    <row r="701" spans="1:18" x14ac:dyDescent="0.25">
      <c r="A701" t="s">
        <v>977</v>
      </c>
      <c r="B701" t="s">
        <v>224</v>
      </c>
      <c r="C701" t="s">
        <v>225</v>
      </c>
      <c r="D701" t="s">
        <v>226</v>
      </c>
      <c r="E701" t="s">
        <v>116</v>
      </c>
      <c r="F701">
        <f>ventas_libreria[[#This Row],[precio_eur]]/100</f>
        <v>21.16</v>
      </c>
      <c r="G701">
        <v>2116</v>
      </c>
      <c r="H701">
        <v>1</v>
      </c>
      <c r="I701">
        <f>ventas_libreria[[#This Row],[precio]]*ventas_libreria[[#This Row],[cantidad]]</f>
        <v>21.16</v>
      </c>
      <c r="J701">
        <v>40</v>
      </c>
      <c r="K701" t="s">
        <v>62</v>
      </c>
      <c r="L701" s="1">
        <v>45553</v>
      </c>
      <c r="M701" t="s">
        <v>31</v>
      </c>
      <c r="N701" t="s">
        <v>32</v>
      </c>
      <c r="O701" t="s">
        <v>33</v>
      </c>
      <c r="P701" t="s">
        <v>84</v>
      </c>
      <c r="Q701">
        <v>4</v>
      </c>
      <c r="R701">
        <f>IF(ventas_libreria[[#This Row],[valoracion_cliente]]="","Sin valoración",ventas_libreria[[#This Row],[valoracion_cliente]])</f>
        <v>4</v>
      </c>
    </row>
    <row r="702" spans="1:18" x14ac:dyDescent="0.25">
      <c r="A702" t="s">
        <v>978</v>
      </c>
      <c r="B702" t="s">
        <v>228</v>
      </c>
      <c r="C702" t="s">
        <v>229</v>
      </c>
      <c r="D702" t="s">
        <v>206</v>
      </c>
      <c r="E702" t="s">
        <v>116</v>
      </c>
      <c r="F702">
        <f>ventas_libreria[[#This Row],[precio_eur]]/100</f>
        <v>1.89</v>
      </c>
      <c r="G702">
        <v>189</v>
      </c>
      <c r="H702">
        <v>4</v>
      </c>
      <c r="I702">
        <f>ventas_libreria[[#This Row],[precio]]*ventas_libreria[[#This Row],[cantidad]]</f>
        <v>7.56</v>
      </c>
      <c r="J702">
        <v>68</v>
      </c>
      <c r="K702" t="s">
        <v>20</v>
      </c>
      <c r="L702" s="1">
        <v>45738</v>
      </c>
      <c r="M702" t="s">
        <v>21</v>
      </c>
      <c r="N702" t="s">
        <v>32</v>
      </c>
      <c r="O702" t="s">
        <v>33</v>
      </c>
      <c r="P702" t="s">
        <v>24</v>
      </c>
      <c r="Q702">
        <v>5</v>
      </c>
      <c r="R702">
        <f>IF(ventas_libreria[[#This Row],[valoracion_cliente]]="","Sin valoración",ventas_libreria[[#This Row],[valoracion_cliente]])</f>
        <v>5</v>
      </c>
    </row>
    <row r="703" spans="1:18" x14ac:dyDescent="0.25">
      <c r="A703" t="s">
        <v>979</v>
      </c>
      <c r="B703" t="s">
        <v>243</v>
      </c>
      <c r="C703" t="s">
        <v>244</v>
      </c>
      <c r="D703" t="s">
        <v>245</v>
      </c>
      <c r="E703" t="s">
        <v>48</v>
      </c>
      <c r="F703">
        <f>ventas_libreria[[#This Row],[precio_eur]]/100</f>
        <v>2.19</v>
      </c>
      <c r="G703">
        <v>219</v>
      </c>
      <c r="H703">
        <v>1</v>
      </c>
      <c r="I703">
        <f>ventas_libreria[[#This Row],[precio]]*ventas_libreria[[#This Row],[cantidad]]</f>
        <v>2.19</v>
      </c>
      <c r="J703">
        <v>32</v>
      </c>
      <c r="K703" t="s">
        <v>20</v>
      </c>
      <c r="L703" s="1">
        <v>45985</v>
      </c>
      <c r="M703" t="s">
        <v>43</v>
      </c>
      <c r="N703" t="s">
        <v>32</v>
      </c>
      <c r="O703" t="s">
        <v>33</v>
      </c>
      <c r="P703" t="s">
        <v>84</v>
      </c>
      <c r="Q703">
        <v>5</v>
      </c>
      <c r="R703">
        <f>IF(ventas_libreria[[#This Row],[valoracion_cliente]]="","Sin valoración",ventas_libreria[[#This Row],[valoracion_cliente]])</f>
        <v>5</v>
      </c>
    </row>
    <row r="704" spans="1:18" x14ac:dyDescent="0.25">
      <c r="A704" t="s">
        <v>980</v>
      </c>
      <c r="B704" t="s">
        <v>403</v>
      </c>
      <c r="C704" t="s">
        <v>404</v>
      </c>
      <c r="D704" t="s">
        <v>123</v>
      </c>
      <c r="E704" t="s">
        <v>48</v>
      </c>
      <c r="F704">
        <f>ventas_libreria[[#This Row],[precio_eur]]/100</f>
        <v>2.99</v>
      </c>
      <c r="G704">
        <v>299</v>
      </c>
      <c r="H704">
        <v>1</v>
      </c>
      <c r="I704">
        <f>ventas_libreria[[#This Row],[precio]]*ventas_libreria[[#This Row],[cantidad]]</f>
        <v>2.99</v>
      </c>
      <c r="J704">
        <v>39</v>
      </c>
      <c r="K704" t="s">
        <v>20</v>
      </c>
      <c r="L704" s="1">
        <v>45317</v>
      </c>
      <c r="M704" t="s">
        <v>43</v>
      </c>
      <c r="N704" t="s">
        <v>32</v>
      </c>
      <c r="O704" t="s">
        <v>33</v>
      </c>
      <c r="P704" t="s">
        <v>34</v>
      </c>
      <c r="Q704">
        <v>4</v>
      </c>
      <c r="R704">
        <f>IF(ventas_libreria[[#This Row],[valoracion_cliente]]="","Sin valoración",ventas_libreria[[#This Row],[valoracion_cliente]])</f>
        <v>4</v>
      </c>
    </row>
    <row r="705" spans="1:18" x14ac:dyDescent="0.25">
      <c r="A705" t="s">
        <v>981</v>
      </c>
      <c r="B705" t="s">
        <v>418</v>
      </c>
      <c r="C705" t="s">
        <v>419</v>
      </c>
      <c r="D705" t="s">
        <v>420</v>
      </c>
      <c r="E705" t="s">
        <v>149</v>
      </c>
      <c r="F705">
        <f>ventas_libreria[[#This Row],[precio_eur]]/100</f>
        <v>1.69</v>
      </c>
      <c r="G705">
        <v>169</v>
      </c>
      <c r="H705">
        <v>1</v>
      </c>
      <c r="I705">
        <f>ventas_libreria[[#This Row],[precio]]*ventas_libreria[[#This Row],[cantidad]]</f>
        <v>1.69</v>
      </c>
      <c r="J705">
        <v>59</v>
      </c>
      <c r="K705" t="s">
        <v>30</v>
      </c>
      <c r="L705" s="1">
        <v>45035</v>
      </c>
      <c r="M705" t="s">
        <v>43</v>
      </c>
      <c r="N705" t="s">
        <v>32</v>
      </c>
      <c r="O705" t="s">
        <v>33</v>
      </c>
      <c r="P705" t="s">
        <v>24</v>
      </c>
      <c r="Q705">
        <v>5</v>
      </c>
      <c r="R705">
        <f>IF(ventas_libreria[[#This Row],[valoracion_cliente]]="","Sin valoración",ventas_libreria[[#This Row],[valoracion_cliente]])</f>
        <v>5</v>
      </c>
    </row>
    <row r="706" spans="1:18" x14ac:dyDescent="0.25">
      <c r="A706" t="s">
        <v>982</v>
      </c>
      <c r="B706" t="s">
        <v>403</v>
      </c>
      <c r="C706" t="s">
        <v>404</v>
      </c>
      <c r="D706" t="s">
        <v>123</v>
      </c>
      <c r="E706" t="s">
        <v>48</v>
      </c>
      <c r="F706">
        <f>ventas_libreria[[#This Row],[precio_eur]]/100</f>
        <v>31.39</v>
      </c>
      <c r="G706">
        <v>3139</v>
      </c>
      <c r="H706">
        <v>1</v>
      </c>
      <c r="I706">
        <f>ventas_libreria[[#This Row],[precio]]*ventas_libreria[[#This Row],[cantidad]]</f>
        <v>31.39</v>
      </c>
      <c r="J706">
        <v>27</v>
      </c>
      <c r="K706" t="s">
        <v>30</v>
      </c>
      <c r="L706" s="1">
        <v>45933</v>
      </c>
      <c r="M706" t="s">
        <v>31</v>
      </c>
      <c r="N706" t="s">
        <v>32</v>
      </c>
      <c r="O706" t="s">
        <v>33</v>
      </c>
      <c r="P706" t="s">
        <v>24</v>
      </c>
      <c r="Q706">
        <v>5</v>
      </c>
      <c r="R706">
        <f>IF(ventas_libreria[[#This Row],[valoracion_cliente]]="","Sin valoración",ventas_libreria[[#This Row],[valoracion_cliente]])</f>
        <v>5</v>
      </c>
    </row>
    <row r="707" spans="1:18" x14ac:dyDescent="0.25">
      <c r="A707" t="s">
        <v>983</v>
      </c>
      <c r="B707" t="s">
        <v>146</v>
      </c>
      <c r="C707" t="s">
        <v>147</v>
      </c>
      <c r="D707" t="s">
        <v>148</v>
      </c>
      <c r="E707" t="s">
        <v>149</v>
      </c>
      <c r="F707">
        <f>ventas_libreria[[#This Row],[precio_eur]]/100</f>
        <v>1.59</v>
      </c>
      <c r="G707">
        <v>159</v>
      </c>
      <c r="H707">
        <v>1</v>
      </c>
      <c r="I707">
        <f>ventas_libreria[[#This Row],[precio]]*ventas_libreria[[#This Row],[cantidad]]</f>
        <v>1.59</v>
      </c>
      <c r="J707">
        <v>34</v>
      </c>
      <c r="K707" t="s">
        <v>38</v>
      </c>
      <c r="L707" s="1">
        <v>44999</v>
      </c>
      <c r="M707" t="s">
        <v>43</v>
      </c>
      <c r="N707" t="s">
        <v>32</v>
      </c>
      <c r="O707" t="s">
        <v>33</v>
      </c>
      <c r="P707" t="s">
        <v>50</v>
      </c>
      <c r="R707" t="str">
        <f>IF(ventas_libreria[[#This Row],[valoracion_cliente]]="","Sin valoración",ventas_libreria[[#This Row],[valoracion_cliente]])</f>
        <v>Sin valoración</v>
      </c>
    </row>
    <row r="708" spans="1:18" x14ac:dyDescent="0.25">
      <c r="A708" t="s">
        <v>984</v>
      </c>
      <c r="B708" t="s">
        <v>446</v>
      </c>
      <c r="C708" t="s">
        <v>447</v>
      </c>
      <c r="D708" t="s">
        <v>262</v>
      </c>
      <c r="E708" t="s">
        <v>263</v>
      </c>
      <c r="F708">
        <f>ventas_libreria[[#This Row],[precio_eur]]/100</f>
        <v>15.92</v>
      </c>
      <c r="G708">
        <v>1592</v>
      </c>
      <c r="H708">
        <v>1</v>
      </c>
      <c r="I708">
        <f>ventas_libreria[[#This Row],[precio]]*ventas_libreria[[#This Row],[cantidad]]</f>
        <v>15.92</v>
      </c>
      <c r="J708">
        <v>17</v>
      </c>
      <c r="K708" t="s">
        <v>20</v>
      </c>
      <c r="L708" s="1">
        <v>45504</v>
      </c>
      <c r="M708" t="s">
        <v>21</v>
      </c>
      <c r="N708" t="s">
        <v>32</v>
      </c>
      <c r="O708" t="s">
        <v>33</v>
      </c>
      <c r="P708" t="s">
        <v>56</v>
      </c>
      <c r="Q708">
        <v>5</v>
      </c>
      <c r="R708">
        <f>IF(ventas_libreria[[#This Row],[valoracion_cliente]]="","Sin valoración",ventas_libreria[[#This Row],[valoracion_cliente]])</f>
        <v>5</v>
      </c>
    </row>
    <row r="709" spans="1:18" x14ac:dyDescent="0.25">
      <c r="A709" t="s">
        <v>985</v>
      </c>
      <c r="B709" t="s">
        <v>268</v>
      </c>
      <c r="C709" t="s">
        <v>269</v>
      </c>
      <c r="D709" t="s">
        <v>270</v>
      </c>
      <c r="E709" t="s">
        <v>83</v>
      </c>
      <c r="F709">
        <f>ventas_libreria[[#This Row],[precio_eur]]/100</f>
        <v>1.0900000000000001</v>
      </c>
      <c r="G709">
        <v>109</v>
      </c>
      <c r="H709">
        <v>2</v>
      </c>
      <c r="I709">
        <f>ventas_libreria[[#This Row],[precio]]*ventas_libreria[[#This Row],[cantidad]]</f>
        <v>2.1800000000000002</v>
      </c>
      <c r="J709">
        <v>65</v>
      </c>
      <c r="K709" t="s">
        <v>62</v>
      </c>
      <c r="L709" s="1">
        <v>45271</v>
      </c>
      <c r="M709" t="s">
        <v>21</v>
      </c>
      <c r="N709" t="s">
        <v>32</v>
      </c>
      <c r="O709" t="s">
        <v>33</v>
      </c>
      <c r="P709" t="s">
        <v>34</v>
      </c>
      <c r="Q709">
        <v>5</v>
      </c>
      <c r="R709">
        <f>IF(ventas_libreria[[#This Row],[valoracion_cliente]]="","Sin valoración",ventas_libreria[[#This Row],[valoracion_cliente]])</f>
        <v>5</v>
      </c>
    </row>
    <row r="710" spans="1:18" x14ac:dyDescent="0.25">
      <c r="A710" t="s">
        <v>986</v>
      </c>
      <c r="B710" t="s">
        <v>220</v>
      </c>
      <c r="C710" t="s">
        <v>221</v>
      </c>
      <c r="D710" t="s">
        <v>222</v>
      </c>
      <c r="E710" t="s">
        <v>116</v>
      </c>
      <c r="F710">
        <f>ventas_libreria[[#This Row],[precio_eur]]/100</f>
        <v>10.96</v>
      </c>
      <c r="G710">
        <v>1096</v>
      </c>
      <c r="H710">
        <v>2</v>
      </c>
      <c r="I710">
        <f>ventas_libreria[[#This Row],[precio]]*ventas_libreria[[#This Row],[cantidad]]</f>
        <v>21.92</v>
      </c>
      <c r="J710">
        <v>52</v>
      </c>
      <c r="K710" t="s">
        <v>30</v>
      </c>
      <c r="L710" s="1">
        <v>45742</v>
      </c>
      <c r="M710" t="s">
        <v>43</v>
      </c>
      <c r="N710" t="s">
        <v>32</v>
      </c>
      <c r="O710" t="s">
        <v>33</v>
      </c>
      <c r="P710" t="s">
        <v>24</v>
      </c>
      <c r="Q710">
        <v>4</v>
      </c>
      <c r="R710">
        <f>IF(ventas_libreria[[#This Row],[valoracion_cliente]]="","Sin valoración",ventas_libreria[[#This Row],[valoracion_cliente]])</f>
        <v>4</v>
      </c>
    </row>
    <row r="711" spans="1:18" x14ac:dyDescent="0.25">
      <c r="A711" t="s">
        <v>987</v>
      </c>
      <c r="B711" t="s">
        <v>26</v>
      </c>
      <c r="C711" t="s">
        <v>27</v>
      </c>
      <c r="D711" t="s">
        <v>28</v>
      </c>
      <c r="E711" t="s">
        <v>29</v>
      </c>
      <c r="F711">
        <f>ventas_libreria[[#This Row],[precio_eur]]/100</f>
        <v>1.89</v>
      </c>
      <c r="G711">
        <v>189</v>
      </c>
      <c r="H711">
        <v>1</v>
      </c>
      <c r="I711">
        <f>ventas_libreria[[#This Row],[precio]]*ventas_libreria[[#This Row],[cantidad]]</f>
        <v>1.89</v>
      </c>
      <c r="J711">
        <v>52</v>
      </c>
      <c r="K711" t="s">
        <v>20</v>
      </c>
      <c r="L711" s="1">
        <v>45456</v>
      </c>
      <c r="M711" t="s">
        <v>31</v>
      </c>
      <c r="N711" t="s">
        <v>32</v>
      </c>
      <c r="O711" t="s">
        <v>33</v>
      </c>
      <c r="P711" t="s">
        <v>50</v>
      </c>
      <c r="Q711">
        <v>1</v>
      </c>
      <c r="R711">
        <f>IF(ventas_libreria[[#This Row],[valoracion_cliente]]="","Sin valoración",ventas_libreria[[#This Row],[valoracion_cliente]])</f>
        <v>1</v>
      </c>
    </row>
    <row r="712" spans="1:18" x14ac:dyDescent="0.25">
      <c r="A712" t="s">
        <v>988</v>
      </c>
      <c r="B712" t="s">
        <v>40</v>
      </c>
      <c r="C712" t="s">
        <v>41</v>
      </c>
      <c r="D712" t="s">
        <v>42</v>
      </c>
      <c r="E712" t="s">
        <v>19</v>
      </c>
      <c r="F712">
        <f>ventas_libreria[[#This Row],[precio_eur]]/100</f>
        <v>10.96</v>
      </c>
      <c r="G712">
        <v>1096</v>
      </c>
      <c r="H712">
        <v>2</v>
      </c>
      <c r="I712">
        <f>ventas_libreria[[#This Row],[precio]]*ventas_libreria[[#This Row],[cantidad]]</f>
        <v>21.92</v>
      </c>
      <c r="J712">
        <v>39</v>
      </c>
      <c r="K712" t="s">
        <v>38</v>
      </c>
      <c r="L712" s="1">
        <v>45571</v>
      </c>
      <c r="M712" t="s">
        <v>31</v>
      </c>
      <c r="N712" t="s">
        <v>22</v>
      </c>
      <c r="O712" t="s">
        <v>49</v>
      </c>
      <c r="P712" t="s">
        <v>50</v>
      </c>
      <c r="Q712">
        <v>5</v>
      </c>
      <c r="R712">
        <f>IF(ventas_libreria[[#This Row],[valoracion_cliente]]="","Sin valoración",ventas_libreria[[#This Row],[valoracion_cliente]])</f>
        <v>5</v>
      </c>
    </row>
    <row r="713" spans="1:18" x14ac:dyDescent="0.25">
      <c r="A713" t="s">
        <v>989</v>
      </c>
      <c r="B713" t="s">
        <v>26</v>
      </c>
      <c r="C713" t="s">
        <v>27</v>
      </c>
      <c r="D713" t="s">
        <v>28</v>
      </c>
      <c r="E713" t="s">
        <v>29</v>
      </c>
      <c r="F713">
        <f>ventas_libreria[[#This Row],[precio_eur]]/100</f>
        <v>1.89</v>
      </c>
      <c r="G713">
        <v>189</v>
      </c>
      <c r="H713">
        <v>1</v>
      </c>
      <c r="I713">
        <f>ventas_libreria[[#This Row],[precio]]*ventas_libreria[[#This Row],[cantidad]]</f>
        <v>1.89</v>
      </c>
      <c r="J713">
        <v>35</v>
      </c>
      <c r="K713" t="s">
        <v>62</v>
      </c>
      <c r="L713" s="1">
        <v>45517</v>
      </c>
      <c r="M713" t="s">
        <v>21</v>
      </c>
      <c r="N713" t="s">
        <v>32</v>
      </c>
      <c r="O713" t="s">
        <v>33</v>
      </c>
      <c r="P713" t="s">
        <v>50</v>
      </c>
      <c r="Q713">
        <v>4</v>
      </c>
      <c r="R713">
        <f>IF(ventas_libreria[[#This Row],[valoracion_cliente]]="","Sin valoración",ventas_libreria[[#This Row],[valoracion_cliente]])</f>
        <v>4</v>
      </c>
    </row>
    <row r="714" spans="1:18" x14ac:dyDescent="0.25">
      <c r="A714" t="s">
        <v>990</v>
      </c>
      <c r="B714" t="s">
        <v>141</v>
      </c>
      <c r="C714" t="s">
        <v>142</v>
      </c>
      <c r="D714" t="s">
        <v>143</v>
      </c>
      <c r="E714" t="s">
        <v>116</v>
      </c>
      <c r="F714">
        <f>ventas_libreria[[#This Row],[precio_eur]]/100</f>
        <v>1.49</v>
      </c>
      <c r="G714">
        <v>149</v>
      </c>
      <c r="H714">
        <v>1</v>
      </c>
      <c r="I714">
        <f>ventas_libreria[[#This Row],[precio]]*ventas_libreria[[#This Row],[cantidad]]</f>
        <v>1.49</v>
      </c>
      <c r="J714">
        <v>31</v>
      </c>
      <c r="K714" t="s">
        <v>38</v>
      </c>
      <c r="L714" s="1">
        <v>45816</v>
      </c>
      <c r="M714" t="s">
        <v>21</v>
      </c>
      <c r="N714" t="s">
        <v>22</v>
      </c>
      <c r="O714" t="s">
        <v>23</v>
      </c>
      <c r="P714" t="s">
        <v>34</v>
      </c>
      <c r="Q714">
        <v>5</v>
      </c>
      <c r="R714">
        <f>IF(ventas_libreria[[#This Row],[valoracion_cliente]]="","Sin valoración",ventas_libreria[[#This Row],[valoracion_cliente]])</f>
        <v>5</v>
      </c>
    </row>
    <row r="715" spans="1:18" x14ac:dyDescent="0.25">
      <c r="A715" t="s">
        <v>991</v>
      </c>
      <c r="B715" t="s">
        <v>220</v>
      </c>
      <c r="C715" t="s">
        <v>221</v>
      </c>
      <c r="D715" t="s">
        <v>222</v>
      </c>
      <c r="E715" t="s">
        <v>116</v>
      </c>
      <c r="F715">
        <f>ventas_libreria[[#This Row],[precio_eur]]/100</f>
        <v>10.32</v>
      </c>
      <c r="G715">
        <v>1032</v>
      </c>
      <c r="H715">
        <v>1</v>
      </c>
      <c r="I715">
        <f>ventas_libreria[[#This Row],[precio]]*ventas_libreria[[#This Row],[cantidad]]</f>
        <v>10.32</v>
      </c>
      <c r="J715">
        <v>33</v>
      </c>
      <c r="K715" t="s">
        <v>62</v>
      </c>
      <c r="L715" s="1">
        <v>45088</v>
      </c>
      <c r="M715" t="s">
        <v>31</v>
      </c>
      <c r="N715" t="s">
        <v>32</v>
      </c>
      <c r="O715" t="s">
        <v>33</v>
      </c>
      <c r="P715" t="s">
        <v>84</v>
      </c>
      <c r="Q715">
        <v>5</v>
      </c>
      <c r="R715">
        <f>IF(ventas_libreria[[#This Row],[valoracion_cliente]]="","Sin valoración",ventas_libreria[[#This Row],[valoracion_cliente]])</f>
        <v>5</v>
      </c>
    </row>
    <row r="716" spans="1:18" x14ac:dyDescent="0.25">
      <c r="A716" t="s">
        <v>992</v>
      </c>
      <c r="B716" t="s">
        <v>181</v>
      </c>
      <c r="C716" t="s">
        <v>182</v>
      </c>
      <c r="D716" t="s">
        <v>183</v>
      </c>
      <c r="E716" t="s">
        <v>116</v>
      </c>
      <c r="F716">
        <f>ventas_libreria[[#This Row],[precio_eur]]/100</f>
        <v>11.12</v>
      </c>
      <c r="G716">
        <v>1112</v>
      </c>
      <c r="H716">
        <v>1</v>
      </c>
      <c r="I716">
        <f>ventas_libreria[[#This Row],[precio]]*ventas_libreria[[#This Row],[cantidad]]</f>
        <v>11.12</v>
      </c>
      <c r="J716">
        <v>57</v>
      </c>
      <c r="K716" t="s">
        <v>38</v>
      </c>
      <c r="L716" s="1">
        <v>45399</v>
      </c>
      <c r="M716" t="s">
        <v>43</v>
      </c>
      <c r="N716" t="s">
        <v>32</v>
      </c>
      <c r="O716" t="s">
        <v>33</v>
      </c>
      <c r="P716" t="s">
        <v>24</v>
      </c>
      <c r="Q716">
        <v>4</v>
      </c>
      <c r="R716">
        <f>IF(ventas_libreria[[#This Row],[valoracion_cliente]]="","Sin valoración",ventas_libreria[[#This Row],[valoracion_cliente]])</f>
        <v>4</v>
      </c>
    </row>
    <row r="717" spans="1:18" x14ac:dyDescent="0.25">
      <c r="A717" t="s">
        <v>993</v>
      </c>
      <c r="B717" t="s">
        <v>211</v>
      </c>
      <c r="C717" t="s">
        <v>212</v>
      </c>
      <c r="D717" t="s">
        <v>131</v>
      </c>
      <c r="E717" t="s">
        <v>107</v>
      </c>
      <c r="F717">
        <f>ventas_libreria[[#This Row],[precio_eur]]/100</f>
        <v>15.21</v>
      </c>
      <c r="G717">
        <v>1521</v>
      </c>
      <c r="H717">
        <v>2</v>
      </c>
      <c r="I717">
        <f>ventas_libreria[[#This Row],[precio]]*ventas_libreria[[#This Row],[cantidad]]</f>
        <v>30.42</v>
      </c>
      <c r="J717">
        <v>15</v>
      </c>
      <c r="K717" t="s">
        <v>62</v>
      </c>
      <c r="L717" s="1">
        <v>45867</v>
      </c>
      <c r="M717" t="s">
        <v>31</v>
      </c>
      <c r="N717" t="s">
        <v>22</v>
      </c>
      <c r="O717" t="s">
        <v>23</v>
      </c>
      <c r="P717" t="s">
        <v>84</v>
      </c>
      <c r="Q717">
        <v>5</v>
      </c>
      <c r="R717">
        <f>IF(ventas_libreria[[#This Row],[valoracion_cliente]]="","Sin valoración",ventas_libreria[[#This Row],[valoracion_cliente]])</f>
        <v>5</v>
      </c>
    </row>
    <row r="718" spans="1:18" x14ac:dyDescent="0.25">
      <c r="A718" t="s">
        <v>994</v>
      </c>
      <c r="B718" t="s">
        <v>273</v>
      </c>
      <c r="C718" t="s">
        <v>274</v>
      </c>
      <c r="D718" t="s">
        <v>262</v>
      </c>
      <c r="E718" t="s">
        <v>263</v>
      </c>
      <c r="F718">
        <f>ventas_libreria[[#This Row],[precio_eur]]/100</f>
        <v>2.19</v>
      </c>
      <c r="G718">
        <v>219</v>
      </c>
      <c r="H718">
        <v>1</v>
      </c>
      <c r="I718">
        <f>ventas_libreria[[#This Row],[precio]]*ventas_libreria[[#This Row],[cantidad]]</f>
        <v>2.19</v>
      </c>
      <c r="J718">
        <v>30</v>
      </c>
      <c r="K718" t="s">
        <v>62</v>
      </c>
      <c r="L718" s="1">
        <v>45401</v>
      </c>
      <c r="M718" t="s">
        <v>21</v>
      </c>
      <c r="N718" t="s">
        <v>32</v>
      </c>
      <c r="O718" t="s">
        <v>33</v>
      </c>
      <c r="P718" t="s">
        <v>24</v>
      </c>
      <c r="Q718">
        <v>5</v>
      </c>
      <c r="R718">
        <f>IF(ventas_libreria[[#This Row],[valoracion_cliente]]="","Sin valoración",ventas_libreria[[#This Row],[valoracion_cliente]])</f>
        <v>5</v>
      </c>
    </row>
    <row r="719" spans="1:18" x14ac:dyDescent="0.25">
      <c r="A719" t="s">
        <v>995</v>
      </c>
      <c r="B719" t="s">
        <v>671</v>
      </c>
      <c r="C719" t="s">
        <v>672</v>
      </c>
      <c r="D719" t="s">
        <v>673</v>
      </c>
      <c r="E719" t="s">
        <v>116</v>
      </c>
      <c r="F719">
        <f>ventas_libreria[[#This Row],[precio_eur]]/100</f>
        <v>10.96</v>
      </c>
      <c r="G719">
        <v>1096</v>
      </c>
      <c r="H719">
        <v>1</v>
      </c>
      <c r="I719">
        <f>ventas_libreria[[#This Row],[precio]]*ventas_libreria[[#This Row],[cantidad]]</f>
        <v>10.96</v>
      </c>
      <c r="J719">
        <v>44</v>
      </c>
      <c r="K719" t="s">
        <v>38</v>
      </c>
      <c r="L719" s="1">
        <v>45886</v>
      </c>
      <c r="M719" t="s">
        <v>43</v>
      </c>
      <c r="N719" t="s">
        <v>32</v>
      </c>
      <c r="O719" t="s">
        <v>33</v>
      </c>
      <c r="P719" t="s">
        <v>34</v>
      </c>
      <c r="Q719">
        <v>4</v>
      </c>
      <c r="R719">
        <f>IF(ventas_libreria[[#This Row],[valoracion_cliente]]="","Sin valoración",ventas_libreria[[#This Row],[valoracion_cliente]])</f>
        <v>4</v>
      </c>
    </row>
    <row r="720" spans="1:18" x14ac:dyDescent="0.25">
      <c r="A720" t="s">
        <v>996</v>
      </c>
      <c r="B720" t="s">
        <v>296</v>
      </c>
      <c r="C720" t="s">
        <v>297</v>
      </c>
      <c r="D720" t="s">
        <v>298</v>
      </c>
      <c r="E720" t="s">
        <v>154</v>
      </c>
      <c r="F720">
        <f>ventas_libreria[[#This Row],[precio_eur]]/100</f>
        <v>1.79</v>
      </c>
      <c r="G720">
        <v>179</v>
      </c>
      <c r="H720">
        <v>1</v>
      </c>
      <c r="I720">
        <f>ventas_libreria[[#This Row],[precio]]*ventas_libreria[[#This Row],[cantidad]]</f>
        <v>1.79</v>
      </c>
      <c r="J720">
        <v>39</v>
      </c>
      <c r="K720" t="s">
        <v>30</v>
      </c>
      <c r="L720" s="1">
        <v>45979</v>
      </c>
      <c r="M720" t="s">
        <v>21</v>
      </c>
      <c r="N720" t="s">
        <v>32</v>
      </c>
      <c r="O720" t="s">
        <v>33</v>
      </c>
      <c r="P720" t="s">
        <v>84</v>
      </c>
      <c r="Q720">
        <v>4</v>
      </c>
      <c r="R720">
        <f>IF(ventas_libreria[[#This Row],[valoracion_cliente]]="","Sin valoración",ventas_libreria[[#This Row],[valoracion_cliente]])</f>
        <v>4</v>
      </c>
    </row>
    <row r="721" spans="1:18" x14ac:dyDescent="0.25">
      <c r="A721" t="s">
        <v>997</v>
      </c>
      <c r="B721" t="s">
        <v>365</v>
      </c>
      <c r="C721" t="s">
        <v>366</v>
      </c>
      <c r="D721" t="s">
        <v>367</v>
      </c>
      <c r="E721" t="s">
        <v>19</v>
      </c>
      <c r="F721">
        <f>ventas_libreria[[#This Row],[precio_eur]]/100</f>
        <v>16.059999999999999</v>
      </c>
      <c r="G721">
        <v>1606</v>
      </c>
      <c r="H721">
        <v>1</v>
      </c>
      <c r="I721">
        <f>ventas_libreria[[#This Row],[precio]]*ventas_libreria[[#This Row],[cantidad]]</f>
        <v>16.059999999999999</v>
      </c>
      <c r="J721">
        <v>56</v>
      </c>
      <c r="K721" t="s">
        <v>62</v>
      </c>
      <c r="L721" s="1">
        <v>45247</v>
      </c>
      <c r="M721" t="s">
        <v>31</v>
      </c>
      <c r="N721" t="s">
        <v>22</v>
      </c>
      <c r="O721" t="s">
        <v>67</v>
      </c>
      <c r="P721" t="s">
        <v>24</v>
      </c>
      <c r="Q721">
        <v>5</v>
      </c>
      <c r="R721">
        <f>IF(ventas_libreria[[#This Row],[valoracion_cliente]]="","Sin valoración",ventas_libreria[[#This Row],[valoracion_cliente]])</f>
        <v>5</v>
      </c>
    </row>
    <row r="722" spans="1:18" x14ac:dyDescent="0.25">
      <c r="A722" t="s">
        <v>998</v>
      </c>
      <c r="B722" t="s">
        <v>446</v>
      </c>
      <c r="C722" t="s">
        <v>447</v>
      </c>
      <c r="D722" t="s">
        <v>262</v>
      </c>
      <c r="E722" t="s">
        <v>263</v>
      </c>
      <c r="F722">
        <f>ventas_libreria[[#This Row],[precio_eur]]/100</f>
        <v>15.92</v>
      </c>
      <c r="G722">
        <v>1592</v>
      </c>
      <c r="H722">
        <v>1</v>
      </c>
      <c r="I722">
        <f>ventas_libreria[[#This Row],[precio]]*ventas_libreria[[#This Row],[cantidad]]</f>
        <v>15.92</v>
      </c>
      <c r="J722">
        <v>67</v>
      </c>
      <c r="K722" t="s">
        <v>30</v>
      </c>
      <c r="L722" s="1">
        <v>45617</v>
      </c>
      <c r="M722" t="s">
        <v>21</v>
      </c>
      <c r="N722" t="s">
        <v>32</v>
      </c>
      <c r="O722" t="s">
        <v>33</v>
      </c>
      <c r="P722" t="s">
        <v>84</v>
      </c>
      <c r="Q722">
        <v>3</v>
      </c>
      <c r="R722">
        <f>IF(ventas_libreria[[#This Row],[valoracion_cliente]]="","Sin valoración",ventas_libreria[[#This Row],[valoracion_cliente]])</f>
        <v>3</v>
      </c>
    </row>
    <row r="723" spans="1:18" x14ac:dyDescent="0.25">
      <c r="A723" t="s">
        <v>999</v>
      </c>
      <c r="B723" t="s">
        <v>100</v>
      </c>
      <c r="C723" t="s">
        <v>101</v>
      </c>
      <c r="D723" t="s">
        <v>102</v>
      </c>
      <c r="E723" t="s">
        <v>61</v>
      </c>
      <c r="F723">
        <f>ventas_libreria[[#This Row],[precio_eur]]/100</f>
        <v>1.25</v>
      </c>
      <c r="G723">
        <v>125</v>
      </c>
      <c r="H723">
        <v>1</v>
      </c>
      <c r="I723">
        <f>ventas_libreria[[#This Row],[precio]]*ventas_libreria[[#This Row],[cantidad]]</f>
        <v>1.25</v>
      </c>
      <c r="J723">
        <v>54</v>
      </c>
      <c r="K723" t="s">
        <v>62</v>
      </c>
      <c r="L723" s="1">
        <v>45724</v>
      </c>
      <c r="M723" t="s">
        <v>21</v>
      </c>
      <c r="N723" t="s">
        <v>32</v>
      </c>
      <c r="O723" t="s">
        <v>33</v>
      </c>
      <c r="P723" t="s">
        <v>50</v>
      </c>
      <c r="Q723">
        <v>2</v>
      </c>
      <c r="R723">
        <f>IF(ventas_libreria[[#This Row],[valoracion_cliente]]="","Sin valoración",ventas_libreria[[#This Row],[valoracion_cliente]])</f>
        <v>2</v>
      </c>
    </row>
    <row r="724" spans="1:18" x14ac:dyDescent="0.25">
      <c r="A724" t="s">
        <v>1000</v>
      </c>
      <c r="B724" t="s">
        <v>137</v>
      </c>
      <c r="C724" t="s">
        <v>138</v>
      </c>
      <c r="D724" t="s">
        <v>139</v>
      </c>
      <c r="E724" t="s">
        <v>116</v>
      </c>
      <c r="F724">
        <f>ventas_libreria[[#This Row],[precio_eur]]/100</f>
        <v>11.61</v>
      </c>
      <c r="G724">
        <v>1161</v>
      </c>
      <c r="H724">
        <v>1</v>
      </c>
      <c r="I724">
        <f>ventas_libreria[[#This Row],[precio]]*ventas_libreria[[#This Row],[cantidad]]</f>
        <v>11.61</v>
      </c>
      <c r="J724">
        <v>22</v>
      </c>
      <c r="K724" t="s">
        <v>30</v>
      </c>
      <c r="L724" s="1">
        <v>45984</v>
      </c>
      <c r="M724" t="s">
        <v>31</v>
      </c>
      <c r="N724" t="s">
        <v>22</v>
      </c>
      <c r="O724" t="s">
        <v>67</v>
      </c>
      <c r="P724" t="s">
        <v>50</v>
      </c>
      <c r="Q724">
        <v>5</v>
      </c>
      <c r="R724">
        <f>IF(ventas_libreria[[#This Row],[valoracion_cliente]]="","Sin valoración",ventas_libreria[[#This Row],[valoracion_cliente]])</f>
        <v>5</v>
      </c>
    </row>
    <row r="725" spans="1:18" x14ac:dyDescent="0.25">
      <c r="A725" t="s">
        <v>1001</v>
      </c>
      <c r="B725" t="s">
        <v>64</v>
      </c>
      <c r="C725" t="s">
        <v>65</v>
      </c>
      <c r="D725" t="s">
        <v>66</v>
      </c>
      <c r="E725" t="s">
        <v>29</v>
      </c>
      <c r="F725">
        <f>ventas_libreria[[#This Row],[precio_eur]]/100</f>
        <v>14.03</v>
      </c>
      <c r="G725">
        <v>1403</v>
      </c>
      <c r="H725">
        <v>3</v>
      </c>
      <c r="I725">
        <f>ventas_libreria[[#This Row],[precio]]*ventas_libreria[[#This Row],[cantidad]]</f>
        <v>42.089999999999996</v>
      </c>
      <c r="J725">
        <v>28</v>
      </c>
      <c r="K725" t="s">
        <v>38</v>
      </c>
      <c r="L725" s="1">
        <v>45775</v>
      </c>
      <c r="M725" t="s">
        <v>31</v>
      </c>
      <c r="N725" t="s">
        <v>32</v>
      </c>
      <c r="O725" t="s">
        <v>33</v>
      </c>
      <c r="P725" t="s">
        <v>50</v>
      </c>
      <c r="Q725">
        <v>5</v>
      </c>
      <c r="R725">
        <f>IF(ventas_libreria[[#This Row],[valoracion_cliente]]="","Sin valoración",ventas_libreria[[#This Row],[valoracion_cliente]])</f>
        <v>5</v>
      </c>
    </row>
    <row r="726" spans="1:18" x14ac:dyDescent="0.25">
      <c r="A726" t="s">
        <v>1002</v>
      </c>
      <c r="B726" t="s">
        <v>228</v>
      </c>
      <c r="C726" t="s">
        <v>229</v>
      </c>
      <c r="D726" t="s">
        <v>206</v>
      </c>
      <c r="E726" t="s">
        <v>116</v>
      </c>
      <c r="F726">
        <f>ventas_libreria[[#This Row],[precio_eur]]/100</f>
        <v>1.89</v>
      </c>
      <c r="G726">
        <v>189</v>
      </c>
      <c r="H726">
        <v>1</v>
      </c>
      <c r="I726">
        <f>ventas_libreria[[#This Row],[precio]]*ventas_libreria[[#This Row],[cantidad]]</f>
        <v>1.89</v>
      </c>
      <c r="J726">
        <v>45</v>
      </c>
      <c r="K726" t="s">
        <v>38</v>
      </c>
      <c r="L726" s="1">
        <v>45942</v>
      </c>
      <c r="M726" t="s">
        <v>21</v>
      </c>
      <c r="N726" t="s">
        <v>32</v>
      </c>
      <c r="O726" t="s">
        <v>33</v>
      </c>
      <c r="P726" t="s">
        <v>56</v>
      </c>
      <c r="Q726">
        <v>4</v>
      </c>
      <c r="R726">
        <f>IF(ventas_libreria[[#This Row],[valoracion_cliente]]="","Sin valoración",ventas_libreria[[#This Row],[valoracion_cliente]])</f>
        <v>4</v>
      </c>
    </row>
    <row r="727" spans="1:18" x14ac:dyDescent="0.25">
      <c r="A727" t="s">
        <v>1003</v>
      </c>
      <c r="B727" t="s">
        <v>121</v>
      </c>
      <c r="C727" t="s">
        <v>122</v>
      </c>
      <c r="D727" t="s">
        <v>123</v>
      </c>
      <c r="E727" t="s">
        <v>48</v>
      </c>
      <c r="F727">
        <f>ventas_libreria[[#This Row],[precio_eur]]/100</f>
        <v>18.59</v>
      </c>
      <c r="G727">
        <v>1859</v>
      </c>
      <c r="H727">
        <v>1</v>
      </c>
      <c r="I727">
        <f>ventas_libreria[[#This Row],[precio]]*ventas_libreria[[#This Row],[cantidad]]</f>
        <v>18.59</v>
      </c>
      <c r="J727">
        <v>55</v>
      </c>
      <c r="K727" t="s">
        <v>20</v>
      </c>
      <c r="L727" s="1">
        <v>45076</v>
      </c>
      <c r="M727" t="s">
        <v>43</v>
      </c>
      <c r="N727" t="s">
        <v>32</v>
      </c>
      <c r="O727" t="s">
        <v>33</v>
      </c>
      <c r="P727" t="s">
        <v>34</v>
      </c>
      <c r="Q727">
        <v>5</v>
      </c>
      <c r="R727">
        <f>IF(ventas_libreria[[#This Row],[valoracion_cliente]]="","Sin valoración",ventas_libreria[[#This Row],[valoracion_cliente]])</f>
        <v>5</v>
      </c>
    </row>
    <row r="728" spans="1:18" x14ac:dyDescent="0.25">
      <c r="A728" t="s">
        <v>1004</v>
      </c>
      <c r="B728" t="s">
        <v>418</v>
      </c>
      <c r="C728" t="s">
        <v>419</v>
      </c>
      <c r="D728" t="s">
        <v>420</v>
      </c>
      <c r="E728" t="s">
        <v>149</v>
      </c>
      <c r="F728">
        <f>ventas_libreria[[#This Row],[precio_eur]]/100</f>
        <v>13.52</v>
      </c>
      <c r="G728">
        <v>1352</v>
      </c>
      <c r="H728">
        <v>2</v>
      </c>
      <c r="I728">
        <f>ventas_libreria[[#This Row],[precio]]*ventas_libreria[[#This Row],[cantidad]]</f>
        <v>27.04</v>
      </c>
      <c r="J728">
        <v>39</v>
      </c>
      <c r="K728" t="s">
        <v>20</v>
      </c>
      <c r="L728" s="1">
        <v>45570</v>
      </c>
      <c r="M728" t="s">
        <v>21</v>
      </c>
      <c r="N728" t="s">
        <v>32</v>
      </c>
      <c r="O728" t="s">
        <v>33</v>
      </c>
      <c r="P728" t="s">
        <v>24</v>
      </c>
      <c r="Q728">
        <v>4</v>
      </c>
      <c r="R728">
        <f>IF(ventas_libreria[[#This Row],[valoracion_cliente]]="","Sin valoración",ventas_libreria[[#This Row],[valoracion_cliente]])</f>
        <v>4</v>
      </c>
    </row>
    <row r="729" spans="1:18" x14ac:dyDescent="0.25">
      <c r="A729" t="s">
        <v>1005</v>
      </c>
      <c r="B729" t="s">
        <v>398</v>
      </c>
      <c r="C729" t="s">
        <v>399</v>
      </c>
      <c r="D729" t="s">
        <v>167</v>
      </c>
      <c r="E729" t="s">
        <v>61</v>
      </c>
      <c r="F729">
        <f>ventas_libreria[[#This Row],[precio_eur]]/100</f>
        <v>13.52</v>
      </c>
      <c r="G729">
        <v>1352</v>
      </c>
      <c r="H729">
        <v>3</v>
      </c>
      <c r="I729">
        <f>ventas_libreria[[#This Row],[precio]]*ventas_libreria[[#This Row],[cantidad]]</f>
        <v>40.56</v>
      </c>
      <c r="J729">
        <v>60</v>
      </c>
      <c r="K729" t="s">
        <v>38</v>
      </c>
      <c r="L729" s="1">
        <v>45575</v>
      </c>
      <c r="M729" t="s">
        <v>31</v>
      </c>
      <c r="N729" t="s">
        <v>32</v>
      </c>
      <c r="O729" t="s">
        <v>33</v>
      </c>
      <c r="P729" t="s">
        <v>56</v>
      </c>
      <c r="Q729">
        <v>5</v>
      </c>
      <c r="R729">
        <f>IF(ventas_libreria[[#This Row],[valoracion_cliente]]="","Sin valoración",ventas_libreria[[#This Row],[valoracion_cliente]])</f>
        <v>5</v>
      </c>
    </row>
    <row r="730" spans="1:18" x14ac:dyDescent="0.25">
      <c r="A730" t="s">
        <v>1006</v>
      </c>
      <c r="B730" t="s">
        <v>208</v>
      </c>
      <c r="C730" t="s">
        <v>209</v>
      </c>
      <c r="D730" t="s">
        <v>106</v>
      </c>
      <c r="E730" t="s">
        <v>107</v>
      </c>
      <c r="F730">
        <f>ventas_libreria[[#This Row],[precio_eur]]/100</f>
        <v>11.92</v>
      </c>
      <c r="G730">
        <v>1192</v>
      </c>
      <c r="H730">
        <v>1</v>
      </c>
      <c r="I730">
        <f>ventas_libreria[[#This Row],[precio]]*ventas_libreria[[#This Row],[cantidad]]</f>
        <v>11.92</v>
      </c>
      <c r="J730">
        <v>11</v>
      </c>
      <c r="K730" t="s">
        <v>62</v>
      </c>
      <c r="L730" s="1">
        <v>45874</v>
      </c>
      <c r="M730" t="s">
        <v>31</v>
      </c>
      <c r="N730" t="s">
        <v>22</v>
      </c>
      <c r="O730" t="s">
        <v>67</v>
      </c>
      <c r="P730" t="s">
        <v>24</v>
      </c>
      <c r="Q730">
        <v>5</v>
      </c>
      <c r="R730">
        <f>IF(ventas_libreria[[#This Row],[valoracion_cliente]]="","Sin valoración",ventas_libreria[[#This Row],[valoracion_cliente]])</f>
        <v>5</v>
      </c>
    </row>
    <row r="731" spans="1:18" x14ac:dyDescent="0.25">
      <c r="A731" t="s">
        <v>1007</v>
      </c>
      <c r="B731" t="s">
        <v>332</v>
      </c>
      <c r="C731" t="s">
        <v>333</v>
      </c>
      <c r="D731" t="s">
        <v>334</v>
      </c>
      <c r="E731" t="s">
        <v>116</v>
      </c>
      <c r="F731">
        <f>ventas_libreria[[#This Row],[precio_eur]]/100</f>
        <v>1.69</v>
      </c>
      <c r="G731">
        <v>169</v>
      </c>
      <c r="H731">
        <v>1</v>
      </c>
      <c r="I731">
        <f>ventas_libreria[[#This Row],[precio]]*ventas_libreria[[#This Row],[cantidad]]</f>
        <v>1.69</v>
      </c>
      <c r="J731">
        <v>57</v>
      </c>
      <c r="K731" t="s">
        <v>62</v>
      </c>
      <c r="L731" s="1">
        <v>45892</v>
      </c>
      <c r="M731" t="s">
        <v>21</v>
      </c>
      <c r="N731" t="s">
        <v>22</v>
      </c>
      <c r="O731" t="s">
        <v>67</v>
      </c>
      <c r="P731" t="s">
        <v>24</v>
      </c>
      <c r="Q731">
        <v>4</v>
      </c>
      <c r="R731">
        <f>IF(ventas_libreria[[#This Row],[valoracion_cliente]]="","Sin valoración",ventas_libreria[[#This Row],[valoracion_cliente]])</f>
        <v>4</v>
      </c>
    </row>
    <row r="732" spans="1:18" x14ac:dyDescent="0.25">
      <c r="A732" t="s">
        <v>1008</v>
      </c>
      <c r="B732" t="s">
        <v>348</v>
      </c>
      <c r="C732" t="s">
        <v>349</v>
      </c>
      <c r="D732" t="s">
        <v>350</v>
      </c>
      <c r="E732" t="s">
        <v>116</v>
      </c>
      <c r="F732">
        <f>ventas_libreria[[#This Row],[precio_eur]]/100</f>
        <v>20.89</v>
      </c>
      <c r="G732">
        <v>2089</v>
      </c>
      <c r="H732">
        <v>3</v>
      </c>
      <c r="I732">
        <f>ventas_libreria[[#This Row],[precio]]*ventas_libreria[[#This Row],[cantidad]]</f>
        <v>62.67</v>
      </c>
      <c r="J732">
        <v>44</v>
      </c>
      <c r="K732" t="s">
        <v>38</v>
      </c>
      <c r="L732" s="1">
        <v>45970</v>
      </c>
      <c r="M732" t="s">
        <v>31</v>
      </c>
      <c r="N732" t="s">
        <v>32</v>
      </c>
      <c r="O732" t="s">
        <v>33</v>
      </c>
      <c r="P732" t="s">
        <v>50</v>
      </c>
      <c r="R732" t="str">
        <f>IF(ventas_libreria[[#This Row],[valoracion_cliente]]="","Sin valoración",ventas_libreria[[#This Row],[valoracion_cliente]])</f>
        <v>Sin valoración</v>
      </c>
    </row>
    <row r="733" spans="1:18" x14ac:dyDescent="0.25">
      <c r="A733" t="s">
        <v>1009</v>
      </c>
      <c r="B733" t="s">
        <v>291</v>
      </c>
      <c r="C733" t="s">
        <v>292</v>
      </c>
      <c r="D733" t="s">
        <v>76</v>
      </c>
      <c r="E733" t="s">
        <v>77</v>
      </c>
      <c r="F733">
        <f>ventas_libreria[[#This Row],[precio_eur]]/100</f>
        <v>8.42</v>
      </c>
      <c r="G733">
        <v>842</v>
      </c>
      <c r="H733">
        <v>1</v>
      </c>
      <c r="I733">
        <f>ventas_libreria[[#This Row],[precio]]*ventas_libreria[[#This Row],[cantidad]]</f>
        <v>8.42</v>
      </c>
      <c r="J733">
        <v>6</v>
      </c>
      <c r="K733" t="s">
        <v>62</v>
      </c>
      <c r="L733" s="1">
        <v>45941</v>
      </c>
      <c r="M733" t="s">
        <v>31</v>
      </c>
      <c r="N733" t="s">
        <v>22</v>
      </c>
      <c r="O733" t="s">
        <v>49</v>
      </c>
      <c r="P733" t="s">
        <v>24</v>
      </c>
      <c r="Q733">
        <v>4</v>
      </c>
      <c r="R733">
        <f>IF(ventas_libreria[[#This Row],[valoracion_cliente]]="","Sin valoración",ventas_libreria[[#This Row],[valoracion_cliente]])</f>
        <v>4</v>
      </c>
    </row>
    <row r="734" spans="1:18" x14ac:dyDescent="0.25">
      <c r="A734" t="s">
        <v>1010</v>
      </c>
      <c r="B734" t="s">
        <v>301</v>
      </c>
      <c r="C734" t="s">
        <v>302</v>
      </c>
      <c r="D734" t="s">
        <v>245</v>
      </c>
      <c r="E734" t="s">
        <v>48</v>
      </c>
      <c r="F734">
        <f>ventas_libreria[[#This Row],[precio_eur]]/100</f>
        <v>2.4900000000000002</v>
      </c>
      <c r="G734">
        <v>249</v>
      </c>
      <c r="H734">
        <v>2</v>
      </c>
      <c r="I734">
        <f>ventas_libreria[[#This Row],[precio]]*ventas_libreria[[#This Row],[cantidad]]</f>
        <v>4.9800000000000004</v>
      </c>
      <c r="J734">
        <v>67</v>
      </c>
      <c r="K734" t="s">
        <v>20</v>
      </c>
      <c r="L734" s="1">
        <v>45634</v>
      </c>
      <c r="M734" t="s">
        <v>21</v>
      </c>
      <c r="N734" t="s">
        <v>22</v>
      </c>
      <c r="O734" t="s">
        <v>132</v>
      </c>
      <c r="P734" t="s">
        <v>24</v>
      </c>
      <c r="Q734">
        <v>4</v>
      </c>
      <c r="R734">
        <f>IF(ventas_libreria[[#This Row],[valoracion_cliente]]="","Sin valoración",ventas_libreria[[#This Row],[valoracion_cliente]])</f>
        <v>4</v>
      </c>
    </row>
    <row r="735" spans="1:18" x14ac:dyDescent="0.25">
      <c r="A735" t="s">
        <v>1011</v>
      </c>
      <c r="B735" t="s">
        <v>40</v>
      </c>
      <c r="C735" t="s">
        <v>41</v>
      </c>
      <c r="D735" t="s">
        <v>42</v>
      </c>
      <c r="E735" t="s">
        <v>19</v>
      </c>
      <c r="F735">
        <f>ventas_libreria[[#This Row],[precio_eur]]/100</f>
        <v>10.96</v>
      </c>
      <c r="G735">
        <v>1096</v>
      </c>
      <c r="H735">
        <v>1</v>
      </c>
      <c r="I735">
        <f>ventas_libreria[[#This Row],[precio]]*ventas_libreria[[#This Row],[cantidad]]</f>
        <v>10.96</v>
      </c>
      <c r="J735">
        <v>34</v>
      </c>
      <c r="K735" t="s">
        <v>62</v>
      </c>
      <c r="L735" s="1">
        <v>45508</v>
      </c>
      <c r="M735" t="s">
        <v>31</v>
      </c>
      <c r="N735" t="s">
        <v>22</v>
      </c>
      <c r="O735" t="s">
        <v>23</v>
      </c>
      <c r="P735" t="s">
        <v>56</v>
      </c>
      <c r="Q735">
        <v>5</v>
      </c>
      <c r="R735">
        <f>IF(ventas_libreria[[#This Row],[valoracion_cliente]]="","Sin valoración",ventas_libreria[[#This Row],[valoracion_cliente]])</f>
        <v>5</v>
      </c>
    </row>
    <row r="736" spans="1:18" x14ac:dyDescent="0.25">
      <c r="A736" t="s">
        <v>1012</v>
      </c>
      <c r="B736" t="s">
        <v>109</v>
      </c>
      <c r="C736" t="s">
        <v>110</v>
      </c>
      <c r="D736" t="s">
        <v>111</v>
      </c>
      <c r="E736" t="s">
        <v>55</v>
      </c>
      <c r="F736">
        <f>ventas_libreria[[#This Row],[precio_eur]]/100</f>
        <v>15.92</v>
      </c>
      <c r="G736">
        <v>1592</v>
      </c>
      <c r="H736">
        <v>2</v>
      </c>
      <c r="I736">
        <f>ventas_libreria[[#This Row],[precio]]*ventas_libreria[[#This Row],[cantidad]]</f>
        <v>31.84</v>
      </c>
      <c r="J736">
        <v>23</v>
      </c>
      <c r="K736" t="s">
        <v>62</v>
      </c>
      <c r="L736" s="1">
        <v>45063</v>
      </c>
      <c r="M736" t="s">
        <v>31</v>
      </c>
      <c r="N736" t="s">
        <v>22</v>
      </c>
      <c r="O736" t="s">
        <v>49</v>
      </c>
      <c r="P736" t="s">
        <v>84</v>
      </c>
      <c r="Q736">
        <v>5</v>
      </c>
      <c r="R736">
        <f>IF(ventas_libreria[[#This Row],[valoracion_cliente]]="","Sin valoración",ventas_libreria[[#This Row],[valoracion_cliente]])</f>
        <v>5</v>
      </c>
    </row>
    <row r="737" spans="1:18" x14ac:dyDescent="0.25">
      <c r="A737" t="s">
        <v>1013</v>
      </c>
      <c r="B737" t="s">
        <v>40</v>
      </c>
      <c r="C737" t="s">
        <v>41</v>
      </c>
      <c r="D737" t="s">
        <v>42</v>
      </c>
      <c r="E737" t="s">
        <v>19</v>
      </c>
      <c r="F737">
        <f>ventas_libreria[[#This Row],[precio_eur]]/100</f>
        <v>10.32</v>
      </c>
      <c r="G737">
        <v>1032</v>
      </c>
      <c r="H737">
        <v>3</v>
      </c>
      <c r="I737">
        <f>ventas_libreria[[#This Row],[precio]]*ventas_libreria[[#This Row],[cantidad]]</f>
        <v>30.96</v>
      </c>
      <c r="J737">
        <v>47</v>
      </c>
      <c r="K737" t="s">
        <v>38</v>
      </c>
      <c r="L737" s="1">
        <v>45112</v>
      </c>
      <c r="M737" t="s">
        <v>21</v>
      </c>
      <c r="N737" t="s">
        <v>32</v>
      </c>
      <c r="O737" t="s">
        <v>33</v>
      </c>
      <c r="P737" t="s">
        <v>84</v>
      </c>
      <c r="Q737">
        <v>5</v>
      </c>
      <c r="R737">
        <f>IF(ventas_libreria[[#This Row],[valoracion_cliente]]="","Sin valoración",ventas_libreria[[#This Row],[valoracion_cliente]])</f>
        <v>5</v>
      </c>
    </row>
    <row r="738" spans="1:18" x14ac:dyDescent="0.25">
      <c r="A738" t="s">
        <v>1014</v>
      </c>
      <c r="B738" t="s">
        <v>215</v>
      </c>
      <c r="C738" t="s">
        <v>216</v>
      </c>
      <c r="D738" t="s">
        <v>217</v>
      </c>
      <c r="E738" t="s">
        <v>55</v>
      </c>
      <c r="F738">
        <f>ventas_libreria[[#This Row],[precio_eur]]/100</f>
        <v>1.85</v>
      </c>
      <c r="G738">
        <v>185</v>
      </c>
      <c r="H738">
        <v>1</v>
      </c>
      <c r="I738">
        <f>ventas_libreria[[#This Row],[precio]]*ventas_libreria[[#This Row],[cantidad]]</f>
        <v>1.85</v>
      </c>
      <c r="J738">
        <v>22</v>
      </c>
      <c r="K738" t="s">
        <v>38</v>
      </c>
      <c r="L738" s="1">
        <v>45917</v>
      </c>
      <c r="M738" t="s">
        <v>43</v>
      </c>
      <c r="N738" t="s">
        <v>32</v>
      </c>
      <c r="O738" t="s">
        <v>33</v>
      </c>
      <c r="P738" t="s">
        <v>34</v>
      </c>
      <c r="Q738">
        <v>5</v>
      </c>
      <c r="R738">
        <f>IF(ventas_libreria[[#This Row],[valoracion_cliente]]="","Sin valoración",ventas_libreria[[#This Row],[valoracion_cliente]])</f>
        <v>5</v>
      </c>
    </row>
    <row r="739" spans="1:18" x14ac:dyDescent="0.25">
      <c r="A739" t="s">
        <v>1015</v>
      </c>
      <c r="B739" t="s">
        <v>109</v>
      </c>
      <c r="C739" t="s">
        <v>110</v>
      </c>
      <c r="D739" t="s">
        <v>111</v>
      </c>
      <c r="E739" t="s">
        <v>55</v>
      </c>
      <c r="F739">
        <f>ventas_libreria[[#This Row],[precio_eur]]/100</f>
        <v>1.99</v>
      </c>
      <c r="G739">
        <v>199</v>
      </c>
      <c r="H739">
        <v>1</v>
      </c>
      <c r="I739">
        <f>ventas_libreria[[#This Row],[precio]]*ventas_libreria[[#This Row],[cantidad]]</f>
        <v>1.99</v>
      </c>
      <c r="J739">
        <v>69</v>
      </c>
      <c r="K739" t="s">
        <v>38</v>
      </c>
      <c r="L739" s="1">
        <v>45838</v>
      </c>
      <c r="M739" t="s">
        <v>31</v>
      </c>
      <c r="N739" t="s">
        <v>32</v>
      </c>
      <c r="O739" t="s">
        <v>33</v>
      </c>
      <c r="P739" t="s">
        <v>34</v>
      </c>
      <c r="Q739">
        <v>5</v>
      </c>
      <c r="R739">
        <f>IF(ventas_libreria[[#This Row],[valoracion_cliente]]="","Sin valoración",ventas_libreria[[#This Row],[valoracion_cliente]])</f>
        <v>5</v>
      </c>
    </row>
    <row r="740" spans="1:18" x14ac:dyDescent="0.25">
      <c r="A740" t="s">
        <v>1016</v>
      </c>
      <c r="B740" t="s">
        <v>125</v>
      </c>
      <c r="C740" t="s">
        <v>126</v>
      </c>
      <c r="D740" t="s">
        <v>127</v>
      </c>
      <c r="E740" t="s">
        <v>29</v>
      </c>
      <c r="F740">
        <f>ventas_libreria[[#This Row],[precio_eur]]/100</f>
        <v>18.79</v>
      </c>
      <c r="G740">
        <v>1879</v>
      </c>
      <c r="H740">
        <v>4</v>
      </c>
      <c r="I740">
        <f>ventas_libreria[[#This Row],[precio]]*ventas_libreria[[#This Row],[cantidad]]</f>
        <v>75.16</v>
      </c>
      <c r="J740">
        <v>36</v>
      </c>
      <c r="K740" t="s">
        <v>62</v>
      </c>
      <c r="L740" s="1">
        <v>45000</v>
      </c>
      <c r="M740" t="s">
        <v>31</v>
      </c>
      <c r="N740" t="s">
        <v>32</v>
      </c>
      <c r="O740" t="s">
        <v>33</v>
      </c>
      <c r="P740" t="s">
        <v>34</v>
      </c>
      <c r="Q740">
        <v>5</v>
      </c>
      <c r="R740">
        <f>IF(ventas_libreria[[#This Row],[valoracion_cliente]]="","Sin valoración",ventas_libreria[[#This Row],[valoracion_cliente]])</f>
        <v>5</v>
      </c>
    </row>
    <row r="741" spans="1:18" x14ac:dyDescent="0.25">
      <c r="A741" t="s">
        <v>1017</v>
      </c>
      <c r="B741" t="s">
        <v>327</v>
      </c>
      <c r="C741" t="s">
        <v>328</v>
      </c>
      <c r="D741" t="s">
        <v>288</v>
      </c>
      <c r="E741" t="s">
        <v>289</v>
      </c>
      <c r="F741">
        <f>ventas_libreria[[#This Row],[precio_eur]]/100</f>
        <v>19.46</v>
      </c>
      <c r="G741">
        <v>1946</v>
      </c>
      <c r="H741">
        <v>1</v>
      </c>
      <c r="I741">
        <f>ventas_libreria[[#This Row],[precio]]*ventas_libreria[[#This Row],[cantidad]]</f>
        <v>19.46</v>
      </c>
      <c r="J741">
        <v>24</v>
      </c>
      <c r="K741" t="s">
        <v>38</v>
      </c>
      <c r="L741" s="1">
        <v>45793</v>
      </c>
      <c r="M741" t="s">
        <v>21</v>
      </c>
      <c r="N741" t="s">
        <v>22</v>
      </c>
      <c r="O741" t="s">
        <v>98</v>
      </c>
      <c r="P741" t="s">
        <v>24</v>
      </c>
      <c r="Q741">
        <v>4</v>
      </c>
      <c r="R741">
        <f>IF(ventas_libreria[[#This Row],[valoracion_cliente]]="","Sin valoración",ventas_libreria[[#This Row],[valoracion_cliente]])</f>
        <v>4</v>
      </c>
    </row>
    <row r="742" spans="1:18" x14ac:dyDescent="0.25">
      <c r="A742" t="s">
        <v>1018</v>
      </c>
      <c r="B742" t="s">
        <v>260</v>
      </c>
      <c r="C742" t="s">
        <v>261</v>
      </c>
      <c r="D742" t="s">
        <v>262</v>
      </c>
      <c r="E742" t="s">
        <v>263</v>
      </c>
      <c r="F742">
        <f>ventas_libreria[[#This Row],[precio_eur]]/100</f>
        <v>24.09</v>
      </c>
      <c r="G742">
        <v>2409</v>
      </c>
      <c r="H742">
        <v>1</v>
      </c>
      <c r="I742">
        <f>ventas_libreria[[#This Row],[precio]]*ventas_libreria[[#This Row],[cantidad]]</f>
        <v>24.09</v>
      </c>
      <c r="J742">
        <v>25</v>
      </c>
      <c r="K742" t="s">
        <v>62</v>
      </c>
      <c r="L742" s="1">
        <v>45948</v>
      </c>
      <c r="M742" t="s">
        <v>21</v>
      </c>
      <c r="N742" t="s">
        <v>22</v>
      </c>
      <c r="O742" t="s">
        <v>132</v>
      </c>
      <c r="P742" t="s">
        <v>34</v>
      </c>
      <c r="Q742">
        <v>5</v>
      </c>
      <c r="R742">
        <f>IF(ventas_libreria[[#This Row],[valoracion_cliente]]="","Sin valoración",ventas_libreria[[#This Row],[valoracion_cliente]])</f>
        <v>5</v>
      </c>
    </row>
    <row r="743" spans="1:18" x14ac:dyDescent="0.25">
      <c r="A743" t="s">
        <v>1019</v>
      </c>
      <c r="B743" t="s">
        <v>125</v>
      </c>
      <c r="C743" t="s">
        <v>126</v>
      </c>
      <c r="D743" t="s">
        <v>127</v>
      </c>
      <c r="E743" t="s">
        <v>29</v>
      </c>
      <c r="F743">
        <f>ventas_libreria[[#This Row],[precio_eur]]/100</f>
        <v>14.32</v>
      </c>
      <c r="G743">
        <v>1432</v>
      </c>
      <c r="H743">
        <v>1</v>
      </c>
      <c r="I743">
        <f>ventas_libreria[[#This Row],[precio]]*ventas_libreria[[#This Row],[cantidad]]</f>
        <v>14.32</v>
      </c>
      <c r="J743">
        <v>51</v>
      </c>
      <c r="K743" t="s">
        <v>20</v>
      </c>
      <c r="L743" s="1">
        <v>44950</v>
      </c>
      <c r="M743" t="s">
        <v>31</v>
      </c>
      <c r="N743" t="s">
        <v>22</v>
      </c>
      <c r="O743" t="s">
        <v>67</v>
      </c>
      <c r="P743" t="s">
        <v>24</v>
      </c>
      <c r="Q743">
        <v>5</v>
      </c>
      <c r="R743">
        <f>IF(ventas_libreria[[#This Row],[valoracion_cliente]]="","Sin valoración",ventas_libreria[[#This Row],[valoracion_cliente]])</f>
        <v>5</v>
      </c>
    </row>
    <row r="744" spans="1:18" x14ac:dyDescent="0.25">
      <c r="A744" t="s">
        <v>1020</v>
      </c>
      <c r="B744" t="s">
        <v>247</v>
      </c>
      <c r="C744" t="s">
        <v>248</v>
      </c>
      <c r="D744" t="s">
        <v>249</v>
      </c>
      <c r="E744" t="s">
        <v>172</v>
      </c>
      <c r="F744">
        <f>ventas_libreria[[#This Row],[precio_eur]]/100</f>
        <v>12.51</v>
      </c>
      <c r="G744">
        <v>1251</v>
      </c>
      <c r="H744">
        <v>1</v>
      </c>
      <c r="I744">
        <f>ventas_libreria[[#This Row],[precio]]*ventas_libreria[[#This Row],[cantidad]]</f>
        <v>12.51</v>
      </c>
      <c r="J744">
        <v>43</v>
      </c>
      <c r="K744" t="s">
        <v>38</v>
      </c>
      <c r="L744" s="1">
        <v>45964</v>
      </c>
      <c r="M744" t="s">
        <v>31</v>
      </c>
      <c r="N744" t="s">
        <v>22</v>
      </c>
      <c r="O744" t="s">
        <v>67</v>
      </c>
      <c r="P744" t="s">
        <v>24</v>
      </c>
      <c r="Q744">
        <v>4</v>
      </c>
      <c r="R744">
        <f>IF(ventas_libreria[[#This Row],[valoracion_cliente]]="","Sin valoración",ventas_libreria[[#This Row],[valoracion_cliente]])</f>
        <v>4</v>
      </c>
    </row>
    <row r="745" spans="1:18" x14ac:dyDescent="0.25">
      <c r="A745" t="s">
        <v>1021</v>
      </c>
      <c r="B745" t="s">
        <v>338</v>
      </c>
      <c r="C745" t="s">
        <v>339</v>
      </c>
      <c r="D745" t="s">
        <v>167</v>
      </c>
      <c r="E745" t="s">
        <v>61</v>
      </c>
      <c r="F745">
        <f>ventas_libreria[[#This Row],[precio_eur]]/100</f>
        <v>2.29</v>
      </c>
      <c r="G745">
        <v>229</v>
      </c>
      <c r="H745">
        <v>1</v>
      </c>
      <c r="I745">
        <f>ventas_libreria[[#This Row],[precio]]*ventas_libreria[[#This Row],[cantidad]]</f>
        <v>2.29</v>
      </c>
      <c r="J745">
        <v>63</v>
      </c>
      <c r="K745" t="s">
        <v>20</v>
      </c>
      <c r="L745" s="1">
        <v>45683</v>
      </c>
      <c r="M745" t="s">
        <v>43</v>
      </c>
      <c r="N745" t="s">
        <v>32</v>
      </c>
      <c r="O745" t="s">
        <v>33</v>
      </c>
      <c r="P745" t="s">
        <v>50</v>
      </c>
      <c r="Q745">
        <v>4</v>
      </c>
      <c r="R745">
        <f>IF(ventas_libreria[[#This Row],[valoracion_cliente]]="","Sin valoración",ventas_libreria[[#This Row],[valoracion_cliente]])</f>
        <v>4</v>
      </c>
    </row>
    <row r="746" spans="1:18" x14ac:dyDescent="0.25">
      <c r="A746" t="s">
        <v>1022</v>
      </c>
      <c r="B746" t="s">
        <v>58</v>
      </c>
      <c r="C746" t="s">
        <v>59</v>
      </c>
      <c r="D746" t="s">
        <v>60</v>
      </c>
      <c r="E746" t="s">
        <v>61</v>
      </c>
      <c r="F746">
        <f>ventas_libreria[[#This Row],[precio_eur]]/100</f>
        <v>14.19</v>
      </c>
      <c r="G746">
        <v>1419</v>
      </c>
      <c r="H746">
        <v>1</v>
      </c>
      <c r="I746">
        <f>ventas_libreria[[#This Row],[precio]]*ventas_libreria[[#This Row],[cantidad]]</f>
        <v>14.19</v>
      </c>
      <c r="J746">
        <v>24</v>
      </c>
      <c r="K746" t="s">
        <v>38</v>
      </c>
      <c r="L746" s="1">
        <v>45350</v>
      </c>
      <c r="M746" t="s">
        <v>21</v>
      </c>
      <c r="N746" t="s">
        <v>22</v>
      </c>
      <c r="O746" t="s">
        <v>67</v>
      </c>
      <c r="P746" t="s">
        <v>24</v>
      </c>
      <c r="Q746">
        <v>4</v>
      </c>
      <c r="R746">
        <f>IF(ventas_libreria[[#This Row],[valoracion_cliente]]="","Sin valoración",ventas_libreria[[#This Row],[valoracion_cliente]])</f>
        <v>4</v>
      </c>
    </row>
    <row r="747" spans="1:18" x14ac:dyDescent="0.25">
      <c r="A747" t="s">
        <v>1023</v>
      </c>
      <c r="B747" t="s">
        <v>36</v>
      </c>
      <c r="C747" t="s">
        <v>37</v>
      </c>
      <c r="D747" t="s">
        <v>28</v>
      </c>
      <c r="E747" t="s">
        <v>29</v>
      </c>
      <c r="F747">
        <f>ventas_libreria[[#This Row],[precio_eur]]/100</f>
        <v>17.010000000000002</v>
      </c>
      <c r="G747">
        <v>1701</v>
      </c>
      <c r="H747">
        <v>1</v>
      </c>
      <c r="I747">
        <f>ventas_libreria[[#This Row],[precio]]*ventas_libreria[[#This Row],[cantidad]]</f>
        <v>17.010000000000002</v>
      </c>
      <c r="J747">
        <v>58</v>
      </c>
      <c r="K747" t="s">
        <v>30</v>
      </c>
      <c r="L747" s="1">
        <v>45990</v>
      </c>
      <c r="M747" t="s">
        <v>31</v>
      </c>
      <c r="N747" t="s">
        <v>22</v>
      </c>
      <c r="O747" t="s">
        <v>23</v>
      </c>
      <c r="P747" t="s">
        <v>50</v>
      </c>
      <c r="Q747">
        <v>4</v>
      </c>
      <c r="R747">
        <f>IF(ventas_libreria[[#This Row],[valoracion_cliente]]="","Sin valoración",ventas_libreria[[#This Row],[valoracion_cliente]])</f>
        <v>4</v>
      </c>
    </row>
    <row r="748" spans="1:18" x14ac:dyDescent="0.25">
      <c r="A748" t="s">
        <v>1024</v>
      </c>
      <c r="B748" t="s">
        <v>461</v>
      </c>
      <c r="C748" t="s">
        <v>462</v>
      </c>
      <c r="D748" t="s">
        <v>143</v>
      </c>
      <c r="E748" t="s">
        <v>116</v>
      </c>
      <c r="F748">
        <f>ventas_libreria[[#This Row],[precio_eur]]/100</f>
        <v>11.81</v>
      </c>
      <c r="G748">
        <v>1181</v>
      </c>
      <c r="H748">
        <v>2</v>
      </c>
      <c r="I748">
        <f>ventas_libreria[[#This Row],[precio]]*ventas_libreria[[#This Row],[cantidad]]</f>
        <v>23.62</v>
      </c>
      <c r="J748">
        <v>51</v>
      </c>
      <c r="K748" t="s">
        <v>30</v>
      </c>
      <c r="L748" s="1">
        <v>45387</v>
      </c>
      <c r="M748" t="s">
        <v>43</v>
      </c>
      <c r="N748" t="s">
        <v>32</v>
      </c>
      <c r="O748" t="s">
        <v>33</v>
      </c>
      <c r="P748" t="s">
        <v>34</v>
      </c>
      <c r="Q748">
        <v>5</v>
      </c>
      <c r="R748">
        <f>IF(ventas_libreria[[#This Row],[valoracion_cliente]]="","Sin valoración",ventas_libreria[[#This Row],[valoracion_cliente]])</f>
        <v>5</v>
      </c>
    </row>
    <row r="749" spans="1:18" x14ac:dyDescent="0.25">
      <c r="A749" t="s">
        <v>1025</v>
      </c>
      <c r="B749" t="s">
        <v>265</v>
      </c>
      <c r="C749" t="s">
        <v>266</v>
      </c>
      <c r="D749" t="s">
        <v>162</v>
      </c>
      <c r="E749" t="s">
        <v>29</v>
      </c>
      <c r="F749">
        <f>ventas_libreria[[#This Row],[precio_eur]]/100</f>
        <v>14.36</v>
      </c>
      <c r="G749">
        <v>1436</v>
      </c>
      <c r="H749">
        <v>2</v>
      </c>
      <c r="I749">
        <f>ventas_libreria[[#This Row],[precio]]*ventas_libreria[[#This Row],[cantidad]]</f>
        <v>28.72</v>
      </c>
      <c r="J749">
        <v>19</v>
      </c>
      <c r="K749" t="s">
        <v>30</v>
      </c>
      <c r="L749" s="1">
        <v>45750</v>
      </c>
      <c r="M749" t="s">
        <v>43</v>
      </c>
      <c r="N749" t="s">
        <v>32</v>
      </c>
      <c r="O749" t="s">
        <v>33</v>
      </c>
      <c r="P749" t="s">
        <v>24</v>
      </c>
      <c r="Q749">
        <v>5</v>
      </c>
      <c r="R749">
        <f>IF(ventas_libreria[[#This Row],[valoracion_cliente]]="","Sin valoración",ventas_libreria[[#This Row],[valoracion_cliente]])</f>
        <v>5</v>
      </c>
    </row>
    <row r="750" spans="1:18" x14ac:dyDescent="0.25">
      <c r="A750" t="s">
        <v>1026</v>
      </c>
      <c r="B750" t="s">
        <v>268</v>
      </c>
      <c r="C750" t="s">
        <v>269</v>
      </c>
      <c r="D750" t="s">
        <v>270</v>
      </c>
      <c r="E750" t="s">
        <v>83</v>
      </c>
      <c r="F750">
        <f>ventas_libreria[[#This Row],[precio_eur]]/100</f>
        <v>8.7200000000000006</v>
      </c>
      <c r="G750">
        <v>872</v>
      </c>
      <c r="H750">
        <v>1</v>
      </c>
      <c r="I750">
        <f>ventas_libreria[[#This Row],[precio]]*ventas_libreria[[#This Row],[cantidad]]</f>
        <v>8.7200000000000006</v>
      </c>
      <c r="J750">
        <v>72</v>
      </c>
      <c r="K750" t="s">
        <v>62</v>
      </c>
      <c r="L750" s="1">
        <v>45249</v>
      </c>
      <c r="M750" t="s">
        <v>43</v>
      </c>
      <c r="N750" t="s">
        <v>32</v>
      </c>
      <c r="O750" t="s">
        <v>33</v>
      </c>
      <c r="P750" t="s">
        <v>84</v>
      </c>
      <c r="Q750">
        <v>4</v>
      </c>
      <c r="R750">
        <f>IF(ventas_libreria[[#This Row],[valoracion_cliente]]="","Sin valoración",ventas_libreria[[#This Row],[valoracion_cliente]])</f>
        <v>4</v>
      </c>
    </row>
    <row r="751" spans="1:18" x14ac:dyDescent="0.25">
      <c r="A751" t="s">
        <v>1027</v>
      </c>
      <c r="B751" t="s">
        <v>141</v>
      </c>
      <c r="C751" t="s">
        <v>142</v>
      </c>
      <c r="D751" t="s">
        <v>143</v>
      </c>
      <c r="E751" t="s">
        <v>116</v>
      </c>
      <c r="F751">
        <f>ventas_libreria[[#This Row],[precio_eur]]/100</f>
        <v>16.39</v>
      </c>
      <c r="G751">
        <v>1639</v>
      </c>
      <c r="H751">
        <v>1</v>
      </c>
      <c r="I751">
        <f>ventas_libreria[[#This Row],[precio]]*ventas_libreria[[#This Row],[cantidad]]</f>
        <v>16.39</v>
      </c>
      <c r="J751">
        <v>52</v>
      </c>
      <c r="K751" t="s">
        <v>20</v>
      </c>
      <c r="L751" s="1">
        <v>45658</v>
      </c>
      <c r="M751" t="s">
        <v>31</v>
      </c>
      <c r="N751" t="s">
        <v>22</v>
      </c>
      <c r="O751" t="s">
        <v>23</v>
      </c>
      <c r="P751" t="s">
        <v>50</v>
      </c>
      <c r="Q751">
        <v>4</v>
      </c>
      <c r="R751">
        <f>IF(ventas_libreria[[#This Row],[valoracion_cliente]]="","Sin valoración",ventas_libreria[[#This Row],[valoracion_cliente]])</f>
        <v>4</v>
      </c>
    </row>
    <row r="752" spans="1:18" x14ac:dyDescent="0.25">
      <c r="A752" t="s">
        <v>1028</v>
      </c>
      <c r="B752" t="s">
        <v>181</v>
      </c>
      <c r="C752" t="s">
        <v>182</v>
      </c>
      <c r="D752" t="s">
        <v>183</v>
      </c>
      <c r="E752" t="s">
        <v>116</v>
      </c>
      <c r="F752">
        <f>ventas_libreria[[#This Row],[precio_eur]]/100</f>
        <v>1.39</v>
      </c>
      <c r="G752">
        <v>139</v>
      </c>
      <c r="H752">
        <v>1</v>
      </c>
      <c r="I752">
        <f>ventas_libreria[[#This Row],[precio]]*ventas_libreria[[#This Row],[cantidad]]</f>
        <v>1.39</v>
      </c>
      <c r="J752">
        <v>46</v>
      </c>
      <c r="K752" t="s">
        <v>30</v>
      </c>
      <c r="L752" s="1">
        <v>45113</v>
      </c>
      <c r="M752" t="s">
        <v>43</v>
      </c>
      <c r="N752" t="s">
        <v>32</v>
      </c>
      <c r="O752" t="s">
        <v>33</v>
      </c>
      <c r="P752" t="s">
        <v>84</v>
      </c>
      <c r="Q752">
        <v>5</v>
      </c>
      <c r="R752">
        <f>IF(ventas_libreria[[#This Row],[valoracion_cliente]]="","Sin valoración",ventas_libreria[[#This Row],[valoracion_cliente]])</f>
        <v>5</v>
      </c>
    </row>
    <row r="753" spans="1:18" x14ac:dyDescent="0.25">
      <c r="A753" t="s">
        <v>1029</v>
      </c>
      <c r="B753" t="s">
        <v>236</v>
      </c>
      <c r="C753" t="s">
        <v>237</v>
      </c>
      <c r="D753" t="s">
        <v>238</v>
      </c>
      <c r="E753" t="s">
        <v>29</v>
      </c>
      <c r="F753">
        <f>ventas_libreria[[#This Row],[precio_eur]]/100</f>
        <v>14.32</v>
      </c>
      <c r="G753">
        <v>1432</v>
      </c>
      <c r="H753">
        <v>1</v>
      </c>
      <c r="I753">
        <f>ventas_libreria[[#This Row],[precio]]*ventas_libreria[[#This Row],[cantidad]]</f>
        <v>14.32</v>
      </c>
      <c r="J753">
        <v>25</v>
      </c>
      <c r="K753" t="s">
        <v>38</v>
      </c>
      <c r="L753" s="1">
        <v>45122</v>
      </c>
      <c r="M753" t="s">
        <v>31</v>
      </c>
      <c r="N753" t="s">
        <v>32</v>
      </c>
      <c r="O753" t="s">
        <v>33</v>
      </c>
      <c r="P753" t="s">
        <v>50</v>
      </c>
      <c r="Q753">
        <v>3</v>
      </c>
      <c r="R753">
        <f>IF(ventas_libreria[[#This Row],[valoracion_cliente]]="","Sin valoración",ventas_libreria[[#This Row],[valoracion_cliente]])</f>
        <v>3</v>
      </c>
    </row>
    <row r="754" spans="1:18" x14ac:dyDescent="0.25">
      <c r="A754" t="s">
        <v>1030</v>
      </c>
      <c r="B754" t="s">
        <v>197</v>
      </c>
      <c r="C754" t="s">
        <v>198</v>
      </c>
      <c r="D754" t="s">
        <v>199</v>
      </c>
      <c r="E754" t="s">
        <v>55</v>
      </c>
      <c r="F754">
        <f>ventas_libreria[[#This Row],[precio_eur]]/100</f>
        <v>1.75</v>
      </c>
      <c r="G754">
        <v>175</v>
      </c>
      <c r="H754">
        <v>1</v>
      </c>
      <c r="I754">
        <f>ventas_libreria[[#This Row],[precio]]*ventas_libreria[[#This Row],[cantidad]]</f>
        <v>1.75</v>
      </c>
      <c r="J754">
        <v>36</v>
      </c>
      <c r="K754" t="s">
        <v>20</v>
      </c>
      <c r="L754" s="1">
        <v>45965</v>
      </c>
      <c r="M754" t="s">
        <v>31</v>
      </c>
      <c r="N754" t="s">
        <v>32</v>
      </c>
      <c r="O754" t="s">
        <v>33</v>
      </c>
      <c r="P754" t="s">
        <v>50</v>
      </c>
      <c r="Q754">
        <v>5</v>
      </c>
      <c r="R754">
        <f>IF(ventas_libreria[[#This Row],[valoracion_cliente]]="","Sin valoración",ventas_libreria[[#This Row],[valoracion_cliente]])</f>
        <v>5</v>
      </c>
    </row>
    <row r="755" spans="1:18" x14ac:dyDescent="0.25">
      <c r="A755" t="s">
        <v>1031</v>
      </c>
      <c r="B755" t="s">
        <v>240</v>
      </c>
      <c r="C755" t="s">
        <v>241</v>
      </c>
      <c r="D755" t="s">
        <v>54</v>
      </c>
      <c r="E755" t="s">
        <v>172</v>
      </c>
      <c r="F755">
        <f>ventas_libreria[[#This Row],[precio_eur]]/100</f>
        <v>15.65</v>
      </c>
      <c r="G755">
        <v>1565</v>
      </c>
      <c r="H755">
        <v>1</v>
      </c>
      <c r="I755">
        <f>ventas_libreria[[#This Row],[precio]]*ventas_libreria[[#This Row],[cantidad]]</f>
        <v>15.65</v>
      </c>
      <c r="J755">
        <v>40</v>
      </c>
      <c r="K755" t="s">
        <v>62</v>
      </c>
      <c r="L755" s="1">
        <v>45017</v>
      </c>
      <c r="M755" t="s">
        <v>21</v>
      </c>
      <c r="N755" t="s">
        <v>32</v>
      </c>
      <c r="O755" t="s">
        <v>33</v>
      </c>
      <c r="P755" t="s">
        <v>50</v>
      </c>
      <c r="Q755">
        <v>5</v>
      </c>
      <c r="R755">
        <f>IF(ventas_libreria[[#This Row],[valoracion_cliente]]="","Sin valoración",ventas_libreria[[#This Row],[valoracion_cliente]])</f>
        <v>5</v>
      </c>
    </row>
    <row r="756" spans="1:18" x14ac:dyDescent="0.25">
      <c r="A756" t="s">
        <v>1032</v>
      </c>
      <c r="B756" t="s">
        <v>307</v>
      </c>
      <c r="C756" t="s">
        <v>308</v>
      </c>
      <c r="D756" t="s">
        <v>88</v>
      </c>
      <c r="E756" t="s">
        <v>77</v>
      </c>
      <c r="F756">
        <f>ventas_libreria[[#This Row],[precio_eur]]/100</f>
        <v>9.81</v>
      </c>
      <c r="G756">
        <v>981</v>
      </c>
      <c r="H756">
        <v>4</v>
      </c>
      <c r="I756">
        <f>ventas_libreria[[#This Row],[precio]]*ventas_libreria[[#This Row],[cantidad]]</f>
        <v>39.24</v>
      </c>
      <c r="J756">
        <v>7</v>
      </c>
      <c r="K756" t="s">
        <v>38</v>
      </c>
      <c r="L756" s="1">
        <v>45318</v>
      </c>
      <c r="M756" t="s">
        <v>43</v>
      </c>
      <c r="N756" t="s">
        <v>32</v>
      </c>
      <c r="O756" t="s">
        <v>33</v>
      </c>
      <c r="P756" t="s">
        <v>84</v>
      </c>
      <c r="R756" t="str">
        <f>IF(ventas_libreria[[#This Row],[valoracion_cliente]]="","Sin valoración",ventas_libreria[[#This Row],[valoracion_cliente]])</f>
        <v>Sin valoración</v>
      </c>
    </row>
    <row r="757" spans="1:18" x14ac:dyDescent="0.25">
      <c r="A757" t="s">
        <v>1033</v>
      </c>
      <c r="B757" t="s">
        <v>291</v>
      </c>
      <c r="C757" t="s">
        <v>292</v>
      </c>
      <c r="D757" t="s">
        <v>76</v>
      </c>
      <c r="E757" t="s">
        <v>77</v>
      </c>
      <c r="F757">
        <f>ventas_libreria[[#This Row],[precio_eur]]/100</f>
        <v>0.99</v>
      </c>
      <c r="G757">
        <v>99</v>
      </c>
      <c r="H757">
        <v>3</v>
      </c>
      <c r="I757">
        <f>ventas_libreria[[#This Row],[precio]]*ventas_libreria[[#This Row],[cantidad]]</f>
        <v>2.9699999999999998</v>
      </c>
      <c r="J757">
        <v>12</v>
      </c>
      <c r="K757" t="s">
        <v>30</v>
      </c>
      <c r="L757" s="1">
        <v>44976</v>
      </c>
      <c r="M757" t="s">
        <v>43</v>
      </c>
      <c r="N757" t="s">
        <v>32</v>
      </c>
      <c r="O757" t="s">
        <v>33</v>
      </c>
      <c r="P757" t="s">
        <v>34</v>
      </c>
      <c r="Q757">
        <v>5</v>
      </c>
      <c r="R757">
        <f>IF(ventas_libreria[[#This Row],[valoracion_cliente]]="","Sin valoración",ventas_libreria[[#This Row],[valoracion_cliente]])</f>
        <v>5</v>
      </c>
    </row>
    <row r="758" spans="1:18" x14ac:dyDescent="0.25">
      <c r="A758" t="s">
        <v>1034</v>
      </c>
      <c r="B758" t="s">
        <v>201</v>
      </c>
      <c r="C758" t="s">
        <v>202</v>
      </c>
      <c r="D758" t="s">
        <v>47</v>
      </c>
      <c r="E758" t="s">
        <v>107</v>
      </c>
      <c r="F758">
        <f>ventas_libreria[[#This Row],[precio_eur]]/100</f>
        <v>12.51</v>
      </c>
      <c r="G758">
        <v>1251</v>
      </c>
      <c r="H758">
        <v>1</v>
      </c>
      <c r="I758">
        <f>ventas_libreria[[#This Row],[precio]]*ventas_libreria[[#This Row],[cantidad]]</f>
        <v>12.51</v>
      </c>
      <c r="J758">
        <v>19</v>
      </c>
      <c r="K758" t="s">
        <v>30</v>
      </c>
      <c r="L758" s="1">
        <v>45932</v>
      </c>
      <c r="M758" t="s">
        <v>21</v>
      </c>
      <c r="N758" t="s">
        <v>32</v>
      </c>
      <c r="O758" t="s">
        <v>33</v>
      </c>
      <c r="P758" t="s">
        <v>24</v>
      </c>
      <c r="Q758">
        <v>5</v>
      </c>
      <c r="R758">
        <f>IF(ventas_libreria[[#This Row],[valoracion_cliente]]="","Sin valoración",ventas_libreria[[#This Row],[valoracion_cliente]])</f>
        <v>5</v>
      </c>
    </row>
    <row r="759" spans="1:18" x14ac:dyDescent="0.25">
      <c r="A759" t="s">
        <v>1035</v>
      </c>
      <c r="B759" t="s">
        <v>260</v>
      </c>
      <c r="C759" t="s">
        <v>261</v>
      </c>
      <c r="D759" t="s">
        <v>262</v>
      </c>
      <c r="E759" t="s">
        <v>263</v>
      </c>
      <c r="F759">
        <f>ventas_libreria[[#This Row],[precio_eur]]/100</f>
        <v>2.19</v>
      </c>
      <c r="G759">
        <v>219</v>
      </c>
      <c r="H759">
        <v>1</v>
      </c>
      <c r="I759">
        <f>ventas_libreria[[#This Row],[precio]]*ventas_libreria[[#This Row],[cantidad]]</f>
        <v>2.19</v>
      </c>
      <c r="J759">
        <v>34</v>
      </c>
      <c r="K759" t="s">
        <v>38</v>
      </c>
      <c r="L759" s="1">
        <v>45516</v>
      </c>
      <c r="M759" t="s">
        <v>43</v>
      </c>
      <c r="N759" t="s">
        <v>32</v>
      </c>
      <c r="O759" t="s">
        <v>33</v>
      </c>
      <c r="P759" t="s">
        <v>50</v>
      </c>
      <c r="Q759">
        <v>5</v>
      </c>
      <c r="R759">
        <f>IF(ventas_libreria[[#This Row],[valoracion_cliente]]="","Sin valoración",ventas_libreria[[#This Row],[valoracion_cliente]])</f>
        <v>5</v>
      </c>
    </row>
    <row r="760" spans="1:18" x14ac:dyDescent="0.25">
      <c r="A760" t="s">
        <v>1036</v>
      </c>
      <c r="B760" t="s">
        <v>186</v>
      </c>
      <c r="C760" t="s">
        <v>187</v>
      </c>
      <c r="D760" t="s">
        <v>188</v>
      </c>
      <c r="E760" t="s">
        <v>189</v>
      </c>
      <c r="F760">
        <f>ventas_libreria[[#This Row],[precio_eur]]/100</f>
        <v>17.91</v>
      </c>
      <c r="G760">
        <v>1791</v>
      </c>
      <c r="H760">
        <v>1</v>
      </c>
      <c r="I760">
        <f>ventas_libreria[[#This Row],[precio]]*ventas_libreria[[#This Row],[cantidad]]</f>
        <v>17.91</v>
      </c>
      <c r="J760">
        <v>27</v>
      </c>
      <c r="K760" t="s">
        <v>30</v>
      </c>
      <c r="L760" s="1">
        <v>45301</v>
      </c>
      <c r="M760" t="s">
        <v>21</v>
      </c>
      <c r="N760" t="s">
        <v>32</v>
      </c>
      <c r="O760" t="s">
        <v>33</v>
      </c>
      <c r="P760" t="s">
        <v>84</v>
      </c>
      <c r="Q760">
        <v>4</v>
      </c>
      <c r="R760">
        <f>IF(ventas_libreria[[#This Row],[valoracion_cliente]]="","Sin valoración",ventas_libreria[[#This Row],[valoracion_cliente]])</f>
        <v>4</v>
      </c>
    </row>
    <row r="761" spans="1:18" x14ac:dyDescent="0.25">
      <c r="A761" t="s">
        <v>1037</v>
      </c>
      <c r="B761" t="s">
        <v>197</v>
      </c>
      <c r="C761" t="s">
        <v>198</v>
      </c>
      <c r="D761" t="s">
        <v>199</v>
      </c>
      <c r="E761" t="s">
        <v>55</v>
      </c>
      <c r="F761">
        <f>ventas_libreria[[#This Row],[precio_eur]]/100</f>
        <v>14.88</v>
      </c>
      <c r="G761">
        <v>1488</v>
      </c>
      <c r="H761">
        <v>2</v>
      </c>
      <c r="I761">
        <f>ventas_libreria[[#This Row],[precio]]*ventas_libreria[[#This Row],[cantidad]]</f>
        <v>29.76</v>
      </c>
      <c r="J761">
        <v>45</v>
      </c>
      <c r="K761" t="s">
        <v>38</v>
      </c>
      <c r="L761" s="1">
        <v>45267</v>
      </c>
      <c r="M761" t="s">
        <v>21</v>
      </c>
      <c r="N761" t="s">
        <v>32</v>
      </c>
      <c r="O761" t="s">
        <v>33</v>
      </c>
      <c r="P761" t="s">
        <v>50</v>
      </c>
      <c r="Q761">
        <v>5</v>
      </c>
      <c r="R761">
        <f>IF(ventas_libreria[[#This Row],[valoracion_cliente]]="","Sin valoración",ventas_libreria[[#This Row],[valoracion_cliente]])</f>
        <v>5</v>
      </c>
    </row>
    <row r="762" spans="1:18" x14ac:dyDescent="0.25">
      <c r="A762" t="s">
        <v>1038</v>
      </c>
      <c r="B762" t="s">
        <v>141</v>
      </c>
      <c r="C762" t="s">
        <v>142</v>
      </c>
      <c r="D762" t="s">
        <v>143</v>
      </c>
      <c r="E762" t="s">
        <v>116</v>
      </c>
      <c r="F762">
        <f>ventas_libreria[[#This Row],[precio_eur]]/100</f>
        <v>1.49</v>
      </c>
      <c r="G762">
        <v>149</v>
      </c>
      <c r="H762">
        <v>1</v>
      </c>
      <c r="I762">
        <f>ventas_libreria[[#This Row],[precio]]*ventas_libreria[[#This Row],[cantidad]]</f>
        <v>1.49</v>
      </c>
      <c r="J762">
        <v>46</v>
      </c>
      <c r="K762" t="s">
        <v>20</v>
      </c>
      <c r="L762" s="1">
        <v>45587</v>
      </c>
      <c r="M762" t="s">
        <v>21</v>
      </c>
      <c r="N762" t="s">
        <v>32</v>
      </c>
      <c r="O762" t="s">
        <v>33</v>
      </c>
      <c r="P762" t="s">
        <v>24</v>
      </c>
      <c r="Q762">
        <v>4</v>
      </c>
      <c r="R762">
        <f>IF(ventas_libreria[[#This Row],[valoracion_cliente]]="","Sin valoración",ventas_libreria[[#This Row],[valoracion_cliente]])</f>
        <v>4</v>
      </c>
    </row>
    <row r="763" spans="1:18" x14ac:dyDescent="0.25">
      <c r="A763" t="s">
        <v>1039</v>
      </c>
      <c r="B763" t="s">
        <v>549</v>
      </c>
      <c r="C763" t="s">
        <v>550</v>
      </c>
      <c r="D763" t="s">
        <v>162</v>
      </c>
      <c r="E763" t="s">
        <v>29</v>
      </c>
      <c r="F763">
        <f>ventas_libreria[[#This Row],[precio_eur]]/100</f>
        <v>17.91</v>
      </c>
      <c r="G763">
        <v>1791</v>
      </c>
      <c r="H763">
        <v>2</v>
      </c>
      <c r="I763">
        <f>ventas_libreria[[#This Row],[precio]]*ventas_libreria[[#This Row],[cantidad]]</f>
        <v>35.82</v>
      </c>
      <c r="J763">
        <v>72</v>
      </c>
      <c r="K763" t="s">
        <v>30</v>
      </c>
      <c r="L763" s="1">
        <v>45666</v>
      </c>
      <c r="M763" t="s">
        <v>31</v>
      </c>
      <c r="N763" t="s">
        <v>22</v>
      </c>
      <c r="O763" t="s">
        <v>49</v>
      </c>
      <c r="P763" t="s">
        <v>84</v>
      </c>
      <c r="Q763">
        <v>5</v>
      </c>
      <c r="R763">
        <f>IF(ventas_libreria[[#This Row],[valoracion_cliente]]="","Sin valoración",ventas_libreria[[#This Row],[valoracion_cliente]])</f>
        <v>5</v>
      </c>
    </row>
    <row r="764" spans="1:18" x14ac:dyDescent="0.25">
      <c r="A764" t="s">
        <v>1040</v>
      </c>
      <c r="B764" t="s">
        <v>508</v>
      </c>
      <c r="C764" t="s">
        <v>509</v>
      </c>
      <c r="D764" t="s">
        <v>199</v>
      </c>
      <c r="E764" t="s">
        <v>55</v>
      </c>
      <c r="F764">
        <f>ventas_libreria[[#This Row],[precio_eur]]/100</f>
        <v>1.89</v>
      </c>
      <c r="G764">
        <v>189</v>
      </c>
      <c r="H764">
        <v>1</v>
      </c>
      <c r="I764">
        <f>ventas_libreria[[#This Row],[precio]]*ventas_libreria[[#This Row],[cantidad]]</f>
        <v>1.89</v>
      </c>
      <c r="J764">
        <v>35</v>
      </c>
      <c r="K764" t="s">
        <v>62</v>
      </c>
      <c r="L764" s="1">
        <v>45795</v>
      </c>
      <c r="M764" t="s">
        <v>31</v>
      </c>
      <c r="N764" t="s">
        <v>22</v>
      </c>
      <c r="O764" t="s">
        <v>49</v>
      </c>
      <c r="P764" t="s">
        <v>50</v>
      </c>
      <c r="Q764">
        <v>4</v>
      </c>
      <c r="R764">
        <f>IF(ventas_libreria[[#This Row],[valoracion_cliente]]="","Sin valoración",ventas_libreria[[#This Row],[valoracion_cliente]])</f>
        <v>4</v>
      </c>
    </row>
    <row r="765" spans="1:18" x14ac:dyDescent="0.25">
      <c r="A765" t="s">
        <v>1041</v>
      </c>
      <c r="B765" t="s">
        <v>160</v>
      </c>
      <c r="C765" t="s">
        <v>161</v>
      </c>
      <c r="D765" t="s">
        <v>162</v>
      </c>
      <c r="E765" t="s">
        <v>29</v>
      </c>
      <c r="F765">
        <f>ventas_libreria[[#This Row],[precio_eur]]/100</f>
        <v>13.52</v>
      </c>
      <c r="G765">
        <v>1352</v>
      </c>
      <c r="H765">
        <v>1</v>
      </c>
      <c r="I765">
        <f>ventas_libreria[[#This Row],[precio]]*ventas_libreria[[#This Row],[cantidad]]</f>
        <v>13.52</v>
      </c>
      <c r="J765">
        <v>63</v>
      </c>
      <c r="K765" t="s">
        <v>62</v>
      </c>
      <c r="L765" s="1">
        <v>45286</v>
      </c>
      <c r="M765" t="s">
        <v>21</v>
      </c>
      <c r="N765" t="s">
        <v>22</v>
      </c>
      <c r="O765" t="s">
        <v>67</v>
      </c>
      <c r="P765" t="s">
        <v>84</v>
      </c>
      <c r="Q765">
        <v>4</v>
      </c>
      <c r="R765">
        <f>IF(ventas_libreria[[#This Row],[valoracion_cliente]]="","Sin valoración",ventas_libreria[[#This Row],[valoracion_cliente]])</f>
        <v>4</v>
      </c>
    </row>
    <row r="766" spans="1:18" x14ac:dyDescent="0.25">
      <c r="A766" t="s">
        <v>1042</v>
      </c>
      <c r="B766" t="s">
        <v>86</v>
      </c>
      <c r="C766" t="s">
        <v>87</v>
      </c>
      <c r="D766" t="s">
        <v>88</v>
      </c>
      <c r="E766" t="s">
        <v>77</v>
      </c>
      <c r="F766">
        <f>ventas_libreria[[#This Row],[precio_eur]]/100</f>
        <v>10.119999999999999</v>
      </c>
      <c r="G766">
        <v>1012</v>
      </c>
      <c r="H766">
        <v>1</v>
      </c>
      <c r="I766">
        <f>ventas_libreria[[#This Row],[precio]]*ventas_libreria[[#This Row],[cantidad]]</f>
        <v>10.119999999999999</v>
      </c>
      <c r="J766">
        <v>7</v>
      </c>
      <c r="K766" t="s">
        <v>38</v>
      </c>
      <c r="L766" s="1">
        <v>45588</v>
      </c>
      <c r="M766" t="s">
        <v>43</v>
      </c>
      <c r="N766" t="s">
        <v>32</v>
      </c>
      <c r="O766" t="s">
        <v>33</v>
      </c>
      <c r="P766" t="s">
        <v>50</v>
      </c>
      <c r="Q766">
        <v>4</v>
      </c>
      <c r="R766">
        <f>IF(ventas_libreria[[#This Row],[valoracion_cliente]]="","Sin valoración",ventas_libreria[[#This Row],[valoracion_cliente]])</f>
        <v>4</v>
      </c>
    </row>
    <row r="767" spans="1:18" x14ac:dyDescent="0.25">
      <c r="A767" t="s">
        <v>1043</v>
      </c>
      <c r="B767" t="s">
        <v>36</v>
      </c>
      <c r="C767" t="s">
        <v>37</v>
      </c>
      <c r="D767" t="s">
        <v>28</v>
      </c>
      <c r="E767" t="s">
        <v>29</v>
      </c>
      <c r="F767">
        <f>ventas_libreria[[#This Row],[precio_eur]]/100</f>
        <v>17.010000000000002</v>
      </c>
      <c r="G767">
        <v>1701</v>
      </c>
      <c r="H767">
        <v>3</v>
      </c>
      <c r="I767">
        <f>ventas_libreria[[#This Row],[precio]]*ventas_libreria[[#This Row],[cantidad]]</f>
        <v>51.03</v>
      </c>
      <c r="J767">
        <v>68</v>
      </c>
      <c r="K767" t="s">
        <v>62</v>
      </c>
      <c r="L767" s="1">
        <v>45529</v>
      </c>
      <c r="M767" t="s">
        <v>31</v>
      </c>
      <c r="N767" t="s">
        <v>22</v>
      </c>
      <c r="O767" t="s">
        <v>98</v>
      </c>
      <c r="P767" t="s">
        <v>50</v>
      </c>
      <c r="R767" t="str">
        <f>IF(ventas_libreria[[#This Row],[valoracion_cliente]]="","Sin valoración",ventas_libreria[[#This Row],[valoracion_cliente]])</f>
        <v>Sin valoración</v>
      </c>
    </row>
    <row r="768" spans="1:18" x14ac:dyDescent="0.25">
      <c r="A768" t="s">
        <v>1044</v>
      </c>
      <c r="B768" t="s">
        <v>36</v>
      </c>
      <c r="C768" t="s">
        <v>37</v>
      </c>
      <c r="D768" t="s">
        <v>28</v>
      </c>
      <c r="E768" t="s">
        <v>29</v>
      </c>
      <c r="F768">
        <f>ventas_libreria[[#This Row],[precio_eur]]/100</f>
        <v>19.84</v>
      </c>
      <c r="G768">
        <v>1984</v>
      </c>
      <c r="H768">
        <v>1</v>
      </c>
      <c r="I768">
        <f>ventas_libreria[[#This Row],[precio]]*ventas_libreria[[#This Row],[cantidad]]</f>
        <v>19.84</v>
      </c>
      <c r="J768">
        <v>51</v>
      </c>
      <c r="K768" t="s">
        <v>62</v>
      </c>
      <c r="L768" s="1">
        <v>45401</v>
      </c>
      <c r="M768" t="s">
        <v>43</v>
      </c>
      <c r="N768" t="s">
        <v>32</v>
      </c>
      <c r="O768" t="s">
        <v>33</v>
      </c>
      <c r="P768" t="s">
        <v>34</v>
      </c>
      <c r="Q768">
        <v>5</v>
      </c>
      <c r="R768">
        <f>IF(ventas_libreria[[#This Row],[valoracion_cliente]]="","Sin valoración",ventas_libreria[[#This Row],[valoracion_cliente]])</f>
        <v>5</v>
      </c>
    </row>
    <row r="769" spans="1:18" x14ac:dyDescent="0.25">
      <c r="A769" t="s">
        <v>1045</v>
      </c>
      <c r="B769" t="s">
        <v>80</v>
      </c>
      <c r="C769" t="s">
        <v>81</v>
      </c>
      <c r="D769" t="s">
        <v>82</v>
      </c>
      <c r="E769" t="s">
        <v>83</v>
      </c>
      <c r="F769">
        <f>ventas_libreria[[#This Row],[precio_eur]]/100</f>
        <v>8.42</v>
      </c>
      <c r="G769">
        <v>842</v>
      </c>
      <c r="H769">
        <v>1</v>
      </c>
      <c r="I769">
        <f>ventas_libreria[[#This Row],[precio]]*ventas_libreria[[#This Row],[cantidad]]</f>
        <v>8.42</v>
      </c>
      <c r="J769">
        <v>28</v>
      </c>
      <c r="K769" t="s">
        <v>38</v>
      </c>
      <c r="L769" s="1">
        <v>45992</v>
      </c>
      <c r="M769" t="s">
        <v>43</v>
      </c>
      <c r="N769" t="s">
        <v>32</v>
      </c>
      <c r="O769" t="s">
        <v>33</v>
      </c>
      <c r="P769" t="s">
        <v>24</v>
      </c>
      <c r="Q769">
        <v>4</v>
      </c>
      <c r="R769">
        <f>IF(ventas_libreria[[#This Row],[valoracion_cliente]]="","Sin valoración",ventas_libreria[[#This Row],[valoracion_cliente]])</f>
        <v>4</v>
      </c>
    </row>
    <row r="770" spans="1:18" x14ac:dyDescent="0.25">
      <c r="A770" t="s">
        <v>1046</v>
      </c>
      <c r="B770" t="s">
        <v>141</v>
      </c>
      <c r="C770" t="s">
        <v>142</v>
      </c>
      <c r="D770" t="s">
        <v>143</v>
      </c>
      <c r="E770" t="s">
        <v>116</v>
      </c>
      <c r="F770">
        <f>ventas_libreria[[#This Row],[precio_eur]]/100</f>
        <v>1.49</v>
      </c>
      <c r="G770">
        <v>149</v>
      </c>
      <c r="H770">
        <v>1</v>
      </c>
      <c r="I770">
        <f>ventas_libreria[[#This Row],[precio]]*ventas_libreria[[#This Row],[cantidad]]</f>
        <v>1.49</v>
      </c>
      <c r="J770">
        <v>36</v>
      </c>
      <c r="K770" t="s">
        <v>38</v>
      </c>
      <c r="L770" s="1">
        <v>45268</v>
      </c>
      <c r="M770" t="s">
        <v>21</v>
      </c>
      <c r="N770" t="s">
        <v>22</v>
      </c>
      <c r="O770" t="s">
        <v>49</v>
      </c>
      <c r="P770" t="s">
        <v>24</v>
      </c>
      <c r="Q770">
        <v>4</v>
      </c>
      <c r="R770">
        <f>IF(ventas_libreria[[#This Row],[valoracion_cliente]]="","Sin valoración",ventas_libreria[[#This Row],[valoracion_cliente]])</f>
        <v>4</v>
      </c>
    </row>
    <row r="771" spans="1:18" x14ac:dyDescent="0.25">
      <c r="A771" t="s">
        <v>1047</v>
      </c>
      <c r="B771" t="s">
        <v>52</v>
      </c>
      <c r="C771" t="s">
        <v>53</v>
      </c>
      <c r="D771" t="s">
        <v>54</v>
      </c>
      <c r="E771" t="s">
        <v>55</v>
      </c>
      <c r="F771">
        <f>ventas_libreria[[#This Row],[precio_eur]]/100</f>
        <v>1.25</v>
      </c>
      <c r="G771">
        <v>125</v>
      </c>
      <c r="H771">
        <v>1</v>
      </c>
      <c r="I771">
        <f>ventas_libreria[[#This Row],[precio]]*ventas_libreria[[#This Row],[cantidad]]</f>
        <v>1.25</v>
      </c>
      <c r="J771">
        <v>71</v>
      </c>
      <c r="K771" t="s">
        <v>38</v>
      </c>
      <c r="L771" s="1">
        <v>45098</v>
      </c>
      <c r="M771" t="s">
        <v>31</v>
      </c>
      <c r="N771" t="s">
        <v>22</v>
      </c>
      <c r="O771" t="s">
        <v>98</v>
      </c>
      <c r="P771" t="s">
        <v>24</v>
      </c>
      <c r="Q771">
        <v>3</v>
      </c>
      <c r="R771">
        <f>IF(ventas_libreria[[#This Row],[valoracion_cliente]]="","Sin valoración",ventas_libreria[[#This Row],[valoracion_cliente]])</f>
        <v>3</v>
      </c>
    </row>
    <row r="772" spans="1:18" x14ac:dyDescent="0.25">
      <c r="A772" t="s">
        <v>1048</v>
      </c>
      <c r="B772" t="s">
        <v>186</v>
      </c>
      <c r="C772" t="s">
        <v>187</v>
      </c>
      <c r="D772" t="s">
        <v>188</v>
      </c>
      <c r="E772" t="s">
        <v>189</v>
      </c>
      <c r="F772">
        <f>ventas_libreria[[#This Row],[precio_eur]]/100</f>
        <v>1.99</v>
      </c>
      <c r="G772">
        <v>199</v>
      </c>
      <c r="H772">
        <v>1</v>
      </c>
      <c r="I772">
        <f>ventas_libreria[[#This Row],[precio]]*ventas_libreria[[#This Row],[cantidad]]</f>
        <v>1.99</v>
      </c>
      <c r="J772">
        <v>69</v>
      </c>
      <c r="K772" t="s">
        <v>38</v>
      </c>
      <c r="L772" s="1">
        <v>45144</v>
      </c>
      <c r="M772" t="s">
        <v>21</v>
      </c>
      <c r="N772" t="s">
        <v>22</v>
      </c>
      <c r="O772" t="s">
        <v>98</v>
      </c>
      <c r="P772" t="s">
        <v>56</v>
      </c>
      <c r="Q772">
        <v>4</v>
      </c>
      <c r="R772">
        <f>IF(ventas_libreria[[#This Row],[valoracion_cliente]]="","Sin valoración",ventas_libreria[[#This Row],[valoracion_cliente]])</f>
        <v>4</v>
      </c>
    </row>
    <row r="773" spans="1:18" x14ac:dyDescent="0.25">
      <c r="A773" t="s">
        <v>1049</v>
      </c>
      <c r="B773" t="s">
        <v>141</v>
      </c>
      <c r="C773" t="s">
        <v>142</v>
      </c>
      <c r="D773" t="s">
        <v>143</v>
      </c>
      <c r="E773" t="s">
        <v>116</v>
      </c>
      <c r="F773">
        <f>ventas_libreria[[#This Row],[precio_eur]]/100</f>
        <v>11.92</v>
      </c>
      <c r="G773">
        <v>1192</v>
      </c>
      <c r="H773">
        <v>1</v>
      </c>
      <c r="I773">
        <f>ventas_libreria[[#This Row],[precio]]*ventas_libreria[[#This Row],[cantidad]]</f>
        <v>11.92</v>
      </c>
      <c r="J773">
        <v>36</v>
      </c>
      <c r="K773" t="s">
        <v>20</v>
      </c>
      <c r="L773" s="1">
        <v>45108</v>
      </c>
      <c r="M773" t="s">
        <v>43</v>
      </c>
      <c r="N773" t="s">
        <v>32</v>
      </c>
      <c r="O773" t="s">
        <v>33</v>
      </c>
      <c r="P773" t="s">
        <v>34</v>
      </c>
      <c r="Q773">
        <v>4</v>
      </c>
      <c r="R773">
        <f>IF(ventas_libreria[[#This Row],[valoracion_cliente]]="","Sin valoración",ventas_libreria[[#This Row],[valoracion_cliente]])</f>
        <v>4</v>
      </c>
    </row>
    <row r="774" spans="1:18" x14ac:dyDescent="0.25">
      <c r="A774" t="s">
        <v>1050</v>
      </c>
      <c r="B774" t="s">
        <v>204</v>
      </c>
      <c r="C774" t="s">
        <v>205</v>
      </c>
      <c r="D774" t="s">
        <v>206</v>
      </c>
      <c r="E774" t="s">
        <v>116</v>
      </c>
      <c r="F774">
        <f>ventas_libreria[[#This Row],[precio_eur]]/100</f>
        <v>14.19</v>
      </c>
      <c r="G774">
        <v>1419</v>
      </c>
      <c r="H774">
        <v>1</v>
      </c>
      <c r="I774">
        <f>ventas_libreria[[#This Row],[precio]]*ventas_libreria[[#This Row],[cantidad]]</f>
        <v>14.19</v>
      </c>
      <c r="J774">
        <v>48</v>
      </c>
      <c r="K774" t="s">
        <v>62</v>
      </c>
      <c r="L774" s="1">
        <v>45177</v>
      </c>
      <c r="M774" t="s">
        <v>31</v>
      </c>
      <c r="N774" t="s">
        <v>32</v>
      </c>
      <c r="O774" t="s">
        <v>33</v>
      </c>
      <c r="P774" t="s">
        <v>34</v>
      </c>
      <c r="Q774">
        <v>5</v>
      </c>
      <c r="R774">
        <f>IF(ventas_libreria[[#This Row],[valoracion_cliente]]="","Sin valoración",ventas_libreria[[#This Row],[valoracion_cliente]])</f>
        <v>5</v>
      </c>
    </row>
    <row r="775" spans="1:18" x14ac:dyDescent="0.25">
      <c r="A775" t="s">
        <v>1051</v>
      </c>
      <c r="B775" t="s">
        <v>186</v>
      </c>
      <c r="C775" t="s">
        <v>187</v>
      </c>
      <c r="D775" t="s">
        <v>188</v>
      </c>
      <c r="E775" t="s">
        <v>189</v>
      </c>
      <c r="F775">
        <f>ventas_libreria[[#This Row],[precio_eur]]/100</f>
        <v>21.89</v>
      </c>
      <c r="G775">
        <v>2189</v>
      </c>
      <c r="H775">
        <v>2</v>
      </c>
      <c r="I775">
        <f>ventas_libreria[[#This Row],[precio]]*ventas_libreria[[#This Row],[cantidad]]</f>
        <v>43.78</v>
      </c>
      <c r="J775">
        <v>73</v>
      </c>
      <c r="K775" t="s">
        <v>20</v>
      </c>
      <c r="L775" s="1">
        <v>45156</v>
      </c>
      <c r="M775" t="s">
        <v>21</v>
      </c>
      <c r="N775" t="s">
        <v>32</v>
      </c>
      <c r="O775" t="s">
        <v>33</v>
      </c>
      <c r="P775" t="s">
        <v>24</v>
      </c>
      <c r="Q775">
        <v>5</v>
      </c>
      <c r="R775">
        <f>IF(ventas_libreria[[#This Row],[valoracion_cliente]]="","Sin valoración",ventas_libreria[[#This Row],[valoracion_cliente]])</f>
        <v>5</v>
      </c>
    </row>
    <row r="776" spans="1:18" x14ac:dyDescent="0.25">
      <c r="A776" t="s">
        <v>1052</v>
      </c>
      <c r="B776" t="s">
        <v>549</v>
      </c>
      <c r="C776" t="s">
        <v>550</v>
      </c>
      <c r="D776" t="s">
        <v>162</v>
      </c>
      <c r="E776" t="s">
        <v>29</v>
      </c>
      <c r="F776">
        <f>ventas_libreria[[#This Row],[precio_eur]]/100</f>
        <v>20.89</v>
      </c>
      <c r="G776">
        <v>2089</v>
      </c>
      <c r="H776">
        <v>1</v>
      </c>
      <c r="I776">
        <f>ventas_libreria[[#This Row],[precio]]*ventas_libreria[[#This Row],[cantidad]]</f>
        <v>20.89</v>
      </c>
      <c r="J776">
        <v>53</v>
      </c>
      <c r="K776" t="s">
        <v>30</v>
      </c>
      <c r="L776" s="1">
        <v>45769</v>
      </c>
      <c r="M776" t="s">
        <v>43</v>
      </c>
      <c r="N776" t="s">
        <v>32</v>
      </c>
      <c r="O776" t="s">
        <v>33</v>
      </c>
      <c r="P776" t="s">
        <v>24</v>
      </c>
      <c r="Q776">
        <v>5</v>
      </c>
      <c r="R776">
        <f>IF(ventas_libreria[[#This Row],[valoracion_cliente]]="","Sin valoración",ventas_libreria[[#This Row],[valoracion_cliente]])</f>
        <v>5</v>
      </c>
    </row>
    <row r="777" spans="1:18" x14ac:dyDescent="0.25">
      <c r="A777" t="s">
        <v>1053</v>
      </c>
      <c r="B777" t="s">
        <v>265</v>
      </c>
      <c r="C777" t="s">
        <v>266</v>
      </c>
      <c r="D777" t="s">
        <v>162</v>
      </c>
      <c r="E777" t="s">
        <v>29</v>
      </c>
      <c r="F777">
        <f>ventas_libreria[[#This Row],[precio_eur]]/100</f>
        <v>13.52</v>
      </c>
      <c r="G777">
        <v>1352</v>
      </c>
      <c r="H777">
        <v>1</v>
      </c>
      <c r="I777">
        <f>ventas_libreria[[#This Row],[precio]]*ventas_libreria[[#This Row],[cantidad]]</f>
        <v>13.52</v>
      </c>
      <c r="J777">
        <v>36</v>
      </c>
      <c r="K777" t="s">
        <v>38</v>
      </c>
      <c r="L777" s="1">
        <v>45093</v>
      </c>
      <c r="M777" t="s">
        <v>31</v>
      </c>
      <c r="N777" t="s">
        <v>32</v>
      </c>
      <c r="O777" t="s">
        <v>33</v>
      </c>
      <c r="P777" t="s">
        <v>56</v>
      </c>
      <c r="Q777">
        <v>5</v>
      </c>
      <c r="R777">
        <f>IF(ventas_libreria[[#This Row],[valoracion_cliente]]="","Sin valoración",ventas_libreria[[#This Row],[valoracion_cliente]])</f>
        <v>5</v>
      </c>
    </row>
    <row r="778" spans="1:18" x14ac:dyDescent="0.25">
      <c r="A778" t="s">
        <v>1054</v>
      </c>
      <c r="B778" t="s">
        <v>602</v>
      </c>
      <c r="C778" t="s">
        <v>603</v>
      </c>
      <c r="D778" t="s">
        <v>217</v>
      </c>
      <c r="E778" t="s">
        <v>55</v>
      </c>
      <c r="F778">
        <f>ventas_libreria[[#This Row],[precio_eur]]/100</f>
        <v>18.79</v>
      </c>
      <c r="G778">
        <v>1879</v>
      </c>
      <c r="H778">
        <v>1</v>
      </c>
      <c r="I778">
        <f>ventas_libreria[[#This Row],[precio]]*ventas_libreria[[#This Row],[cantidad]]</f>
        <v>18.79</v>
      </c>
      <c r="J778">
        <v>70</v>
      </c>
      <c r="K778" t="s">
        <v>30</v>
      </c>
      <c r="L778" s="1">
        <v>45111</v>
      </c>
      <c r="M778" t="s">
        <v>43</v>
      </c>
      <c r="N778" t="s">
        <v>32</v>
      </c>
      <c r="O778" t="s">
        <v>33</v>
      </c>
      <c r="P778" t="s">
        <v>84</v>
      </c>
      <c r="Q778">
        <v>4</v>
      </c>
      <c r="R778">
        <f>IF(ventas_libreria[[#This Row],[valoracion_cliente]]="","Sin valoración",ventas_libreria[[#This Row],[valoracion_cliente]])</f>
        <v>4</v>
      </c>
    </row>
    <row r="779" spans="1:18" x14ac:dyDescent="0.25">
      <c r="A779" t="s">
        <v>1055</v>
      </c>
      <c r="B779" t="s">
        <v>169</v>
      </c>
      <c r="C779" t="s">
        <v>170</v>
      </c>
      <c r="D779" t="s">
        <v>171</v>
      </c>
      <c r="E779" t="s">
        <v>172</v>
      </c>
      <c r="F779">
        <f>ventas_libreria[[#This Row],[precio_eur]]/100</f>
        <v>20.61</v>
      </c>
      <c r="G779">
        <v>2061</v>
      </c>
      <c r="H779">
        <v>2</v>
      </c>
      <c r="I779">
        <f>ventas_libreria[[#This Row],[precio]]*ventas_libreria[[#This Row],[cantidad]]</f>
        <v>41.22</v>
      </c>
      <c r="J779">
        <v>32</v>
      </c>
      <c r="K779" t="s">
        <v>62</v>
      </c>
      <c r="L779" s="1">
        <v>45560</v>
      </c>
      <c r="M779" t="s">
        <v>31</v>
      </c>
      <c r="N779" t="s">
        <v>22</v>
      </c>
      <c r="O779" t="s">
        <v>23</v>
      </c>
      <c r="P779" t="s">
        <v>84</v>
      </c>
      <c r="Q779">
        <v>5</v>
      </c>
      <c r="R779">
        <f>IF(ventas_libreria[[#This Row],[valoracion_cliente]]="","Sin valoración",ventas_libreria[[#This Row],[valoracion_cliente]])</f>
        <v>5</v>
      </c>
    </row>
    <row r="780" spans="1:18" x14ac:dyDescent="0.25">
      <c r="A780" t="s">
        <v>1056</v>
      </c>
      <c r="B780" t="s">
        <v>86</v>
      </c>
      <c r="C780" t="s">
        <v>87</v>
      </c>
      <c r="D780" t="s">
        <v>88</v>
      </c>
      <c r="E780" t="s">
        <v>77</v>
      </c>
      <c r="F780">
        <f>ventas_libreria[[#This Row],[precio_eur]]/100</f>
        <v>13.09</v>
      </c>
      <c r="G780">
        <v>1309</v>
      </c>
      <c r="H780">
        <v>2</v>
      </c>
      <c r="I780">
        <f>ventas_libreria[[#This Row],[precio]]*ventas_libreria[[#This Row],[cantidad]]</f>
        <v>26.18</v>
      </c>
      <c r="J780">
        <v>11</v>
      </c>
      <c r="K780" t="s">
        <v>30</v>
      </c>
      <c r="L780" s="1">
        <v>45389</v>
      </c>
      <c r="M780" t="s">
        <v>21</v>
      </c>
      <c r="N780" t="s">
        <v>22</v>
      </c>
      <c r="O780" t="s">
        <v>98</v>
      </c>
      <c r="P780" t="s">
        <v>50</v>
      </c>
      <c r="Q780">
        <v>4</v>
      </c>
      <c r="R780">
        <f>IF(ventas_libreria[[#This Row],[valoracion_cliente]]="","Sin valoración",ventas_libreria[[#This Row],[valoracion_cliente]])</f>
        <v>4</v>
      </c>
    </row>
    <row r="781" spans="1:18" x14ac:dyDescent="0.25">
      <c r="A781" t="s">
        <v>1057</v>
      </c>
      <c r="B781" t="s">
        <v>91</v>
      </c>
      <c r="C781" t="s">
        <v>92</v>
      </c>
      <c r="D781" t="s">
        <v>93</v>
      </c>
      <c r="E781" t="s">
        <v>72</v>
      </c>
      <c r="F781">
        <f>ventas_libreria[[#This Row],[precio_eur]]/100</f>
        <v>1.46</v>
      </c>
      <c r="G781">
        <v>146</v>
      </c>
      <c r="H781">
        <v>1</v>
      </c>
      <c r="I781">
        <f>ventas_libreria[[#This Row],[precio]]*ventas_libreria[[#This Row],[cantidad]]</f>
        <v>1.46</v>
      </c>
      <c r="J781">
        <v>25</v>
      </c>
      <c r="K781" t="s">
        <v>62</v>
      </c>
      <c r="L781" s="1">
        <v>45896</v>
      </c>
      <c r="M781" t="s">
        <v>43</v>
      </c>
      <c r="N781" t="s">
        <v>32</v>
      </c>
      <c r="O781" t="s">
        <v>33</v>
      </c>
      <c r="P781" t="s">
        <v>34</v>
      </c>
      <c r="Q781">
        <v>4</v>
      </c>
      <c r="R781">
        <f>IF(ventas_libreria[[#This Row],[valoracion_cliente]]="","Sin valoración",ventas_libreria[[#This Row],[valoracion_cliente]])</f>
        <v>4</v>
      </c>
    </row>
    <row r="782" spans="1:18" x14ac:dyDescent="0.25">
      <c r="A782" t="s">
        <v>1058</v>
      </c>
      <c r="B782" t="s">
        <v>86</v>
      </c>
      <c r="C782" t="s">
        <v>87</v>
      </c>
      <c r="D782" t="s">
        <v>88</v>
      </c>
      <c r="E782" t="s">
        <v>77</v>
      </c>
      <c r="F782">
        <f>ventas_libreria[[#This Row],[precio_eur]]/100</f>
        <v>10.119999999999999</v>
      </c>
      <c r="G782">
        <v>1012</v>
      </c>
      <c r="H782">
        <v>2</v>
      </c>
      <c r="I782">
        <f>ventas_libreria[[#This Row],[precio]]*ventas_libreria[[#This Row],[cantidad]]</f>
        <v>20.239999999999998</v>
      </c>
      <c r="J782">
        <v>5</v>
      </c>
      <c r="K782" t="s">
        <v>38</v>
      </c>
      <c r="L782" s="1">
        <v>45690</v>
      </c>
      <c r="M782" t="s">
        <v>31</v>
      </c>
      <c r="N782" t="s">
        <v>32</v>
      </c>
      <c r="O782" t="s">
        <v>33</v>
      </c>
      <c r="P782" t="s">
        <v>84</v>
      </c>
      <c r="Q782">
        <v>4</v>
      </c>
      <c r="R782">
        <f>IF(ventas_libreria[[#This Row],[valoracion_cliente]]="","Sin valoración",ventas_libreria[[#This Row],[valoracion_cliente]])</f>
        <v>4</v>
      </c>
    </row>
    <row r="783" spans="1:18" x14ac:dyDescent="0.25">
      <c r="A783" t="s">
        <v>1059</v>
      </c>
      <c r="B783" t="s">
        <v>243</v>
      </c>
      <c r="C783" t="s">
        <v>244</v>
      </c>
      <c r="D783" t="s">
        <v>245</v>
      </c>
      <c r="E783" t="s">
        <v>48</v>
      </c>
      <c r="F783">
        <f>ventas_libreria[[#This Row],[precio_eur]]/100</f>
        <v>19.71</v>
      </c>
      <c r="G783">
        <v>1971</v>
      </c>
      <c r="H783">
        <v>2</v>
      </c>
      <c r="I783">
        <f>ventas_libreria[[#This Row],[precio]]*ventas_libreria[[#This Row],[cantidad]]</f>
        <v>39.42</v>
      </c>
      <c r="J783">
        <v>54</v>
      </c>
      <c r="K783" t="s">
        <v>38</v>
      </c>
      <c r="L783" s="1">
        <v>45172</v>
      </c>
      <c r="M783" t="s">
        <v>21</v>
      </c>
      <c r="N783" t="s">
        <v>22</v>
      </c>
      <c r="O783" t="s">
        <v>132</v>
      </c>
      <c r="P783" t="s">
        <v>84</v>
      </c>
      <c r="Q783">
        <v>3</v>
      </c>
      <c r="R783">
        <f>IF(ventas_libreria[[#This Row],[valoracion_cliente]]="","Sin valoración",ventas_libreria[[#This Row],[valoracion_cliente]])</f>
        <v>3</v>
      </c>
    </row>
    <row r="784" spans="1:18" x14ac:dyDescent="0.25">
      <c r="A784" t="s">
        <v>1060</v>
      </c>
      <c r="B784" t="s">
        <v>291</v>
      </c>
      <c r="C784" t="s">
        <v>292</v>
      </c>
      <c r="D784" t="s">
        <v>76</v>
      </c>
      <c r="E784" t="s">
        <v>77</v>
      </c>
      <c r="F784">
        <f>ventas_libreria[[#This Row],[precio_eur]]/100</f>
        <v>10.89</v>
      </c>
      <c r="G784">
        <v>1089</v>
      </c>
      <c r="H784">
        <v>1</v>
      </c>
      <c r="I784">
        <f>ventas_libreria[[#This Row],[precio]]*ventas_libreria[[#This Row],[cantidad]]</f>
        <v>10.89</v>
      </c>
      <c r="J784">
        <v>9</v>
      </c>
      <c r="K784" t="s">
        <v>30</v>
      </c>
      <c r="L784" s="1">
        <v>45896</v>
      </c>
      <c r="M784" t="s">
        <v>31</v>
      </c>
      <c r="N784" t="s">
        <v>32</v>
      </c>
      <c r="O784" t="s">
        <v>33</v>
      </c>
      <c r="P784" t="s">
        <v>56</v>
      </c>
      <c r="Q784">
        <v>5</v>
      </c>
      <c r="R784">
        <f>IF(ventas_libreria[[#This Row],[valoracion_cliente]]="","Sin valoración",ventas_libreria[[#This Row],[valoracion_cliente]])</f>
        <v>5</v>
      </c>
    </row>
    <row r="785" spans="1:18" x14ac:dyDescent="0.25">
      <c r="A785" t="s">
        <v>1061</v>
      </c>
      <c r="B785" t="s">
        <v>228</v>
      </c>
      <c r="C785" t="s">
        <v>229</v>
      </c>
      <c r="D785" t="s">
        <v>206</v>
      </c>
      <c r="E785" t="s">
        <v>116</v>
      </c>
      <c r="F785">
        <f>ventas_libreria[[#This Row],[precio_eur]]/100</f>
        <v>15.12</v>
      </c>
      <c r="G785">
        <v>1512</v>
      </c>
      <c r="H785">
        <v>1</v>
      </c>
      <c r="I785">
        <f>ventas_libreria[[#This Row],[precio]]*ventas_libreria[[#This Row],[cantidad]]</f>
        <v>15.12</v>
      </c>
      <c r="J785">
        <v>53</v>
      </c>
      <c r="K785" t="s">
        <v>62</v>
      </c>
      <c r="L785" s="1">
        <v>45096</v>
      </c>
      <c r="M785" t="s">
        <v>21</v>
      </c>
      <c r="N785" t="s">
        <v>32</v>
      </c>
      <c r="O785" t="s">
        <v>33</v>
      </c>
      <c r="P785" t="s">
        <v>24</v>
      </c>
      <c r="Q785">
        <v>4</v>
      </c>
      <c r="R785">
        <f>IF(ventas_libreria[[#This Row],[valoracion_cliente]]="","Sin valoración",ventas_libreria[[#This Row],[valoracion_cliente]])</f>
        <v>4</v>
      </c>
    </row>
    <row r="786" spans="1:18" x14ac:dyDescent="0.25">
      <c r="A786" t="s">
        <v>1062</v>
      </c>
      <c r="B786" t="s">
        <v>403</v>
      </c>
      <c r="C786" t="s">
        <v>404</v>
      </c>
      <c r="D786" t="s">
        <v>123</v>
      </c>
      <c r="E786" t="s">
        <v>48</v>
      </c>
      <c r="F786">
        <f>ventas_libreria[[#This Row],[precio_eur]]/100</f>
        <v>2.99</v>
      </c>
      <c r="G786">
        <v>299</v>
      </c>
      <c r="H786">
        <v>1</v>
      </c>
      <c r="I786">
        <f>ventas_libreria[[#This Row],[precio]]*ventas_libreria[[#This Row],[cantidad]]</f>
        <v>2.99</v>
      </c>
      <c r="J786">
        <v>16</v>
      </c>
      <c r="K786" t="s">
        <v>20</v>
      </c>
      <c r="L786" s="1">
        <v>44961</v>
      </c>
      <c r="M786" t="s">
        <v>31</v>
      </c>
      <c r="N786" t="s">
        <v>22</v>
      </c>
      <c r="O786" t="s">
        <v>49</v>
      </c>
      <c r="P786" t="s">
        <v>24</v>
      </c>
      <c r="Q786">
        <v>5</v>
      </c>
      <c r="R786">
        <f>IF(ventas_libreria[[#This Row],[valoracion_cliente]]="","Sin valoración",ventas_libreria[[#This Row],[valoracion_cliente]])</f>
        <v>5</v>
      </c>
    </row>
    <row r="787" spans="1:18" x14ac:dyDescent="0.25">
      <c r="A787" t="s">
        <v>1063</v>
      </c>
      <c r="B787" t="s">
        <v>365</v>
      </c>
      <c r="C787" t="s">
        <v>366</v>
      </c>
      <c r="D787" t="s">
        <v>367</v>
      </c>
      <c r="E787" t="s">
        <v>19</v>
      </c>
      <c r="F787">
        <f>ventas_libreria[[#This Row],[precio_eur]]/100</f>
        <v>15.12</v>
      </c>
      <c r="G787">
        <v>1512</v>
      </c>
      <c r="H787">
        <v>2</v>
      </c>
      <c r="I787">
        <f>ventas_libreria[[#This Row],[precio]]*ventas_libreria[[#This Row],[cantidad]]</f>
        <v>30.24</v>
      </c>
      <c r="J787">
        <v>27</v>
      </c>
      <c r="K787" t="s">
        <v>62</v>
      </c>
      <c r="L787" s="1">
        <v>45945</v>
      </c>
      <c r="M787" t="s">
        <v>31</v>
      </c>
      <c r="N787" t="s">
        <v>22</v>
      </c>
      <c r="O787" t="s">
        <v>67</v>
      </c>
      <c r="P787" t="s">
        <v>24</v>
      </c>
      <c r="Q787">
        <v>2</v>
      </c>
      <c r="R787">
        <f>IF(ventas_libreria[[#This Row],[valoracion_cliente]]="","Sin valoración",ventas_libreria[[#This Row],[valoracion_cliente]])</f>
        <v>2</v>
      </c>
    </row>
    <row r="788" spans="1:18" x14ac:dyDescent="0.25">
      <c r="A788" t="s">
        <v>1064</v>
      </c>
      <c r="B788" t="s">
        <v>156</v>
      </c>
      <c r="C788" t="s">
        <v>157</v>
      </c>
      <c r="D788" t="s">
        <v>158</v>
      </c>
      <c r="E788" t="s">
        <v>149</v>
      </c>
      <c r="F788">
        <f>ventas_libreria[[#This Row],[precio_eur]]/100</f>
        <v>15.12</v>
      </c>
      <c r="G788">
        <v>1512</v>
      </c>
      <c r="H788">
        <v>2</v>
      </c>
      <c r="I788">
        <f>ventas_libreria[[#This Row],[precio]]*ventas_libreria[[#This Row],[cantidad]]</f>
        <v>30.24</v>
      </c>
      <c r="J788">
        <v>30</v>
      </c>
      <c r="K788" t="s">
        <v>30</v>
      </c>
      <c r="L788" s="1">
        <v>45176</v>
      </c>
      <c r="M788" t="s">
        <v>43</v>
      </c>
      <c r="N788" t="s">
        <v>32</v>
      </c>
      <c r="O788" t="s">
        <v>33</v>
      </c>
      <c r="P788" t="s">
        <v>24</v>
      </c>
      <c r="Q788">
        <v>2</v>
      </c>
      <c r="R788">
        <f>IF(ventas_libreria[[#This Row],[valoracion_cliente]]="","Sin valoración",ventas_libreria[[#This Row],[valoracion_cliente]])</f>
        <v>2</v>
      </c>
    </row>
    <row r="789" spans="1:18" x14ac:dyDescent="0.25">
      <c r="A789" t="s">
        <v>1065</v>
      </c>
      <c r="B789" t="s">
        <v>181</v>
      </c>
      <c r="C789" t="s">
        <v>182</v>
      </c>
      <c r="D789" t="s">
        <v>183</v>
      </c>
      <c r="E789" t="s">
        <v>116</v>
      </c>
      <c r="F789">
        <f>ventas_libreria[[#This Row],[precio_eur]]/100</f>
        <v>12.51</v>
      </c>
      <c r="G789">
        <v>1251</v>
      </c>
      <c r="H789">
        <v>1</v>
      </c>
      <c r="I789">
        <f>ventas_libreria[[#This Row],[precio]]*ventas_libreria[[#This Row],[cantidad]]</f>
        <v>12.51</v>
      </c>
      <c r="J789">
        <v>74</v>
      </c>
      <c r="K789" t="s">
        <v>38</v>
      </c>
      <c r="L789" s="1">
        <v>45460</v>
      </c>
      <c r="M789" t="s">
        <v>31</v>
      </c>
      <c r="N789" t="s">
        <v>22</v>
      </c>
      <c r="O789" t="s">
        <v>132</v>
      </c>
      <c r="P789" t="s">
        <v>56</v>
      </c>
      <c r="Q789">
        <v>4</v>
      </c>
      <c r="R789">
        <f>IF(ventas_libreria[[#This Row],[valoracion_cliente]]="","Sin valoración",ventas_libreria[[#This Row],[valoracion_cliente]])</f>
        <v>4</v>
      </c>
    </row>
    <row r="790" spans="1:18" x14ac:dyDescent="0.25">
      <c r="A790" t="s">
        <v>1066</v>
      </c>
      <c r="B790" t="s">
        <v>146</v>
      </c>
      <c r="C790" t="s">
        <v>147</v>
      </c>
      <c r="D790" t="s">
        <v>148</v>
      </c>
      <c r="E790" t="s">
        <v>149</v>
      </c>
      <c r="F790">
        <f>ventas_libreria[[#This Row],[precio_eur]]/100</f>
        <v>1.59</v>
      </c>
      <c r="G790">
        <v>159</v>
      </c>
      <c r="H790">
        <v>1</v>
      </c>
      <c r="I790">
        <f>ventas_libreria[[#This Row],[precio]]*ventas_libreria[[#This Row],[cantidad]]</f>
        <v>1.59</v>
      </c>
      <c r="J790">
        <v>20</v>
      </c>
      <c r="K790" t="s">
        <v>62</v>
      </c>
      <c r="L790" s="1">
        <v>45121</v>
      </c>
      <c r="M790" t="s">
        <v>43</v>
      </c>
      <c r="N790" t="s">
        <v>32</v>
      </c>
      <c r="O790" t="s">
        <v>33</v>
      </c>
      <c r="P790" t="s">
        <v>34</v>
      </c>
      <c r="Q790">
        <v>5</v>
      </c>
      <c r="R790">
        <f>IF(ventas_libreria[[#This Row],[valoracion_cliente]]="","Sin valoración",ventas_libreria[[#This Row],[valoracion_cliente]])</f>
        <v>5</v>
      </c>
    </row>
    <row r="791" spans="1:18" x14ac:dyDescent="0.25">
      <c r="A791" t="s">
        <v>1067</v>
      </c>
      <c r="B791" t="s">
        <v>201</v>
      </c>
      <c r="C791" t="s">
        <v>202</v>
      </c>
      <c r="D791" t="s">
        <v>47</v>
      </c>
      <c r="E791" t="s">
        <v>107</v>
      </c>
      <c r="F791">
        <f>ventas_libreria[[#This Row],[precio_eur]]/100</f>
        <v>11.81</v>
      </c>
      <c r="G791">
        <v>1181</v>
      </c>
      <c r="H791">
        <v>1</v>
      </c>
      <c r="I791">
        <f>ventas_libreria[[#This Row],[precio]]*ventas_libreria[[#This Row],[cantidad]]</f>
        <v>11.81</v>
      </c>
      <c r="J791">
        <v>22</v>
      </c>
      <c r="K791" t="s">
        <v>62</v>
      </c>
      <c r="L791" s="1">
        <v>45100</v>
      </c>
      <c r="M791" t="s">
        <v>31</v>
      </c>
      <c r="N791" t="s">
        <v>22</v>
      </c>
      <c r="O791" t="s">
        <v>132</v>
      </c>
      <c r="P791" t="s">
        <v>56</v>
      </c>
      <c r="Q791">
        <v>4</v>
      </c>
      <c r="R791">
        <f>IF(ventas_libreria[[#This Row],[valoracion_cliente]]="","Sin valoración",ventas_libreria[[#This Row],[valoracion_cliente]])</f>
        <v>4</v>
      </c>
    </row>
    <row r="792" spans="1:18" x14ac:dyDescent="0.25">
      <c r="A792" t="s">
        <v>1068</v>
      </c>
      <c r="B792" t="s">
        <v>201</v>
      </c>
      <c r="C792" t="s">
        <v>202</v>
      </c>
      <c r="D792" t="s">
        <v>47</v>
      </c>
      <c r="E792" t="s">
        <v>107</v>
      </c>
      <c r="F792">
        <f>ventas_libreria[[#This Row],[precio_eur]]/100</f>
        <v>11.12</v>
      </c>
      <c r="G792">
        <v>1112</v>
      </c>
      <c r="H792">
        <v>1</v>
      </c>
      <c r="I792">
        <f>ventas_libreria[[#This Row],[precio]]*ventas_libreria[[#This Row],[cantidad]]</f>
        <v>11.12</v>
      </c>
      <c r="J792">
        <v>11</v>
      </c>
      <c r="K792" t="s">
        <v>30</v>
      </c>
      <c r="L792" s="1">
        <v>45018</v>
      </c>
      <c r="M792" t="s">
        <v>43</v>
      </c>
      <c r="N792" t="s">
        <v>32</v>
      </c>
      <c r="O792" t="s">
        <v>33</v>
      </c>
      <c r="P792" t="s">
        <v>34</v>
      </c>
      <c r="Q792">
        <v>5</v>
      </c>
      <c r="R792">
        <f>IF(ventas_libreria[[#This Row],[valoracion_cliente]]="","Sin valoración",ventas_libreria[[#This Row],[valoracion_cliente]])</f>
        <v>5</v>
      </c>
    </row>
    <row r="793" spans="1:18" x14ac:dyDescent="0.25">
      <c r="A793" t="s">
        <v>1069</v>
      </c>
      <c r="B793" t="s">
        <v>176</v>
      </c>
      <c r="C793" t="s">
        <v>177</v>
      </c>
      <c r="D793" t="s">
        <v>178</v>
      </c>
      <c r="E793" t="s">
        <v>179</v>
      </c>
      <c r="F793">
        <f>ventas_libreria[[#This Row],[precio_eur]]/100</f>
        <v>13.52</v>
      </c>
      <c r="G793">
        <v>1352</v>
      </c>
      <c r="H793">
        <v>1</v>
      </c>
      <c r="I793">
        <f>ventas_libreria[[#This Row],[precio]]*ventas_libreria[[#This Row],[cantidad]]</f>
        <v>13.52</v>
      </c>
      <c r="J793">
        <v>67</v>
      </c>
      <c r="K793" t="s">
        <v>38</v>
      </c>
      <c r="L793" s="1">
        <v>45363</v>
      </c>
      <c r="M793" t="s">
        <v>43</v>
      </c>
      <c r="N793" t="s">
        <v>32</v>
      </c>
      <c r="O793" t="s">
        <v>33</v>
      </c>
      <c r="P793" t="s">
        <v>24</v>
      </c>
      <c r="Q793">
        <v>4</v>
      </c>
      <c r="R793">
        <f>IF(ventas_libreria[[#This Row],[valoracion_cliente]]="","Sin valoración",ventas_libreria[[#This Row],[valoracion_cliente]])</f>
        <v>4</v>
      </c>
    </row>
    <row r="794" spans="1:18" x14ac:dyDescent="0.25">
      <c r="A794" t="s">
        <v>1070</v>
      </c>
      <c r="B794" t="s">
        <v>211</v>
      </c>
      <c r="C794" t="s">
        <v>212</v>
      </c>
      <c r="D794" t="s">
        <v>131</v>
      </c>
      <c r="E794" t="s">
        <v>107</v>
      </c>
      <c r="F794">
        <f>ventas_libreria[[#This Row],[precio_eur]]/100</f>
        <v>18.59</v>
      </c>
      <c r="G794">
        <v>1859</v>
      </c>
      <c r="H794">
        <v>1</v>
      </c>
      <c r="I794">
        <f>ventas_libreria[[#This Row],[precio]]*ventas_libreria[[#This Row],[cantidad]]</f>
        <v>18.59</v>
      </c>
      <c r="J794">
        <v>18</v>
      </c>
      <c r="K794" t="s">
        <v>38</v>
      </c>
      <c r="L794" s="1">
        <v>45912</v>
      </c>
      <c r="M794" t="s">
        <v>43</v>
      </c>
      <c r="N794" t="s">
        <v>32</v>
      </c>
      <c r="O794" t="s">
        <v>33</v>
      </c>
      <c r="P794" t="s">
        <v>24</v>
      </c>
      <c r="Q794">
        <v>3</v>
      </c>
      <c r="R794">
        <f>IF(ventas_libreria[[#This Row],[valoracion_cliente]]="","Sin valoración",ventas_libreria[[#This Row],[valoracion_cliente]])</f>
        <v>3</v>
      </c>
    </row>
    <row r="795" spans="1:18" x14ac:dyDescent="0.25">
      <c r="A795" t="s">
        <v>1071</v>
      </c>
      <c r="B795" t="s">
        <v>69</v>
      </c>
      <c r="C795" t="s">
        <v>70</v>
      </c>
      <c r="D795" t="s">
        <v>71</v>
      </c>
      <c r="E795" t="s">
        <v>72</v>
      </c>
      <c r="F795">
        <f>ventas_libreria[[#This Row],[precio_eur]]/100</f>
        <v>15.21</v>
      </c>
      <c r="G795">
        <v>1521</v>
      </c>
      <c r="H795">
        <v>1</v>
      </c>
      <c r="I795">
        <f>ventas_libreria[[#This Row],[precio]]*ventas_libreria[[#This Row],[cantidad]]</f>
        <v>15.21</v>
      </c>
      <c r="J795">
        <v>34</v>
      </c>
      <c r="K795" t="s">
        <v>30</v>
      </c>
      <c r="L795" s="1">
        <v>45204</v>
      </c>
      <c r="M795" t="s">
        <v>31</v>
      </c>
      <c r="N795" t="s">
        <v>32</v>
      </c>
      <c r="O795" t="s">
        <v>33</v>
      </c>
      <c r="P795" t="s">
        <v>50</v>
      </c>
      <c r="Q795">
        <v>4</v>
      </c>
      <c r="R795">
        <f>IF(ventas_libreria[[#This Row],[valoracion_cliente]]="","Sin valoración",ventas_libreria[[#This Row],[valoracion_cliente]])</f>
        <v>4</v>
      </c>
    </row>
    <row r="796" spans="1:18" x14ac:dyDescent="0.25">
      <c r="A796" t="s">
        <v>1072</v>
      </c>
      <c r="B796" t="s">
        <v>291</v>
      </c>
      <c r="C796" t="s">
        <v>292</v>
      </c>
      <c r="D796" t="s">
        <v>76</v>
      </c>
      <c r="E796" t="s">
        <v>77</v>
      </c>
      <c r="F796">
        <f>ventas_libreria[[#This Row],[precio_eur]]/100</f>
        <v>10.89</v>
      </c>
      <c r="G796">
        <v>1089</v>
      </c>
      <c r="H796">
        <v>2</v>
      </c>
      <c r="I796">
        <f>ventas_libreria[[#This Row],[precio]]*ventas_libreria[[#This Row],[cantidad]]</f>
        <v>21.78</v>
      </c>
      <c r="J796">
        <v>7</v>
      </c>
      <c r="K796" t="s">
        <v>30</v>
      </c>
      <c r="L796" s="1">
        <v>45422</v>
      </c>
      <c r="M796" t="s">
        <v>21</v>
      </c>
      <c r="N796" t="s">
        <v>32</v>
      </c>
      <c r="O796" t="s">
        <v>33</v>
      </c>
      <c r="P796" t="s">
        <v>50</v>
      </c>
      <c r="Q796">
        <v>2</v>
      </c>
      <c r="R796">
        <f>IF(ventas_libreria[[#This Row],[valoracion_cliente]]="","Sin valoración",ventas_libreria[[#This Row],[valoracion_cliente]])</f>
        <v>2</v>
      </c>
    </row>
    <row r="797" spans="1:18" x14ac:dyDescent="0.25">
      <c r="A797" t="s">
        <v>1073</v>
      </c>
      <c r="B797" t="s">
        <v>129</v>
      </c>
      <c r="C797" t="s">
        <v>130</v>
      </c>
      <c r="D797" t="s">
        <v>131</v>
      </c>
      <c r="E797" t="s">
        <v>107</v>
      </c>
      <c r="F797">
        <f>ventas_libreria[[#This Row],[precio_eur]]/100</f>
        <v>13.52</v>
      </c>
      <c r="G797">
        <v>1352</v>
      </c>
      <c r="H797">
        <v>1</v>
      </c>
      <c r="I797">
        <f>ventas_libreria[[#This Row],[precio]]*ventas_libreria[[#This Row],[cantidad]]</f>
        <v>13.52</v>
      </c>
      <c r="J797">
        <v>22</v>
      </c>
      <c r="K797" t="s">
        <v>62</v>
      </c>
      <c r="L797" s="1">
        <v>45891</v>
      </c>
      <c r="M797" t="s">
        <v>31</v>
      </c>
      <c r="N797" t="s">
        <v>22</v>
      </c>
      <c r="O797" t="s">
        <v>23</v>
      </c>
      <c r="P797" t="s">
        <v>84</v>
      </c>
      <c r="Q797">
        <v>4</v>
      </c>
      <c r="R797">
        <f>IF(ventas_libreria[[#This Row],[valoracion_cliente]]="","Sin valoración",ventas_libreria[[#This Row],[valoracion_cliente]])</f>
        <v>4</v>
      </c>
    </row>
    <row r="798" spans="1:18" x14ac:dyDescent="0.25">
      <c r="A798" t="s">
        <v>1074</v>
      </c>
      <c r="B798" t="s">
        <v>197</v>
      </c>
      <c r="C798" t="s">
        <v>198</v>
      </c>
      <c r="D798" t="s">
        <v>199</v>
      </c>
      <c r="E798" t="s">
        <v>55</v>
      </c>
      <c r="F798">
        <f>ventas_libreria[[#This Row],[precio_eur]]/100</f>
        <v>15.75</v>
      </c>
      <c r="G798">
        <v>1575</v>
      </c>
      <c r="H798">
        <v>3</v>
      </c>
      <c r="I798">
        <f>ventas_libreria[[#This Row],[precio]]*ventas_libreria[[#This Row],[cantidad]]</f>
        <v>47.25</v>
      </c>
      <c r="J798">
        <v>44</v>
      </c>
      <c r="K798" t="s">
        <v>30</v>
      </c>
      <c r="L798" s="1">
        <v>46004</v>
      </c>
      <c r="M798" t="s">
        <v>21</v>
      </c>
      <c r="N798" t="s">
        <v>22</v>
      </c>
      <c r="O798" t="s">
        <v>67</v>
      </c>
      <c r="P798" t="s">
        <v>24</v>
      </c>
      <c r="R798" t="str">
        <f>IF(ventas_libreria[[#This Row],[valoracion_cliente]]="","Sin valoración",ventas_libreria[[#This Row],[valoracion_cliente]])</f>
        <v>Sin valoración</v>
      </c>
    </row>
    <row r="799" spans="1:18" x14ac:dyDescent="0.25">
      <c r="A799" t="s">
        <v>1075</v>
      </c>
      <c r="B799" t="s">
        <v>296</v>
      </c>
      <c r="C799" t="s">
        <v>297</v>
      </c>
      <c r="D799" t="s">
        <v>298</v>
      </c>
      <c r="E799" t="s">
        <v>154</v>
      </c>
      <c r="F799">
        <f>ventas_libreria[[#This Row],[precio_eur]]/100</f>
        <v>15.21</v>
      </c>
      <c r="G799">
        <v>1521</v>
      </c>
      <c r="H799">
        <v>1</v>
      </c>
      <c r="I799">
        <f>ventas_libreria[[#This Row],[precio]]*ventas_libreria[[#This Row],[cantidad]]</f>
        <v>15.21</v>
      </c>
      <c r="J799">
        <v>44</v>
      </c>
      <c r="K799" t="s">
        <v>38</v>
      </c>
      <c r="L799" s="1">
        <v>45456</v>
      </c>
      <c r="M799" t="s">
        <v>31</v>
      </c>
      <c r="N799" t="s">
        <v>32</v>
      </c>
      <c r="O799" t="s">
        <v>33</v>
      </c>
      <c r="P799" t="s">
        <v>50</v>
      </c>
      <c r="Q799">
        <v>4</v>
      </c>
      <c r="R799">
        <f>IF(ventas_libreria[[#This Row],[valoracion_cliente]]="","Sin valoración",ventas_libreria[[#This Row],[valoracion_cliente]])</f>
        <v>4</v>
      </c>
    </row>
    <row r="800" spans="1:18" x14ac:dyDescent="0.25">
      <c r="A800" t="s">
        <v>1076</v>
      </c>
      <c r="B800" t="s">
        <v>86</v>
      </c>
      <c r="C800" t="s">
        <v>87</v>
      </c>
      <c r="D800" t="s">
        <v>88</v>
      </c>
      <c r="E800" t="s">
        <v>77</v>
      </c>
      <c r="F800">
        <f>ventas_libreria[[#This Row],[precio_eur]]/100</f>
        <v>13.09</v>
      </c>
      <c r="G800">
        <v>1309</v>
      </c>
      <c r="H800">
        <v>4</v>
      </c>
      <c r="I800">
        <f>ventas_libreria[[#This Row],[precio]]*ventas_libreria[[#This Row],[cantidad]]</f>
        <v>52.36</v>
      </c>
      <c r="J800">
        <v>5</v>
      </c>
      <c r="K800" t="s">
        <v>30</v>
      </c>
      <c r="L800" s="1">
        <v>45733</v>
      </c>
      <c r="M800" t="s">
        <v>43</v>
      </c>
      <c r="N800" t="s">
        <v>32</v>
      </c>
      <c r="O800" t="s">
        <v>33</v>
      </c>
      <c r="P800" t="s">
        <v>50</v>
      </c>
      <c r="Q800">
        <v>5</v>
      </c>
      <c r="R800">
        <f>IF(ventas_libreria[[#This Row],[valoracion_cliente]]="","Sin valoración",ventas_libreria[[#This Row],[valoracion_cliente]])</f>
        <v>5</v>
      </c>
    </row>
    <row r="801" spans="1:18" x14ac:dyDescent="0.25">
      <c r="A801" t="s">
        <v>1077</v>
      </c>
      <c r="B801" t="s">
        <v>301</v>
      </c>
      <c r="C801" t="s">
        <v>302</v>
      </c>
      <c r="D801" t="s">
        <v>245</v>
      </c>
      <c r="E801" t="s">
        <v>48</v>
      </c>
      <c r="F801">
        <f>ventas_libreria[[#This Row],[precio_eur]]/100</f>
        <v>27.39</v>
      </c>
      <c r="G801">
        <v>2739</v>
      </c>
      <c r="H801">
        <v>3</v>
      </c>
      <c r="I801">
        <f>ventas_libreria[[#This Row],[precio]]*ventas_libreria[[#This Row],[cantidad]]</f>
        <v>82.17</v>
      </c>
      <c r="J801">
        <v>69</v>
      </c>
      <c r="K801" t="s">
        <v>62</v>
      </c>
      <c r="L801" s="1">
        <v>45876</v>
      </c>
      <c r="M801" t="s">
        <v>43</v>
      </c>
      <c r="N801" t="s">
        <v>32</v>
      </c>
      <c r="O801" t="s">
        <v>33</v>
      </c>
      <c r="P801" t="s">
        <v>56</v>
      </c>
      <c r="Q801">
        <v>5</v>
      </c>
      <c r="R801">
        <f>IF(ventas_libreria[[#This Row],[valoracion_cliente]]="","Sin valoración",ventas_libreria[[#This Row],[valoracion_cliente]])</f>
        <v>5</v>
      </c>
    </row>
    <row r="802" spans="1:18" x14ac:dyDescent="0.25">
      <c r="A802" t="s">
        <v>1078</v>
      </c>
      <c r="B802" t="s">
        <v>307</v>
      </c>
      <c r="C802" t="s">
        <v>308</v>
      </c>
      <c r="D802" t="s">
        <v>88</v>
      </c>
      <c r="E802" t="s">
        <v>77</v>
      </c>
      <c r="F802">
        <f>ventas_libreria[[#This Row],[precio_eur]]/100</f>
        <v>8.7200000000000006</v>
      </c>
      <c r="G802">
        <v>872</v>
      </c>
      <c r="H802">
        <v>1</v>
      </c>
      <c r="I802">
        <f>ventas_libreria[[#This Row],[precio]]*ventas_libreria[[#This Row],[cantidad]]</f>
        <v>8.7200000000000006</v>
      </c>
      <c r="J802">
        <v>9</v>
      </c>
      <c r="K802" t="s">
        <v>20</v>
      </c>
      <c r="L802" s="1">
        <v>45627</v>
      </c>
      <c r="M802" t="s">
        <v>43</v>
      </c>
      <c r="N802" t="s">
        <v>32</v>
      </c>
      <c r="O802" t="s">
        <v>33</v>
      </c>
      <c r="P802" t="s">
        <v>34</v>
      </c>
      <c r="Q802">
        <v>5</v>
      </c>
      <c r="R802">
        <f>IF(ventas_libreria[[#This Row],[valoracion_cliente]]="","Sin valoración",ventas_libreria[[#This Row],[valoracion_cliente]])</f>
        <v>5</v>
      </c>
    </row>
    <row r="803" spans="1:18" x14ac:dyDescent="0.25">
      <c r="A803" t="s">
        <v>1079</v>
      </c>
      <c r="B803" t="s">
        <v>406</v>
      </c>
      <c r="C803" t="s">
        <v>407</v>
      </c>
      <c r="D803" t="s">
        <v>88</v>
      </c>
      <c r="E803" t="s">
        <v>77</v>
      </c>
      <c r="F803">
        <f>ventas_libreria[[#This Row],[precio_eur]]/100</f>
        <v>13.09</v>
      </c>
      <c r="G803">
        <v>1309</v>
      </c>
      <c r="H803">
        <v>1</v>
      </c>
      <c r="I803">
        <f>ventas_libreria[[#This Row],[precio]]*ventas_libreria[[#This Row],[cantidad]]</f>
        <v>13.09</v>
      </c>
      <c r="J803">
        <v>12</v>
      </c>
      <c r="K803" t="s">
        <v>30</v>
      </c>
      <c r="L803" s="1">
        <v>45205</v>
      </c>
      <c r="M803" t="s">
        <v>43</v>
      </c>
      <c r="N803" t="s">
        <v>32</v>
      </c>
      <c r="O803" t="s">
        <v>33</v>
      </c>
      <c r="P803" t="s">
        <v>24</v>
      </c>
      <c r="Q803">
        <v>5</v>
      </c>
      <c r="R803">
        <f>IF(ventas_libreria[[#This Row],[valoracion_cliente]]="","Sin valoración",ventas_libreria[[#This Row],[valoracion_cliente]])</f>
        <v>5</v>
      </c>
    </row>
    <row r="804" spans="1:18" x14ac:dyDescent="0.25">
      <c r="A804" t="s">
        <v>1080</v>
      </c>
      <c r="B804" t="s">
        <v>137</v>
      </c>
      <c r="C804" t="s">
        <v>138</v>
      </c>
      <c r="D804" t="s">
        <v>139</v>
      </c>
      <c r="E804" t="s">
        <v>116</v>
      </c>
      <c r="F804">
        <f>ventas_libreria[[#This Row],[precio_eur]]/100</f>
        <v>10.32</v>
      </c>
      <c r="G804">
        <v>1032</v>
      </c>
      <c r="H804">
        <v>3</v>
      </c>
      <c r="I804">
        <f>ventas_libreria[[#This Row],[precio]]*ventas_libreria[[#This Row],[cantidad]]</f>
        <v>30.96</v>
      </c>
      <c r="J804">
        <v>17</v>
      </c>
      <c r="K804" t="s">
        <v>62</v>
      </c>
      <c r="L804" s="1">
        <v>45225</v>
      </c>
      <c r="M804" t="s">
        <v>43</v>
      </c>
      <c r="N804" t="s">
        <v>32</v>
      </c>
      <c r="O804" t="s">
        <v>33</v>
      </c>
      <c r="P804" t="s">
        <v>84</v>
      </c>
      <c r="Q804">
        <v>3</v>
      </c>
      <c r="R804">
        <f>IF(ventas_libreria[[#This Row],[valoracion_cliente]]="","Sin valoración",ventas_libreria[[#This Row],[valoracion_cliente]])</f>
        <v>3</v>
      </c>
    </row>
    <row r="805" spans="1:18" x14ac:dyDescent="0.25">
      <c r="A805" t="s">
        <v>1081</v>
      </c>
      <c r="B805" t="s">
        <v>204</v>
      </c>
      <c r="C805" t="s">
        <v>205</v>
      </c>
      <c r="D805" t="s">
        <v>206</v>
      </c>
      <c r="E805" t="s">
        <v>116</v>
      </c>
      <c r="F805">
        <f>ventas_libreria[[#This Row],[precio_eur]]/100</f>
        <v>13.55</v>
      </c>
      <c r="G805">
        <v>1355</v>
      </c>
      <c r="H805">
        <v>1</v>
      </c>
      <c r="I805">
        <f>ventas_libreria[[#This Row],[precio]]*ventas_libreria[[#This Row],[cantidad]]</f>
        <v>13.55</v>
      </c>
      <c r="J805">
        <v>44</v>
      </c>
      <c r="K805" t="s">
        <v>20</v>
      </c>
      <c r="L805" s="1">
        <v>45041</v>
      </c>
      <c r="M805" t="s">
        <v>43</v>
      </c>
      <c r="N805" t="s">
        <v>32</v>
      </c>
      <c r="O805" t="s">
        <v>33</v>
      </c>
      <c r="P805" t="s">
        <v>24</v>
      </c>
      <c r="Q805">
        <v>4</v>
      </c>
      <c r="R805">
        <f>IF(ventas_libreria[[#This Row],[valoracion_cliente]]="","Sin valoración",ventas_libreria[[#This Row],[valoracion_cliente]])</f>
        <v>4</v>
      </c>
    </row>
    <row r="806" spans="1:18" x14ac:dyDescent="0.25">
      <c r="A806" t="s">
        <v>1082</v>
      </c>
      <c r="B806" t="s">
        <v>307</v>
      </c>
      <c r="C806" t="s">
        <v>308</v>
      </c>
      <c r="D806" t="s">
        <v>88</v>
      </c>
      <c r="E806" t="s">
        <v>77</v>
      </c>
      <c r="F806">
        <f>ventas_libreria[[#This Row],[precio_eur]]/100</f>
        <v>1.0900000000000001</v>
      </c>
      <c r="G806">
        <v>109</v>
      </c>
      <c r="H806">
        <v>1</v>
      </c>
      <c r="I806">
        <f>ventas_libreria[[#This Row],[precio]]*ventas_libreria[[#This Row],[cantidad]]</f>
        <v>1.0900000000000001</v>
      </c>
      <c r="J806">
        <v>7</v>
      </c>
      <c r="K806" t="s">
        <v>62</v>
      </c>
      <c r="L806" s="1">
        <v>45568</v>
      </c>
      <c r="M806" t="s">
        <v>31</v>
      </c>
      <c r="N806" t="s">
        <v>22</v>
      </c>
      <c r="O806" t="s">
        <v>67</v>
      </c>
      <c r="P806" t="s">
        <v>50</v>
      </c>
      <c r="Q806">
        <v>4</v>
      </c>
      <c r="R806">
        <f>IF(ventas_libreria[[#This Row],[valoracion_cliente]]="","Sin valoración",ventas_libreria[[#This Row],[valoracion_cliente]])</f>
        <v>4</v>
      </c>
    </row>
    <row r="807" spans="1:18" x14ac:dyDescent="0.25">
      <c r="A807" t="s">
        <v>1083</v>
      </c>
      <c r="B807" t="s">
        <v>134</v>
      </c>
      <c r="C807" t="s">
        <v>135</v>
      </c>
      <c r="D807" t="s">
        <v>106</v>
      </c>
      <c r="E807" t="s">
        <v>107</v>
      </c>
      <c r="F807">
        <f>ventas_libreria[[#This Row],[precio_eur]]/100</f>
        <v>1.49</v>
      </c>
      <c r="G807">
        <v>149</v>
      </c>
      <c r="H807">
        <v>2</v>
      </c>
      <c r="I807">
        <f>ventas_libreria[[#This Row],[precio]]*ventas_libreria[[#This Row],[cantidad]]</f>
        <v>2.98</v>
      </c>
      <c r="J807">
        <v>12</v>
      </c>
      <c r="K807" t="s">
        <v>38</v>
      </c>
      <c r="L807" s="1">
        <v>45267</v>
      </c>
      <c r="M807" t="s">
        <v>21</v>
      </c>
      <c r="N807" t="s">
        <v>22</v>
      </c>
      <c r="O807" t="s">
        <v>23</v>
      </c>
      <c r="P807" t="s">
        <v>24</v>
      </c>
      <c r="Q807">
        <v>4</v>
      </c>
      <c r="R807">
        <f>IF(ventas_libreria[[#This Row],[valoracion_cliente]]="","Sin valoración",ventas_libreria[[#This Row],[valoracion_cliente]])</f>
        <v>4</v>
      </c>
    </row>
    <row r="808" spans="1:18" x14ac:dyDescent="0.25">
      <c r="A808" t="s">
        <v>1084</v>
      </c>
      <c r="B808" t="s">
        <v>273</v>
      </c>
      <c r="C808" t="s">
        <v>274</v>
      </c>
      <c r="D808" t="s">
        <v>262</v>
      </c>
      <c r="E808" t="s">
        <v>263</v>
      </c>
      <c r="F808">
        <f>ventas_libreria[[#This Row],[precio_eur]]/100</f>
        <v>2.2999999999999998</v>
      </c>
      <c r="G808">
        <v>230</v>
      </c>
      <c r="H808">
        <v>1</v>
      </c>
      <c r="I808">
        <f>ventas_libreria[[#This Row],[precio]]*ventas_libreria[[#This Row],[cantidad]]</f>
        <v>2.2999999999999998</v>
      </c>
      <c r="J808">
        <v>17</v>
      </c>
      <c r="K808" t="s">
        <v>62</v>
      </c>
      <c r="L808" s="1">
        <v>45591</v>
      </c>
      <c r="M808" t="s">
        <v>21</v>
      </c>
      <c r="N808" t="s">
        <v>32</v>
      </c>
      <c r="O808" t="s">
        <v>33</v>
      </c>
      <c r="P808" t="s">
        <v>24</v>
      </c>
      <c r="Q808">
        <v>2</v>
      </c>
      <c r="R808">
        <f>IF(ventas_libreria[[#This Row],[valoracion_cliente]]="","Sin valoración",ventas_libreria[[#This Row],[valoracion_cliente]])</f>
        <v>2</v>
      </c>
    </row>
    <row r="809" spans="1:18" x14ac:dyDescent="0.25">
      <c r="A809" t="s">
        <v>1085</v>
      </c>
      <c r="B809" t="s">
        <v>86</v>
      </c>
      <c r="C809" t="s">
        <v>87</v>
      </c>
      <c r="D809" t="s">
        <v>88</v>
      </c>
      <c r="E809" t="s">
        <v>77</v>
      </c>
      <c r="F809">
        <f>ventas_libreria[[#This Row],[precio_eur]]/100</f>
        <v>10.71</v>
      </c>
      <c r="G809">
        <v>1071</v>
      </c>
      <c r="H809">
        <v>1</v>
      </c>
      <c r="I809">
        <f>ventas_libreria[[#This Row],[precio]]*ventas_libreria[[#This Row],[cantidad]]</f>
        <v>10.71</v>
      </c>
      <c r="J809">
        <v>10</v>
      </c>
      <c r="K809" t="s">
        <v>30</v>
      </c>
      <c r="L809" s="1">
        <v>45058</v>
      </c>
      <c r="M809" t="s">
        <v>31</v>
      </c>
      <c r="N809" t="s">
        <v>22</v>
      </c>
      <c r="O809" t="s">
        <v>98</v>
      </c>
      <c r="P809" t="s">
        <v>34</v>
      </c>
      <c r="Q809">
        <v>4</v>
      </c>
      <c r="R809">
        <f>IF(ventas_libreria[[#This Row],[valoracion_cliente]]="","Sin valoración",ventas_libreria[[#This Row],[valoracion_cliente]])</f>
        <v>4</v>
      </c>
    </row>
    <row r="810" spans="1:18" x14ac:dyDescent="0.25">
      <c r="A810" t="s">
        <v>1086</v>
      </c>
      <c r="B810" t="s">
        <v>437</v>
      </c>
      <c r="C810" t="s">
        <v>438</v>
      </c>
      <c r="D810" t="s">
        <v>178</v>
      </c>
      <c r="E810" t="s">
        <v>55</v>
      </c>
      <c r="F810">
        <f>ventas_libreria[[#This Row],[precio_eur]]/100</f>
        <v>19.690000000000001</v>
      </c>
      <c r="G810">
        <v>1969</v>
      </c>
      <c r="H810">
        <v>2</v>
      </c>
      <c r="I810">
        <f>ventas_libreria[[#This Row],[precio]]*ventas_libreria[[#This Row],[cantidad]]</f>
        <v>39.380000000000003</v>
      </c>
      <c r="J810">
        <v>51</v>
      </c>
      <c r="K810" t="s">
        <v>20</v>
      </c>
      <c r="L810" s="1">
        <v>45048</v>
      </c>
      <c r="M810" t="s">
        <v>31</v>
      </c>
      <c r="N810" t="s">
        <v>22</v>
      </c>
      <c r="O810" t="s">
        <v>132</v>
      </c>
      <c r="P810" t="s">
        <v>56</v>
      </c>
      <c r="Q810">
        <v>4</v>
      </c>
      <c r="R810">
        <f>IF(ventas_libreria[[#This Row],[valoracion_cliente]]="","Sin valoración",ventas_libreria[[#This Row],[valoracion_cliente]])</f>
        <v>4</v>
      </c>
    </row>
    <row r="811" spans="1:18" x14ac:dyDescent="0.25">
      <c r="A811" t="s">
        <v>1087</v>
      </c>
      <c r="B811" t="s">
        <v>176</v>
      </c>
      <c r="C811" t="s">
        <v>177</v>
      </c>
      <c r="D811" t="s">
        <v>178</v>
      </c>
      <c r="E811" t="s">
        <v>179</v>
      </c>
      <c r="F811">
        <f>ventas_libreria[[#This Row],[precio_eur]]/100</f>
        <v>14.31</v>
      </c>
      <c r="G811">
        <v>1431</v>
      </c>
      <c r="H811">
        <v>1</v>
      </c>
      <c r="I811">
        <f>ventas_libreria[[#This Row],[precio]]*ventas_libreria[[#This Row],[cantidad]]</f>
        <v>14.31</v>
      </c>
      <c r="J811">
        <v>45</v>
      </c>
      <c r="K811" t="s">
        <v>20</v>
      </c>
      <c r="L811" s="1">
        <v>45109</v>
      </c>
      <c r="M811" t="s">
        <v>43</v>
      </c>
      <c r="N811" t="s">
        <v>32</v>
      </c>
      <c r="O811" t="s">
        <v>33</v>
      </c>
      <c r="P811" t="s">
        <v>34</v>
      </c>
      <c r="R811" t="str">
        <f>IF(ventas_libreria[[#This Row],[valoracion_cliente]]="","Sin valoración",ventas_libreria[[#This Row],[valoracion_cliente]])</f>
        <v>Sin valoración</v>
      </c>
    </row>
    <row r="812" spans="1:18" x14ac:dyDescent="0.25">
      <c r="A812" t="s">
        <v>1088</v>
      </c>
      <c r="B812" t="s">
        <v>332</v>
      </c>
      <c r="C812" t="s">
        <v>333</v>
      </c>
      <c r="D812" t="s">
        <v>334</v>
      </c>
      <c r="E812" t="s">
        <v>116</v>
      </c>
      <c r="F812">
        <f>ventas_libreria[[#This Row],[precio_eur]]/100</f>
        <v>13.52</v>
      </c>
      <c r="G812">
        <v>1352</v>
      </c>
      <c r="H812">
        <v>1</v>
      </c>
      <c r="I812">
        <f>ventas_libreria[[#This Row],[precio]]*ventas_libreria[[#This Row],[cantidad]]</f>
        <v>13.52</v>
      </c>
      <c r="J812">
        <v>42</v>
      </c>
      <c r="K812" t="s">
        <v>30</v>
      </c>
      <c r="L812" s="1">
        <v>45595</v>
      </c>
      <c r="M812" t="s">
        <v>31</v>
      </c>
      <c r="N812" t="s">
        <v>22</v>
      </c>
      <c r="O812" t="s">
        <v>98</v>
      </c>
      <c r="P812" t="s">
        <v>84</v>
      </c>
      <c r="Q812">
        <v>4</v>
      </c>
      <c r="R812">
        <f>IF(ventas_libreria[[#This Row],[valoracion_cliente]]="","Sin valoración",ventas_libreria[[#This Row],[valoracion_cliente]])</f>
        <v>4</v>
      </c>
    </row>
    <row r="813" spans="1:18" x14ac:dyDescent="0.25">
      <c r="A813" t="s">
        <v>1089</v>
      </c>
      <c r="B813" t="s">
        <v>16</v>
      </c>
      <c r="C813" t="s">
        <v>17</v>
      </c>
      <c r="D813" t="s">
        <v>18</v>
      </c>
      <c r="E813" t="s">
        <v>19</v>
      </c>
      <c r="F813">
        <f>ventas_libreria[[#This Row],[precio_eur]]/100</f>
        <v>11.92</v>
      </c>
      <c r="G813">
        <v>1192</v>
      </c>
      <c r="H813">
        <v>1</v>
      </c>
      <c r="I813">
        <f>ventas_libreria[[#This Row],[precio]]*ventas_libreria[[#This Row],[cantidad]]</f>
        <v>11.92</v>
      </c>
      <c r="J813">
        <v>42</v>
      </c>
      <c r="K813" t="s">
        <v>38</v>
      </c>
      <c r="L813" s="1">
        <v>45572</v>
      </c>
      <c r="M813" t="s">
        <v>43</v>
      </c>
      <c r="N813" t="s">
        <v>32</v>
      </c>
      <c r="O813" t="s">
        <v>33</v>
      </c>
      <c r="P813" t="s">
        <v>24</v>
      </c>
      <c r="Q813">
        <v>5</v>
      </c>
      <c r="R813">
        <f>IF(ventas_libreria[[#This Row],[valoracion_cliente]]="","Sin valoración",ventas_libreria[[#This Row],[valoracion_cliente]])</f>
        <v>5</v>
      </c>
    </row>
    <row r="814" spans="1:18" x14ac:dyDescent="0.25">
      <c r="A814" t="s">
        <v>1090</v>
      </c>
      <c r="B814" t="s">
        <v>508</v>
      </c>
      <c r="C814" t="s">
        <v>509</v>
      </c>
      <c r="D814" t="s">
        <v>199</v>
      </c>
      <c r="E814" t="s">
        <v>55</v>
      </c>
      <c r="F814">
        <f>ventas_libreria[[#This Row],[precio_eur]]/100</f>
        <v>17.010000000000002</v>
      </c>
      <c r="G814">
        <v>1701</v>
      </c>
      <c r="H814">
        <v>1</v>
      </c>
      <c r="I814">
        <f>ventas_libreria[[#This Row],[precio]]*ventas_libreria[[#This Row],[cantidad]]</f>
        <v>17.010000000000002</v>
      </c>
      <c r="J814">
        <v>66</v>
      </c>
      <c r="K814" t="s">
        <v>20</v>
      </c>
      <c r="L814" s="1">
        <v>45727</v>
      </c>
      <c r="M814" t="s">
        <v>43</v>
      </c>
      <c r="N814" t="s">
        <v>32</v>
      </c>
      <c r="O814" t="s">
        <v>33</v>
      </c>
      <c r="P814" t="s">
        <v>34</v>
      </c>
      <c r="Q814">
        <v>5</v>
      </c>
      <c r="R814">
        <f>IF(ventas_libreria[[#This Row],[valoracion_cliente]]="","Sin valoración",ventas_libreria[[#This Row],[valoracion_cliente]])</f>
        <v>5</v>
      </c>
    </row>
    <row r="815" spans="1:18" x14ac:dyDescent="0.25">
      <c r="A815" t="s">
        <v>1091</v>
      </c>
      <c r="B815" t="s">
        <v>268</v>
      </c>
      <c r="C815" t="s">
        <v>269</v>
      </c>
      <c r="D815" t="s">
        <v>270</v>
      </c>
      <c r="E815" t="s">
        <v>83</v>
      </c>
      <c r="F815">
        <f>ventas_libreria[[#This Row],[precio_eur]]/100</f>
        <v>1.0900000000000001</v>
      </c>
      <c r="G815">
        <v>109</v>
      </c>
      <c r="H815">
        <v>2</v>
      </c>
      <c r="I815">
        <f>ventas_libreria[[#This Row],[precio]]*ventas_libreria[[#This Row],[cantidad]]</f>
        <v>2.1800000000000002</v>
      </c>
      <c r="J815">
        <v>50</v>
      </c>
      <c r="K815" t="s">
        <v>38</v>
      </c>
      <c r="L815" s="1">
        <v>45760</v>
      </c>
      <c r="M815" t="s">
        <v>21</v>
      </c>
      <c r="N815" t="s">
        <v>22</v>
      </c>
      <c r="O815" t="s">
        <v>67</v>
      </c>
      <c r="P815" t="s">
        <v>34</v>
      </c>
      <c r="Q815">
        <v>3</v>
      </c>
      <c r="R815">
        <f>IF(ventas_libreria[[#This Row],[valoracion_cliente]]="","Sin valoración",ventas_libreria[[#This Row],[valoracion_cliente]])</f>
        <v>3</v>
      </c>
    </row>
    <row r="816" spans="1:18" x14ac:dyDescent="0.25">
      <c r="A816" t="s">
        <v>1092</v>
      </c>
      <c r="B816" t="s">
        <v>437</v>
      </c>
      <c r="C816" t="s">
        <v>438</v>
      </c>
      <c r="D816" t="s">
        <v>178</v>
      </c>
      <c r="E816" t="s">
        <v>55</v>
      </c>
      <c r="F816">
        <f>ventas_libreria[[#This Row],[precio_eur]]/100</f>
        <v>18.79</v>
      </c>
      <c r="G816">
        <v>1879</v>
      </c>
      <c r="H816">
        <v>2</v>
      </c>
      <c r="I816">
        <f>ventas_libreria[[#This Row],[precio]]*ventas_libreria[[#This Row],[cantidad]]</f>
        <v>37.58</v>
      </c>
      <c r="J816">
        <v>22</v>
      </c>
      <c r="K816" t="s">
        <v>20</v>
      </c>
      <c r="L816" s="1">
        <v>45589</v>
      </c>
      <c r="M816" t="s">
        <v>43</v>
      </c>
      <c r="N816" t="s">
        <v>32</v>
      </c>
      <c r="O816" t="s">
        <v>33</v>
      </c>
      <c r="P816" t="s">
        <v>24</v>
      </c>
      <c r="Q816">
        <v>5</v>
      </c>
      <c r="R816">
        <f>IF(ventas_libreria[[#This Row],[valoracion_cliente]]="","Sin valoración",ventas_libreria[[#This Row],[valoracion_cliente]])</f>
        <v>5</v>
      </c>
    </row>
    <row r="817" spans="1:18" x14ac:dyDescent="0.25">
      <c r="A817" t="s">
        <v>1093</v>
      </c>
      <c r="B817" t="s">
        <v>260</v>
      </c>
      <c r="C817" t="s">
        <v>261</v>
      </c>
      <c r="D817" t="s">
        <v>262</v>
      </c>
      <c r="E817" t="s">
        <v>263</v>
      </c>
      <c r="F817">
        <f>ventas_libreria[[#This Row],[precio_eur]]/100</f>
        <v>18.61</v>
      </c>
      <c r="G817">
        <v>1861</v>
      </c>
      <c r="H817">
        <v>2</v>
      </c>
      <c r="I817">
        <f>ventas_libreria[[#This Row],[precio]]*ventas_libreria[[#This Row],[cantidad]]</f>
        <v>37.22</v>
      </c>
      <c r="J817">
        <v>44</v>
      </c>
      <c r="K817" t="s">
        <v>38</v>
      </c>
      <c r="L817" s="1">
        <v>45368</v>
      </c>
      <c r="M817" t="s">
        <v>43</v>
      </c>
      <c r="N817" t="s">
        <v>32</v>
      </c>
      <c r="O817" t="s">
        <v>33</v>
      </c>
      <c r="P817" t="s">
        <v>50</v>
      </c>
      <c r="Q817">
        <v>4</v>
      </c>
      <c r="R817">
        <f>IF(ventas_libreria[[#This Row],[valoracion_cliente]]="","Sin valoración",ventas_libreria[[#This Row],[valoracion_cliente]])</f>
        <v>4</v>
      </c>
    </row>
    <row r="818" spans="1:18" x14ac:dyDescent="0.25">
      <c r="A818" t="s">
        <v>1094</v>
      </c>
      <c r="B818" t="s">
        <v>151</v>
      </c>
      <c r="C818" t="s">
        <v>152</v>
      </c>
      <c r="D818" t="s">
        <v>153</v>
      </c>
      <c r="E818" t="s">
        <v>154</v>
      </c>
      <c r="F818">
        <f>ventas_libreria[[#This Row],[precio_eur]]/100</f>
        <v>13.52</v>
      </c>
      <c r="G818">
        <v>1352</v>
      </c>
      <c r="H818">
        <v>2</v>
      </c>
      <c r="I818">
        <f>ventas_libreria[[#This Row],[precio]]*ventas_libreria[[#This Row],[cantidad]]</f>
        <v>27.04</v>
      </c>
      <c r="J818">
        <v>17</v>
      </c>
      <c r="K818" t="s">
        <v>30</v>
      </c>
      <c r="L818" s="1">
        <v>45724</v>
      </c>
      <c r="M818" t="s">
        <v>43</v>
      </c>
      <c r="N818" t="s">
        <v>32</v>
      </c>
      <c r="O818" t="s">
        <v>33</v>
      </c>
      <c r="P818" t="s">
        <v>84</v>
      </c>
      <c r="Q818">
        <v>4</v>
      </c>
      <c r="R818">
        <f>IF(ventas_libreria[[#This Row],[valoracion_cliente]]="","Sin valoración",ventas_libreria[[#This Row],[valoracion_cliente]])</f>
        <v>4</v>
      </c>
    </row>
    <row r="819" spans="1:18" x14ac:dyDescent="0.25">
      <c r="A819" t="s">
        <v>1095</v>
      </c>
      <c r="B819" t="s">
        <v>247</v>
      </c>
      <c r="C819" t="s">
        <v>248</v>
      </c>
      <c r="D819" t="s">
        <v>249</v>
      </c>
      <c r="E819" t="s">
        <v>172</v>
      </c>
      <c r="F819">
        <f>ventas_libreria[[#This Row],[precio_eur]]/100</f>
        <v>11.81</v>
      </c>
      <c r="G819">
        <v>1181</v>
      </c>
      <c r="H819">
        <v>1</v>
      </c>
      <c r="I819">
        <f>ventas_libreria[[#This Row],[precio]]*ventas_libreria[[#This Row],[cantidad]]</f>
        <v>11.81</v>
      </c>
      <c r="J819">
        <v>47</v>
      </c>
      <c r="K819" t="s">
        <v>38</v>
      </c>
      <c r="L819" s="1">
        <v>45126</v>
      </c>
      <c r="M819" t="s">
        <v>21</v>
      </c>
      <c r="N819" t="s">
        <v>32</v>
      </c>
      <c r="O819" t="s">
        <v>33</v>
      </c>
      <c r="P819" t="s">
        <v>50</v>
      </c>
      <c r="Q819">
        <v>5</v>
      </c>
      <c r="R819">
        <f>IF(ventas_libreria[[#This Row],[valoracion_cliente]]="","Sin valoración",ventas_libreria[[#This Row],[valoracion_cliente]])</f>
        <v>5</v>
      </c>
    </row>
    <row r="820" spans="1:18" x14ac:dyDescent="0.25">
      <c r="A820" t="s">
        <v>1096</v>
      </c>
      <c r="B820" t="s">
        <v>406</v>
      </c>
      <c r="C820" t="s">
        <v>407</v>
      </c>
      <c r="D820" t="s">
        <v>88</v>
      </c>
      <c r="E820" t="s">
        <v>77</v>
      </c>
      <c r="F820">
        <f>ventas_libreria[[#This Row],[precio_eur]]/100</f>
        <v>1.19</v>
      </c>
      <c r="G820">
        <v>119</v>
      </c>
      <c r="H820">
        <v>4</v>
      </c>
      <c r="I820">
        <f>ventas_libreria[[#This Row],[precio]]*ventas_libreria[[#This Row],[cantidad]]</f>
        <v>4.76</v>
      </c>
      <c r="J820">
        <v>6</v>
      </c>
      <c r="K820" t="s">
        <v>20</v>
      </c>
      <c r="L820" s="1">
        <v>45417</v>
      </c>
      <c r="M820" t="s">
        <v>43</v>
      </c>
      <c r="N820" t="s">
        <v>32</v>
      </c>
      <c r="O820" t="s">
        <v>33</v>
      </c>
      <c r="P820" t="s">
        <v>84</v>
      </c>
      <c r="Q820">
        <v>4</v>
      </c>
      <c r="R820">
        <f>IF(ventas_libreria[[#This Row],[valoracion_cliente]]="","Sin valoración",ventas_libreria[[#This Row],[valoracion_cliente]])</f>
        <v>4</v>
      </c>
    </row>
    <row r="821" spans="1:18" x14ac:dyDescent="0.25">
      <c r="A821" t="s">
        <v>1097</v>
      </c>
      <c r="B821" t="s">
        <v>530</v>
      </c>
      <c r="C821" t="s">
        <v>531</v>
      </c>
      <c r="D821" t="s">
        <v>195</v>
      </c>
      <c r="E821" t="s">
        <v>48</v>
      </c>
      <c r="F821">
        <f>ventas_libreria[[#This Row],[precio_eur]]/100</f>
        <v>21.89</v>
      </c>
      <c r="G821">
        <v>2189</v>
      </c>
      <c r="H821">
        <v>2</v>
      </c>
      <c r="I821">
        <f>ventas_libreria[[#This Row],[precio]]*ventas_libreria[[#This Row],[cantidad]]</f>
        <v>43.78</v>
      </c>
      <c r="J821">
        <v>16</v>
      </c>
      <c r="K821" t="s">
        <v>30</v>
      </c>
      <c r="L821" s="1">
        <v>46010</v>
      </c>
      <c r="M821" t="s">
        <v>21</v>
      </c>
      <c r="N821" t="s">
        <v>22</v>
      </c>
      <c r="O821" t="s">
        <v>67</v>
      </c>
      <c r="P821" t="s">
        <v>24</v>
      </c>
      <c r="Q821">
        <v>5</v>
      </c>
      <c r="R821">
        <f>IF(ventas_libreria[[#This Row],[valoracion_cliente]]="","Sin valoración",ventas_libreria[[#This Row],[valoracion_cliente]])</f>
        <v>5</v>
      </c>
    </row>
    <row r="822" spans="1:18" x14ac:dyDescent="0.25">
      <c r="A822" t="s">
        <v>1098</v>
      </c>
      <c r="B822" t="s">
        <v>286</v>
      </c>
      <c r="C822" t="s">
        <v>287</v>
      </c>
      <c r="D822" t="s">
        <v>288</v>
      </c>
      <c r="E822" t="s">
        <v>289</v>
      </c>
      <c r="F822">
        <f>ventas_libreria[[#This Row],[precio_eur]]/100</f>
        <v>2.19</v>
      </c>
      <c r="G822">
        <v>219</v>
      </c>
      <c r="H822">
        <v>1</v>
      </c>
      <c r="I822">
        <f>ventas_libreria[[#This Row],[precio]]*ventas_libreria[[#This Row],[cantidad]]</f>
        <v>2.19</v>
      </c>
      <c r="J822">
        <v>40</v>
      </c>
      <c r="K822" t="s">
        <v>30</v>
      </c>
      <c r="L822" s="1">
        <v>45909</v>
      </c>
      <c r="M822" t="s">
        <v>31</v>
      </c>
      <c r="N822" t="s">
        <v>32</v>
      </c>
      <c r="O822" t="s">
        <v>33</v>
      </c>
      <c r="P822" t="s">
        <v>84</v>
      </c>
      <c r="Q822">
        <v>4</v>
      </c>
      <c r="R822">
        <f>IF(ventas_libreria[[#This Row],[valoracion_cliente]]="","Sin valoración",ventas_libreria[[#This Row],[valoracion_cliente]])</f>
        <v>4</v>
      </c>
    </row>
    <row r="823" spans="1:18" x14ac:dyDescent="0.25">
      <c r="A823" t="s">
        <v>1099</v>
      </c>
      <c r="B823" t="s">
        <v>307</v>
      </c>
      <c r="C823" t="s">
        <v>308</v>
      </c>
      <c r="D823" t="s">
        <v>88</v>
      </c>
      <c r="E823" t="s">
        <v>77</v>
      </c>
      <c r="F823">
        <f>ventas_libreria[[#This Row],[precio_eur]]/100</f>
        <v>9.27</v>
      </c>
      <c r="G823">
        <v>927</v>
      </c>
      <c r="H823">
        <v>1</v>
      </c>
      <c r="I823">
        <f>ventas_libreria[[#This Row],[precio]]*ventas_libreria[[#This Row],[cantidad]]</f>
        <v>9.27</v>
      </c>
      <c r="J823">
        <v>12</v>
      </c>
      <c r="K823" t="s">
        <v>20</v>
      </c>
      <c r="L823" s="1">
        <v>45302</v>
      </c>
      <c r="M823" t="s">
        <v>43</v>
      </c>
      <c r="N823" t="s">
        <v>32</v>
      </c>
      <c r="O823" t="s">
        <v>33</v>
      </c>
      <c r="P823" t="s">
        <v>84</v>
      </c>
      <c r="Q823">
        <v>5</v>
      </c>
      <c r="R823">
        <f>IF(ventas_libreria[[#This Row],[valoracion_cliente]]="","Sin valoración",ventas_libreria[[#This Row],[valoracion_cliente]])</f>
        <v>5</v>
      </c>
    </row>
    <row r="824" spans="1:18" x14ac:dyDescent="0.25">
      <c r="A824" t="s">
        <v>1100</v>
      </c>
      <c r="B824" t="s">
        <v>240</v>
      </c>
      <c r="C824" t="s">
        <v>241</v>
      </c>
      <c r="D824" t="s">
        <v>54</v>
      </c>
      <c r="E824" t="s">
        <v>172</v>
      </c>
      <c r="F824">
        <f>ventas_libreria[[#This Row],[precio_eur]]/100</f>
        <v>1.49</v>
      </c>
      <c r="G824">
        <v>149</v>
      </c>
      <c r="H824">
        <v>1</v>
      </c>
      <c r="I824">
        <f>ventas_libreria[[#This Row],[precio]]*ventas_libreria[[#This Row],[cantidad]]</f>
        <v>1.49</v>
      </c>
      <c r="J824">
        <v>34</v>
      </c>
      <c r="K824" t="s">
        <v>30</v>
      </c>
      <c r="L824" s="1">
        <v>45305</v>
      </c>
      <c r="M824" t="s">
        <v>43</v>
      </c>
      <c r="N824" t="s">
        <v>32</v>
      </c>
      <c r="O824" t="s">
        <v>33</v>
      </c>
      <c r="P824" t="s">
        <v>84</v>
      </c>
      <c r="Q824">
        <v>5</v>
      </c>
      <c r="R824">
        <f>IF(ventas_libreria[[#This Row],[valoracion_cliente]]="","Sin valoración",ventas_libreria[[#This Row],[valoracion_cliente]])</f>
        <v>5</v>
      </c>
    </row>
    <row r="825" spans="1:18" x14ac:dyDescent="0.25">
      <c r="A825" t="s">
        <v>1101</v>
      </c>
      <c r="B825" t="s">
        <v>134</v>
      </c>
      <c r="C825" t="s">
        <v>135</v>
      </c>
      <c r="D825" t="s">
        <v>106</v>
      </c>
      <c r="E825" t="s">
        <v>107</v>
      </c>
      <c r="F825">
        <f>ventas_libreria[[#This Row],[precio_eur]]/100</f>
        <v>1.49</v>
      </c>
      <c r="G825">
        <v>149</v>
      </c>
      <c r="H825">
        <v>1</v>
      </c>
      <c r="I825">
        <f>ventas_libreria[[#This Row],[precio]]*ventas_libreria[[#This Row],[cantidad]]</f>
        <v>1.49</v>
      </c>
      <c r="J825">
        <v>21</v>
      </c>
      <c r="K825" t="s">
        <v>38</v>
      </c>
      <c r="L825" s="1">
        <v>45501</v>
      </c>
      <c r="M825" t="s">
        <v>21</v>
      </c>
      <c r="N825" t="s">
        <v>22</v>
      </c>
      <c r="O825" t="s">
        <v>132</v>
      </c>
      <c r="P825" t="s">
        <v>50</v>
      </c>
      <c r="Q825">
        <v>4</v>
      </c>
      <c r="R825">
        <f>IF(ventas_libreria[[#This Row],[valoracion_cliente]]="","Sin valoración",ventas_libreria[[#This Row],[valoracion_cliente]])</f>
        <v>4</v>
      </c>
    </row>
    <row r="826" spans="1:18" x14ac:dyDescent="0.25">
      <c r="A826" t="s">
        <v>1102</v>
      </c>
      <c r="B826" t="s">
        <v>125</v>
      </c>
      <c r="C826" t="s">
        <v>126</v>
      </c>
      <c r="D826" t="s">
        <v>127</v>
      </c>
      <c r="E826" t="s">
        <v>29</v>
      </c>
      <c r="F826">
        <f>ventas_libreria[[#This Row],[precio_eur]]/100</f>
        <v>19.690000000000001</v>
      </c>
      <c r="G826">
        <v>1969</v>
      </c>
      <c r="H826">
        <v>1</v>
      </c>
      <c r="I826">
        <f>ventas_libreria[[#This Row],[precio]]*ventas_libreria[[#This Row],[cantidad]]</f>
        <v>19.690000000000001</v>
      </c>
      <c r="J826">
        <v>23</v>
      </c>
      <c r="K826" t="s">
        <v>30</v>
      </c>
      <c r="L826" s="1">
        <v>45691</v>
      </c>
      <c r="M826" t="s">
        <v>31</v>
      </c>
      <c r="N826" t="s">
        <v>32</v>
      </c>
      <c r="O826" t="s">
        <v>33</v>
      </c>
      <c r="P826" t="s">
        <v>50</v>
      </c>
      <c r="Q826">
        <v>4</v>
      </c>
      <c r="R826">
        <f>IF(ventas_libreria[[#This Row],[valoracion_cliente]]="","Sin valoración",ventas_libreria[[#This Row],[valoracion_cliente]])</f>
        <v>4</v>
      </c>
    </row>
    <row r="827" spans="1:18" x14ac:dyDescent="0.25">
      <c r="A827" t="s">
        <v>1103</v>
      </c>
      <c r="B827" t="s">
        <v>151</v>
      </c>
      <c r="C827" t="s">
        <v>152</v>
      </c>
      <c r="D827" t="s">
        <v>153</v>
      </c>
      <c r="E827" t="s">
        <v>154</v>
      </c>
      <c r="F827">
        <f>ventas_libreria[[#This Row],[precio_eur]]/100</f>
        <v>18.59</v>
      </c>
      <c r="G827">
        <v>1859</v>
      </c>
      <c r="H827">
        <v>1</v>
      </c>
      <c r="I827">
        <f>ventas_libreria[[#This Row],[precio]]*ventas_libreria[[#This Row],[cantidad]]</f>
        <v>18.59</v>
      </c>
      <c r="J827">
        <v>66</v>
      </c>
      <c r="K827" t="s">
        <v>20</v>
      </c>
      <c r="L827" s="1">
        <v>45631</v>
      </c>
      <c r="M827" t="s">
        <v>21</v>
      </c>
      <c r="N827" t="s">
        <v>32</v>
      </c>
      <c r="O827" t="s">
        <v>33</v>
      </c>
      <c r="P827" t="s">
        <v>84</v>
      </c>
      <c r="Q827">
        <v>5</v>
      </c>
      <c r="R827">
        <f>IF(ventas_libreria[[#This Row],[valoracion_cliente]]="","Sin valoración",ventas_libreria[[#This Row],[valoracion_cliente]])</f>
        <v>5</v>
      </c>
    </row>
    <row r="828" spans="1:18" x14ac:dyDescent="0.25">
      <c r="A828" t="s">
        <v>1104</v>
      </c>
      <c r="B828" t="s">
        <v>204</v>
      </c>
      <c r="C828" t="s">
        <v>205</v>
      </c>
      <c r="D828" t="s">
        <v>206</v>
      </c>
      <c r="E828" t="s">
        <v>116</v>
      </c>
      <c r="F828">
        <f>ventas_libreria[[#This Row],[precio_eur]]/100</f>
        <v>14.19</v>
      </c>
      <c r="G828">
        <v>1419</v>
      </c>
      <c r="H828">
        <v>1</v>
      </c>
      <c r="I828">
        <f>ventas_libreria[[#This Row],[precio]]*ventas_libreria[[#This Row],[cantidad]]</f>
        <v>14.19</v>
      </c>
      <c r="J828">
        <v>49</v>
      </c>
      <c r="K828" t="s">
        <v>38</v>
      </c>
      <c r="L828" s="1">
        <v>45522</v>
      </c>
      <c r="M828" t="s">
        <v>31</v>
      </c>
      <c r="N828" t="s">
        <v>32</v>
      </c>
      <c r="O828" t="s">
        <v>33</v>
      </c>
      <c r="P828" t="s">
        <v>50</v>
      </c>
      <c r="R828" t="str">
        <f>IF(ventas_libreria[[#This Row],[valoracion_cliente]]="","Sin valoración",ventas_libreria[[#This Row],[valoracion_cliente]])</f>
        <v>Sin valoración</v>
      </c>
    </row>
    <row r="829" spans="1:18" x14ac:dyDescent="0.25">
      <c r="A829" t="s">
        <v>1105</v>
      </c>
      <c r="B829" t="s">
        <v>254</v>
      </c>
      <c r="C829" t="s">
        <v>255</v>
      </c>
      <c r="D829" t="s">
        <v>139</v>
      </c>
      <c r="E829" t="s">
        <v>116</v>
      </c>
      <c r="F829">
        <f>ventas_libreria[[#This Row],[precio_eur]]/100</f>
        <v>13.41</v>
      </c>
      <c r="G829">
        <v>1341</v>
      </c>
      <c r="H829">
        <v>1</v>
      </c>
      <c r="I829">
        <f>ventas_libreria[[#This Row],[precio]]*ventas_libreria[[#This Row],[cantidad]]</f>
        <v>13.41</v>
      </c>
      <c r="J829">
        <v>69</v>
      </c>
      <c r="K829" t="s">
        <v>20</v>
      </c>
      <c r="L829" s="1">
        <v>45583</v>
      </c>
      <c r="M829" t="s">
        <v>43</v>
      </c>
      <c r="N829" t="s">
        <v>32</v>
      </c>
      <c r="O829" t="s">
        <v>33</v>
      </c>
      <c r="P829" t="s">
        <v>50</v>
      </c>
      <c r="Q829">
        <v>5</v>
      </c>
      <c r="R829">
        <f>IF(ventas_libreria[[#This Row],[valoracion_cliente]]="","Sin valoración",ventas_libreria[[#This Row],[valoracion_cliente]])</f>
        <v>5</v>
      </c>
    </row>
    <row r="830" spans="1:18" x14ac:dyDescent="0.25">
      <c r="A830" t="s">
        <v>1106</v>
      </c>
      <c r="B830" t="s">
        <v>240</v>
      </c>
      <c r="C830" t="s">
        <v>241</v>
      </c>
      <c r="D830" t="s">
        <v>54</v>
      </c>
      <c r="E830" t="s">
        <v>172</v>
      </c>
      <c r="F830">
        <f>ventas_libreria[[#This Row],[precio_eur]]/100</f>
        <v>1.49</v>
      </c>
      <c r="G830">
        <v>149</v>
      </c>
      <c r="H830">
        <v>1</v>
      </c>
      <c r="I830">
        <f>ventas_libreria[[#This Row],[precio]]*ventas_libreria[[#This Row],[cantidad]]</f>
        <v>1.49</v>
      </c>
      <c r="J830">
        <v>51</v>
      </c>
      <c r="K830" t="s">
        <v>62</v>
      </c>
      <c r="L830" s="1">
        <v>45555</v>
      </c>
      <c r="M830" t="s">
        <v>43</v>
      </c>
      <c r="N830" t="s">
        <v>32</v>
      </c>
      <c r="O830" t="s">
        <v>33</v>
      </c>
      <c r="P830" t="s">
        <v>84</v>
      </c>
      <c r="Q830">
        <v>5</v>
      </c>
      <c r="R830">
        <f>IF(ventas_libreria[[#This Row],[valoracion_cliente]]="","Sin valoración",ventas_libreria[[#This Row],[valoracion_cliente]])</f>
        <v>5</v>
      </c>
    </row>
    <row r="831" spans="1:18" x14ac:dyDescent="0.25">
      <c r="A831" t="s">
        <v>1107</v>
      </c>
      <c r="B831" t="s">
        <v>186</v>
      </c>
      <c r="C831" t="s">
        <v>187</v>
      </c>
      <c r="D831" t="s">
        <v>188</v>
      </c>
      <c r="E831" t="s">
        <v>189</v>
      </c>
      <c r="F831">
        <f>ventas_libreria[[#This Row],[precio_eur]]/100</f>
        <v>1.99</v>
      </c>
      <c r="G831">
        <v>199</v>
      </c>
      <c r="H831">
        <v>1</v>
      </c>
      <c r="I831">
        <f>ventas_libreria[[#This Row],[precio]]*ventas_libreria[[#This Row],[cantidad]]</f>
        <v>1.99</v>
      </c>
      <c r="J831">
        <v>68</v>
      </c>
      <c r="K831" t="s">
        <v>38</v>
      </c>
      <c r="L831" s="1">
        <v>45965</v>
      </c>
      <c r="M831" t="s">
        <v>21</v>
      </c>
      <c r="N831" t="s">
        <v>22</v>
      </c>
      <c r="O831" t="s">
        <v>49</v>
      </c>
      <c r="P831" t="s">
        <v>34</v>
      </c>
      <c r="Q831">
        <v>4</v>
      </c>
      <c r="R831">
        <f>IF(ventas_libreria[[#This Row],[valoracion_cliente]]="","Sin valoración",ventas_libreria[[#This Row],[valoracion_cliente]])</f>
        <v>4</v>
      </c>
    </row>
    <row r="832" spans="1:18" x14ac:dyDescent="0.25">
      <c r="A832" t="s">
        <v>1108</v>
      </c>
      <c r="B832" t="s">
        <v>211</v>
      </c>
      <c r="C832" t="s">
        <v>212</v>
      </c>
      <c r="D832" t="s">
        <v>131</v>
      </c>
      <c r="E832" t="s">
        <v>107</v>
      </c>
      <c r="F832">
        <f>ventas_libreria[[#This Row],[precio_eur]]/100</f>
        <v>18.59</v>
      </c>
      <c r="G832">
        <v>1859</v>
      </c>
      <c r="H832">
        <v>1</v>
      </c>
      <c r="I832">
        <f>ventas_libreria[[#This Row],[precio]]*ventas_libreria[[#This Row],[cantidad]]</f>
        <v>18.59</v>
      </c>
      <c r="J832">
        <v>18</v>
      </c>
      <c r="K832" t="s">
        <v>38</v>
      </c>
      <c r="L832" s="1">
        <v>45196</v>
      </c>
      <c r="M832" t="s">
        <v>43</v>
      </c>
      <c r="N832" t="s">
        <v>32</v>
      </c>
      <c r="O832" t="s">
        <v>33</v>
      </c>
      <c r="P832" t="s">
        <v>34</v>
      </c>
      <c r="Q832">
        <v>5</v>
      </c>
      <c r="R832">
        <f>IF(ventas_libreria[[#This Row],[valoracion_cliente]]="","Sin valoración",ventas_libreria[[#This Row],[valoracion_cliente]])</f>
        <v>5</v>
      </c>
    </row>
    <row r="833" spans="1:18" x14ac:dyDescent="0.25">
      <c r="A833" t="s">
        <v>1109</v>
      </c>
      <c r="B833" t="s">
        <v>121</v>
      </c>
      <c r="C833" t="s">
        <v>122</v>
      </c>
      <c r="D833" t="s">
        <v>123</v>
      </c>
      <c r="E833" t="s">
        <v>48</v>
      </c>
      <c r="F833">
        <f>ventas_libreria[[#This Row],[precio_eur]]/100</f>
        <v>1.69</v>
      </c>
      <c r="G833">
        <v>169</v>
      </c>
      <c r="H833">
        <v>1</v>
      </c>
      <c r="I833">
        <f>ventas_libreria[[#This Row],[precio]]*ventas_libreria[[#This Row],[cantidad]]</f>
        <v>1.69</v>
      </c>
      <c r="J833">
        <v>29</v>
      </c>
      <c r="K833" t="s">
        <v>62</v>
      </c>
      <c r="L833" s="1">
        <v>45011</v>
      </c>
      <c r="M833" t="s">
        <v>43</v>
      </c>
      <c r="N833" t="s">
        <v>32</v>
      </c>
      <c r="O833" t="s">
        <v>33</v>
      </c>
      <c r="P833" t="s">
        <v>24</v>
      </c>
      <c r="Q833">
        <v>4</v>
      </c>
      <c r="R833">
        <f>IF(ventas_libreria[[#This Row],[valoracion_cliente]]="","Sin valoración",ventas_libreria[[#This Row],[valoracion_cliente]])</f>
        <v>4</v>
      </c>
    </row>
    <row r="834" spans="1:18" x14ac:dyDescent="0.25">
      <c r="A834" t="s">
        <v>1110</v>
      </c>
      <c r="B834" t="s">
        <v>291</v>
      </c>
      <c r="C834" t="s">
        <v>292</v>
      </c>
      <c r="D834" t="s">
        <v>76</v>
      </c>
      <c r="E834" t="s">
        <v>77</v>
      </c>
      <c r="F834">
        <f>ventas_libreria[[#This Row],[precio_eur]]/100</f>
        <v>8.91</v>
      </c>
      <c r="G834">
        <v>891</v>
      </c>
      <c r="H834">
        <v>1</v>
      </c>
      <c r="I834">
        <f>ventas_libreria[[#This Row],[precio]]*ventas_libreria[[#This Row],[cantidad]]</f>
        <v>8.91</v>
      </c>
      <c r="J834">
        <v>8</v>
      </c>
      <c r="K834" t="s">
        <v>20</v>
      </c>
      <c r="L834" s="1">
        <v>45914</v>
      </c>
      <c r="M834" t="s">
        <v>31</v>
      </c>
      <c r="N834" t="s">
        <v>32</v>
      </c>
      <c r="O834" t="s">
        <v>33</v>
      </c>
      <c r="P834" t="s">
        <v>84</v>
      </c>
      <c r="R834" t="str">
        <f>IF(ventas_libreria[[#This Row],[valoracion_cliente]]="","Sin valoración",ventas_libreria[[#This Row],[valoracion_cliente]])</f>
        <v>Sin valoración</v>
      </c>
    </row>
    <row r="835" spans="1:18" x14ac:dyDescent="0.25">
      <c r="A835" t="s">
        <v>1111</v>
      </c>
      <c r="B835" t="s">
        <v>58</v>
      </c>
      <c r="C835" t="s">
        <v>59</v>
      </c>
      <c r="D835" t="s">
        <v>60</v>
      </c>
      <c r="E835" t="s">
        <v>61</v>
      </c>
      <c r="F835">
        <f>ventas_libreria[[#This Row],[precio_eur]]/100</f>
        <v>1.29</v>
      </c>
      <c r="G835">
        <v>129</v>
      </c>
      <c r="H835">
        <v>1</v>
      </c>
      <c r="I835">
        <f>ventas_libreria[[#This Row],[precio]]*ventas_libreria[[#This Row],[cantidad]]</f>
        <v>1.29</v>
      </c>
      <c r="J835">
        <v>16</v>
      </c>
      <c r="K835" t="s">
        <v>20</v>
      </c>
      <c r="L835" s="1">
        <v>45453</v>
      </c>
      <c r="M835" t="s">
        <v>43</v>
      </c>
      <c r="N835" t="s">
        <v>32</v>
      </c>
      <c r="O835" t="s">
        <v>33</v>
      </c>
      <c r="P835" t="s">
        <v>56</v>
      </c>
      <c r="Q835">
        <v>4</v>
      </c>
      <c r="R835">
        <f>IF(ventas_libreria[[#This Row],[valoracion_cliente]]="","Sin valoración",ventas_libreria[[#This Row],[valoracion_cliente]])</f>
        <v>4</v>
      </c>
    </row>
    <row r="836" spans="1:18" x14ac:dyDescent="0.25">
      <c r="A836" t="s">
        <v>1112</v>
      </c>
      <c r="B836" t="s">
        <v>268</v>
      </c>
      <c r="C836" t="s">
        <v>269</v>
      </c>
      <c r="D836" t="s">
        <v>270</v>
      </c>
      <c r="E836" t="s">
        <v>83</v>
      </c>
      <c r="F836">
        <f>ventas_libreria[[#This Row],[precio_eur]]/100</f>
        <v>1.0900000000000001</v>
      </c>
      <c r="G836">
        <v>109</v>
      </c>
      <c r="H836">
        <v>1</v>
      </c>
      <c r="I836">
        <f>ventas_libreria[[#This Row],[precio]]*ventas_libreria[[#This Row],[cantidad]]</f>
        <v>1.0900000000000001</v>
      </c>
      <c r="J836">
        <v>24</v>
      </c>
      <c r="K836" t="s">
        <v>38</v>
      </c>
      <c r="L836" s="1">
        <v>45310</v>
      </c>
      <c r="M836" t="s">
        <v>31</v>
      </c>
      <c r="N836" t="s">
        <v>22</v>
      </c>
      <c r="O836" t="s">
        <v>98</v>
      </c>
      <c r="P836" t="s">
        <v>50</v>
      </c>
      <c r="Q836">
        <v>3</v>
      </c>
      <c r="R836">
        <f>IF(ventas_libreria[[#This Row],[valoracion_cliente]]="","Sin valoración",ventas_libreria[[#This Row],[valoracion_cliente]])</f>
        <v>3</v>
      </c>
    </row>
    <row r="837" spans="1:18" x14ac:dyDescent="0.25">
      <c r="A837" t="s">
        <v>1113</v>
      </c>
      <c r="B837" t="s">
        <v>121</v>
      </c>
      <c r="C837" t="s">
        <v>122</v>
      </c>
      <c r="D837" t="s">
        <v>123</v>
      </c>
      <c r="E837" t="s">
        <v>48</v>
      </c>
      <c r="F837">
        <f>ventas_libreria[[#This Row],[precio_eur]]/100</f>
        <v>1.69</v>
      </c>
      <c r="G837">
        <v>169</v>
      </c>
      <c r="H837">
        <v>1</v>
      </c>
      <c r="I837">
        <f>ventas_libreria[[#This Row],[precio]]*ventas_libreria[[#This Row],[cantidad]]</f>
        <v>1.69</v>
      </c>
      <c r="J837">
        <v>74</v>
      </c>
      <c r="K837" t="s">
        <v>20</v>
      </c>
      <c r="L837" s="1">
        <v>45382</v>
      </c>
      <c r="M837" t="s">
        <v>31</v>
      </c>
      <c r="N837" t="s">
        <v>22</v>
      </c>
      <c r="O837" t="s">
        <v>67</v>
      </c>
      <c r="P837" t="s">
        <v>24</v>
      </c>
      <c r="Q837">
        <v>5</v>
      </c>
      <c r="R837">
        <f>IF(ventas_libreria[[#This Row],[valoracion_cliente]]="","Sin valoración",ventas_libreria[[#This Row],[valoracion_cliente]])</f>
        <v>5</v>
      </c>
    </row>
    <row r="838" spans="1:18" x14ac:dyDescent="0.25">
      <c r="A838" t="s">
        <v>1114</v>
      </c>
      <c r="B838" t="s">
        <v>291</v>
      </c>
      <c r="C838" t="s">
        <v>292</v>
      </c>
      <c r="D838" t="s">
        <v>76</v>
      </c>
      <c r="E838" t="s">
        <v>77</v>
      </c>
      <c r="F838">
        <f>ventas_libreria[[#This Row],[precio_eur]]/100</f>
        <v>7.92</v>
      </c>
      <c r="G838">
        <v>792</v>
      </c>
      <c r="H838">
        <v>1</v>
      </c>
      <c r="I838">
        <f>ventas_libreria[[#This Row],[precio]]*ventas_libreria[[#This Row],[cantidad]]</f>
        <v>7.92</v>
      </c>
      <c r="J838">
        <v>6</v>
      </c>
      <c r="K838" t="s">
        <v>62</v>
      </c>
      <c r="L838" s="1">
        <v>45214</v>
      </c>
      <c r="M838" t="s">
        <v>21</v>
      </c>
      <c r="N838" t="s">
        <v>22</v>
      </c>
      <c r="O838" t="s">
        <v>98</v>
      </c>
      <c r="P838" t="s">
        <v>24</v>
      </c>
      <c r="Q838">
        <v>5</v>
      </c>
      <c r="R838">
        <f>IF(ventas_libreria[[#This Row],[valoracion_cliente]]="","Sin valoración",ventas_libreria[[#This Row],[valoracion_cliente]])</f>
        <v>5</v>
      </c>
    </row>
    <row r="839" spans="1:18" x14ac:dyDescent="0.25">
      <c r="A839" t="s">
        <v>1115</v>
      </c>
      <c r="B839" t="s">
        <v>80</v>
      </c>
      <c r="C839" t="s">
        <v>81</v>
      </c>
      <c r="D839" t="s">
        <v>82</v>
      </c>
      <c r="E839" t="s">
        <v>83</v>
      </c>
      <c r="F839">
        <f>ventas_libreria[[#This Row],[precio_eur]]/100</f>
        <v>0.99</v>
      </c>
      <c r="G839">
        <v>99</v>
      </c>
      <c r="H839">
        <v>1</v>
      </c>
      <c r="I839">
        <f>ventas_libreria[[#This Row],[precio]]*ventas_libreria[[#This Row],[cantidad]]</f>
        <v>0.99</v>
      </c>
      <c r="J839">
        <v>31</v>
      </c>
      <c r="K839" t="s">
        <v>30</v>
      </c>
      <c r="L839" s="1">
        <v>45618</v>
      </c>
      <c r="M839" t="s">
        <v>31</v>
      </c>
      <c r="N839" t="s">
        <v>32</v>
      </c>
      <c r="O839" t="s">
        <v>33</v>
      </c>
      <c r="P839" t="s">
        <v>34</v>
      </c>
      <c r="Q839">
        <v>5</v>
      </c>
      <c r="R839">
        <f>IF(ventas_libreria[[#This Row],[valoracion_cliente]]="","Sin valoración",ventas_libreria[[#This Row],[valoracion_cliente]])</f>
        <v>5</v>
      </c>
    </row>
    <row r="840" spans="1:18" x14ac:dyDescent="0.25">
      <c r="A840" t="s">
        <v>1116</v>
      </c>
      <c r="B840" t="s">
        <v>176</v>
      </c>
      <c r="C840" t="s">
        <v>177</v>
      </c>
      <c r="D840" t="s">
        <v>178</v>
      </c>
      <c r="E840" t="s">
        <v>179</v>
      </c>
      <c r="F840">
        <f>ventas_libreria[[#This Row],[precio_eur]]/100</f>
        <v>1.59</v>
      </c>
      <c r="G840">
        <v>159</v>
      </c>
      <c r="H840">
        <v>1</v>
      </c>
      <c r="I840">
        <f>ventas_libreria[[#This Row],[precio]]*ventas_libreria[[#This Row],[cantidad]]</f>
        <v>1.59</v>
      </c>
      <c r="J840">
        <v>42</v>
      </c>
      <c r="K840" t="s">
        <v>62</v>
      </c>
      <c r="L840" s="1">
        <v>45135</v>
      </c>
      <c r="M840" t="s">
        <v>21</v>
      </c>
      <c r="N840" t="s">
        <v>32</v>
      </c>
      <c r="O840" t="s">
        <v>33</v>
      </c>
      <c r="P840" t="s">
        <v>56</v>
      </c>
      <c r="R840" t="str">
        <f>IF(ventas_libreria[[#This Row],[valoracion_cliente]]="","Sin valoración",ventas_libreria[[#This Row],[valoracion_cliente]])</f>
        <v>Sin valoración</v>
      </c>
    </row>
    <row r="841" spans="1:18" x14ac:dyDescent="0.25">
      <c r="A841" t="s">
        <v>1117</v>
      </c>
      <c r="B841" t="s">
        <v>45</v>
      </c>
      <c r="C841" t="s">
        <v>46</v>
      </c>
      <c r="D841" t="s">
        <v>47</v>
      </c>
      <c r="E841" t="s">
        <v>48</v>
      </c>
      <c r="F841">
        <f>ventas_libreria[[#This Row],[precio_eur]]/100</f>
        <v>21.89</v>
      </c>
      <c r="G841">
        <v>2189</v>
      </c>
      <c r="H841">
        <v>1</v>
      </c>
      <c r="I841">
        <f>ventas_libreria[[#This Row],[precio]]*ventas_libreria[[#This Row],[cantidad]]</f>
        <v>21.89</v>
      </c>
      <c r="J841">
        <v>50</v>
      </c>
      <c r="K841" t="s">
        <v>20</v>
      </c>
      <c r="L841" s="1">
        <v>45691</v>
      </c>
      <c r="M841" t="s">
        <v>43</v>
      </c>
      <c r="N841" t="s">
        <v>32</v>
      </c>
      <c r="O841" t="s">
        <v>33</v>
      </c>
      <c r="P841" t="s">
        <v>84</v>
      </c>
      <c r="Q841">
        <v>4</v>
      </c>
      <c r="R841">
        <f>IF(ventas_libreria[[#This Row],[valoracion_cliente]]="","Sin valoración",ventas_libreria[[#This Row],[valoracion_cliente]])</f>
        <v>4</v>
      </c>
    </row>
    <row r="842" spans="1:18" x14ac:dyDescent="0.25">
      <c r="A842" t="s">
        <v>1118</v>
      </c>
      <c r="B842" t="s">
        <v>332</v>
      </c>
      <c r="C842" t="s">
        <v>333</v>
      </c>
      <c r="D842" t="s">
        <v>334</v>
      </c>
      <c r="E842" t="s">
        <v>116</v>
      </c>
      <c r="F842">
        <f>ventas_libreria[[#This Row],[precio_eur]]/100</f>
        <v>1.69</v>
      </c>
      <c r="G842">
        <v>169</v>
      </c>
      <c r="H842">
        <v>4</v>
      </c>
      <c r="I842">
        <f>ventas_libreria[[#This Row],[precio]]*ventas_libreria[[#This Row],[cantidad]]</f>
        <v>6.76</v>
      </c>
      <c r="J842">
        <v>58</v>
      </c>
      <c r="K842" t="s">
        <v>38</v>
      </c>
      <c r="L842" s="1">
        <v>45949</v>
      </c>
      <c r="M842" t="s">
        <v>43</v>
      </c>
      <c r="N842" t="s">
        <v>32</v>
      </c>
      <c r="O842" t="s">
        <v>33</v>
      </c>
      <c r="P842" t="s">
        <v>56</v>
      </c>
      <c r="Q842">
        <v>5</v>
      </c>
      <c r="R842">
        <f>IF(ventas_libreria[[#This Row],[valoracion_cliente]]="","Sin valoración",ventas_libreria[[#This Row],[valoracion_cliente]])</f>
        <v>5</v>
      </c>
    </row>
    <row r="843" spans="1:18" x14ac:dyDescent="0.25">
      <c r="A843" t="s">
        <v>1119</v>
      </c>
      <c r="B843" t="s">
        <v>16</v>
      </c>
      <c r="C843" t="s">
        <v>17</v>
      </c>
      <c r="D843" t="s">
        <v>18</v>
      </c>
      <c r="E843" t="s">
        <v>19</v>
      </c>
      <c r="F843">
        <f>ventas_libreria[[#This Row],[precio_eur]]/100</f>
        <v>1.49</v>
      </c>
      <c r="G843">
        <v>149</v>
      </c>
      <c r="H843">
        <v>1</v>
      </c>
      <c r="I843">
        <f>ventas_libreria[[#This Row],[precio]]*ventas_libreria[[#This Row],[cantidad]]</f>
        <v>1.49</v>
      </c>
      <c r="J843">
        <v>55</v>
      </c>
      <c r="K843" t="s">
        <v>30</v>
      </c>
      <c r="L843" s="1">
        <v>45036</v>
      </c>
      <c r="M843" t="s">
        <v>43</v>
      </c>
      <c r="N843" t="s">
        <v>32</v>
      </c>
      <c r="O843" t="s">
        <v>33</v>
      </c>
      <c r="P843" t="s">
        <v>50</v>
      </c>
      <c r="Q843">
        <v>4</v>
      </c>
      <c r="R843">
        <f>IF(ventas_libreria[[#This Row],[valoracion_cliente]]="","Sin valoración",ventas_libreria[[#This Row],[valoracion_cliente]])</f>
        <v>4</v>
      </c>
    </row>
    <row r="844" spans="1:18" x14ac:dyDescent="0.25">
      <c r="A844" t="s">
        <v>1120</v>
      </c>
      <c r="B844" t="s">
        <v>45</v>
      </c>
      <c r="C844" t="s">
        <v>46</v>
      </c>
      <c r="D844" t="s">
        <v>47</v>
      </c>
      <c r="E844" t="s">
        <v>48</v>
      </c>
      <c r="F844">
        <f>ventas_libreria[[#This Row],[precio_eur]]/100</f>
        <v>1.99</v>
      </c>
      <c r="G844">
        <v>199</v>
      </c>
      <c r="H844">
        <v>4</v>
      </c>
      <c r="I844">
        <f>ventas_libreria[[#This Row],[precio]]*ventas_libreria[[#This Row],[cantidad]]</f>
        <v>7.96</v>
      </c>
      <c r="J844">
        <v>40</v>
      </c>
      <c r="K844" t="s">
        <v>30</v>
      </c>
      <c r="L844" s="1">
        <v>45206</v>
      </c>
      <c r="M844" t="s">
        <v>31</v>
      </c>
      <c r="N844" t="s">
        <v>32</v>
      </c>
      <c r="O844" t="s">
        <v>33</v>
      </c>
      <c r="P844" t="s">
        <v>34</v>
      </c>
      <c r="Q844">
        <v>4</v>
      </c>
      <c r="R844">
        <f>IF(ventas_libreria[[#This Row],[valoracion_cliente]]="","Sin valoración",ventas_libreria[[#This Row],[valoracion_cliente]])</f>
        <v>4</v>
      </c>
    </row>
    <row r="845" spans="1:18" x14ac:dyDescent="0.25">
      <c r="A845" t="s">
        <v>1121</v>
      </c>
      <c r="B845" t="s">
        <v>602</v>
      </c>
      <c r="C845" t="s">
        <v>603</v>
      </c>
      <c r="D845" t="s">
        <v>217</v>
      </c>
      <c r="E845" t="s">
        <v>55</v>
      </c>
      <c r="F845">
        <f>ventas_libreria[[#This Row],[precio_eur]]/100</f>
        <v>1.79</v>
      </c>
      <c r="G845">
        <v>179</v>
      </c>
      <c r="H845">
        <v>2</v>
      </c>
      <c r="I845">
        <f>ventas_libreria[[#This Row],[precio]]*ventas_libreria[[#This Row],[cantidad]]</f>
        <v>3.58</v>
      </c>
      <c r="J845">
        <v>49</v>
      </c>
      <c r="K845" t="s">
        <v>62</v>
      </c>
      <c r="L845" s="1">
        <v>44928</v>
      </c>
      <c r="M845" t="s">
        <v>31</v>
      </c>
      <c r="N845" t="s">
        <v>22</v>
      </c>
      <c r="O845" t="s">
        <v>49</v>
      </c>
      <c r="P845" t="s">
        <v>34</v>
      </c>
      <c r="R845" t="str">
        <f>IF(ventas_libreria[[#This Row],[valoracion_cliente]]="","Sin valoración",ventas_libreria[[#This Row],[valoracion_cliente]])</f>
        <v>Sin valoración</v>
      </c>
    </row>
    <row r="846" spans="1:18" x14ac:dyDescent="0.25">
      <c r="A846" t="s">
        <v>1122</v>
      </c>
      <c r="B846" t="s">
        <v>64</v>
      </c>
      <c r="C846" t="s">
        <v>65</v>
      </c>
      <c r="D846" t="s">
        <v>66</v>
      </c>
      <c r="E846" t="s">
        <v>29</v>
      </c>
      <c r="F846">
        <f>ventas_libreria[[#This Row],[precio_eur]]/100</f>
        <v>1.32</v>
      </c>
      <c r="G846">
        <v>132</v>
      </c>
      <c r="H846">
        <v>1</v>
      </c>
      <c r="I846">
        <f>ventas_libreria[[#This Row],[precio]]*ventas_libreria[[#This Row],[cantidad]]</f>
        <v>1.32</v>
      </c>
      <c r="J846">
        <v>54</v>
      </c>
      <c r="K846" t="s">
        <v>38</v>
      </c>
      <c r="L846" s="1">
        <v>45703</v>
      </c>
      <c r="M846" t="s">
        <v>31</v>
      </c>
      <c r="N846" t="s">
        <v>32</v>
      </c>
      <c r="O846" t="s">
        <v>33</v>
      </c>
      <c r="P846" t="s">
        <v>84</v>
      </c>
      <c r="Q846">
        <v>5</v>
      </c>
      <c r="R846">
        <f>IF(ventas_libreria[[#This Row],[valoracion_cliente]]="","Sin valoración",ventas_libreria[[#This Row],[valoracion_cliente]])</f>
        <v>5</v>
      </c>
    </row>
    <row r="847" spans="1:18" x14ac:dyDescent="0.25">
      <c r="A847" t="s">
        <v>1123</v>
      </c>
      <c r="B847" t="s">
        <v>100</v>
      </c>
      <c r="C847" t="s">
        <v>101</v>
      </c>
      <c r="D847" t="s">
        <v>102</v>
      </c>
      <c r="E847" t="s">
        <v>61</v>
      </c>
      <c r="F847">
        <f>ventas_libreria[[#This Row],[precio_eur]]/100</f>
        <v>10.119999999999999</v>
      </c>
      <c r="G847">
        <v>1012</v>
      </c>
      <c r="H847">
        <v>1</v>
      </c>
      <c r="I847">
        <f>ventas_libreria[[#This Row],[precio]]*ventas_libreria[[#This Row],[cantidad]]</f>
        <v>10.119999999999999</v>
      </c>
      <c r="J847">
        <v>56</v>
      </c>
      <c r="K847" t="s">
        <v>38</v>
      </c>
      <c r="L847" s="1">
        <v>44987</v>
      </c>
      <c r="M847" t="s">
        <v>43</v>
      </c>
      <c r="N847" t="s">
        <v>32</v>
      </c>
      <c r="O847" t="s">
        <v>33</v>
      </c>
      <c r="P847" t="s">
        <v>56</v>
      </c>
      <c r="Q847">
        <v>5</v>
      </c>
      <c r="R847">
        <f>IF(ventas_libreria[[#This Row],[valoracion_cliente]]="","Sin valoración",ventas_libreria[[#This Row],[valoracion_cliente]])</f>
        <v>5</v>
      </c>
    </row>
    <row r="848" spans="1:18" x14ac:dyDescent="0.25">
      <c r="A848" t="s">
        <v>1124</v>
      </c>
      <c r="B848" t="s">
        <v>129</v>
      </c>
      <c r="C848" t="s">
        <v>130</v>
      </c>
      <c r="D848" t="s">
        <v>131</v>
      </c>
      <c r="E848" t="s">
        <v>107</v>
      </c>
      <c r="F848">
        <f>ventas_libreria[[#This Row],[precio_eur]]/100</f>
        <v>1.59</v>
      </c>
      <c r="G848">
        <v>159</v>
      </c>
      <c r="H848">
        <v>1</v>
      </c>
      <c r="I848">
        <f>ventas_libreria[[#This Row],[precio]]*ventas_libreria[[#This Row],[cantidad]]</f>
        <v>1.59</v>
      </c>
      <c r="J848">
        <v>17</v>
      </c>
      <c r="K848" t="s">
        <v>30</v>
      </c>
      <c r="L848" s="1">
        <v>45194</v>
      </c>
      <c r="M848" t="s">
        <v>21</v>
      </c>
      <c r="N848" t="s">
        <v>32</v>
      </c>
      <c r="O848" t="s">
        <v>33</v>
      </c>
      <c r="P848" t="s">
        <v>24</v>
      </c>
      <c r="Q848">
        <v>5</v>
      </c>
      <c r="R848">
        <f>IF(ventas_libreria[[#This Row],[valoracion_cliente]]="","Sin valoración",ventas_libreria[[#This Row],[valoracion_cliente]])</f>
        <v>5</v>
      </c>
    </row>
    <row r="849" spans="1:18" x14ac:dyDescent="0.25">
      <c r="A849" t="s">
        <v>1125</v>
      </c>
      <c r="B849" t="s">
        <v>398</v>
      </c>
      <c r="C849" t="s">
        <v>399</v>
      </c>
      <c r="D849" t="s">
        <v>167</v>
      </c>
      <c r="E849" t="s">
        <v>61</v>
      </c>
      <c r="F849">
        <f>ventas_libreria[[#This Row],[precio_eur]]/100</f>
        <v>18.59</v>
      </c>
      <c r="G849">
        <v>1859</v>
      </c>
      <c r="H849">
        <v>2</v>
      </c>
      <c r="I849">
        <f>ventas_libreria[[#This Row],[precio]]*ventas_libreria[[#This Row],[cantidad]]</f>
        <v>37.18</v>
      </c>
      <c r="J849">
        <v>30</v>
      </c>
      <c r="K849" t="s">
        <v>62</v>
      </c>
      <c r="L849" s="1">
        <v>45401</v>
      </c>
      <c r="M849" t="s">
        <v>43</v>
      </c>
      <c r="N849" t="s">
        <v>32</v>
      </c>
      <c r="O849" t="s">
        <v>33</v>
      </c>
      <c r="P849" t="s">
        <v>24</v>
      </c>
      <c r="Q849">
        <v>3</v>
      </c>
      <c r="R849">
        <f>IF(ventas_libreria[[#This Row],[valoracion_cliente]]="","Sin valoración",ventas_libreria[[#This Row],[valoracion_cliente]])</f>
        <v>3</v>
      </c>
    </row>
    <row r="850" spans="1:18" x14ac:dyDescent="0.25">
      <c r="A850" t="s">
        <v>1126</v>
      </c>
      <c r="B850" t="s">
        <v>418</v>
      </c>
      <c r="C850" t="s">
        <v>419</v>
      </c>
      <c r="D850" t="s">
        <v>420</v>
      </c>
      <c r="E850" t="s">
        <v>149</v>
      </c>
      <c r="F850">
        <f>ventas_libreria[[#This Row],[precio_eur]]/100</f>
        <v>17.75</v>
      </c>
      <c r="G850">
        <v>1775</v>
      </c>
      <c r="H850">
        <v>3</v>
      </c>
      <c r="I850">
        <f>ventas_libreria[[#This Row],[precio]]*ventas_libreria[[#This Row],[cantidad]]</f>
        <v>53.25</v>
      </c>
      <c r="J850">
        <v>32</v>
      </c>
      <c r="K850" t="s">
        <v>20</v>
      </c>
      <c r="L850" s="1">
        <v>45338</v>
      </c>
      <c r="M850" t="s">
        <v>31</v>
      </c>
      <c r="N850" t="s">
        <v>22</v>
      </c>
      <c r="O850" t="s">
        <v>49</v>
      </c>
      <c r="P850" t="s">
        <v>34</v>
      </c>
      <c r="R850" t="str">
        <f>IF(ventas_libreria[[#This Row],[valoracion_cliente]]="","Sin valoración",ventas_libreria[[#This Row],[valoracion_cliente]])</f>
        <v>Sin valoración</v>
      </c>
    </row>
    <row r="851" spans="1:18" x14ac:dyDescent="0.25">
      <c r="A851" t="s">
        <v>1127</v>
      </c>
      <c r="B851" t="s">
        <v>276</v>
      </c>
      <c r="C851" t="s">
        <v>277</v>
      </c>
      <c r="D851" t="s">
        <v>278</v>
      </c>
      <c r="E851" t="s">
        <v>189</v>
      </c>
      <c r="F851">
        <f>ventas_libreria[[#This Row],[precio_eur]]/100</f>
        <v>1.79</v>
      </c>
      <c r="G851">
        <v>179</v>
      </c>
      <c r="H851">
        <v>1</v>
      </c>
      <c r="I851">
        <f>ventas_libreria[[#This Row],[precio]]*ventas_libreria[[#This Row],[cantidad]]</f>
        <v>1.79</v>
      </c>
      <c r="J851">
        <v>62</v>
      </c>
      <c r="K851" t="s">
        <v>62</v>
      </c>
      <c r="L851" s="1">
        <v>45747</v>
      </c>
      <c r="M851" t="s">
        <v>31</v>
      </c>
      <c r="N851" t="s">
        <v>32</v>
      </c>
      <c r="O851" t="s">
        <v>33</v>
      </c>
      <c r="P851" t="s">
        <v>84</v>
      </c>
      <c r="Q851">
        <v>5</v>
      </c>
      <c r="R851">
        <f>IF(ventas_libreria[[#This Row],[valoracion_cliente]]="","Sin valoración",ventas_libreria[[#This Row],[valoracion_cliente]])</f>
        <v>5</v>
      </c>
    </row>
    <row r="852" spans="1:18" x14ac:dyDescent="0.25">
      <c r="A852" t="s">
        <v>1128</v>
      </c>
      <c r="B852" t="s">
        <v>193</v>
      </c>
      <c r="C852" t="s">
        <v>194</v>
      </c>
      <c r="D852" t="s">
        <v>195</v>
      </c>
      <c r="E852" t="s">
        <v>48</v>
      </c>
      <c r="F852">
        <f>ventas_libreria[[#This Row],[precio_eur]]/100</f>
        <v>15.92</v>
      </c>
      <c r="G852">
        <v>1592</v>
      </c>
      <c r="H852">
        <v>1</v>
      </c>
      <c r="I852">
        <f>ventas_libreria[[#This Row],[precio]]*ventas_libreria[[#This Row],[cantidad]]</f>
        <v>15.92</v>
      </c>
      <c r="J852">
        <v>27</v>
      </c>
      <c r="K852" t="s">
        <v>62</v>
      </c>
      <c r="L852" s="1">
        <v>45316</v>
      </c>
      <c r="M852" t="s">
        <v>43</v>
      </c>
      <c r="N852" t="s">
        <v>32</v>
      </c>
      <c r="O852" t="s">
        <v>33</v>
      </c>
      <c r="P852" t="s">
        <v>50</v>
      </c>
      <c r="Q852">
        <v>4</v>
      </c>
      <c r="R852">
        <f>IF(ventas_libreria[[#This Row],[valoracion_cliente]]="","Sin valoración",ventas_libreria[[#This Row],[valoracion_cliente]])</f>
        <v>4</v>
      </c>
    </row>
    <row r="853" spans="1:18" x14ac:dyDescent="0.25">
      <c r="A853" t="s">
        <v>1129</v>
      </c>
      <c r="B853" t="s">
        <v>466</v>
      </c>
      <c r="C853" t="s">
        <v>467</v>
      </c>
      <c r="D853" t="s">
        <v>468</v>
      </c>
      <c r="E853" t="s">
        <v>154</v>
      </c>
      <c r="F853">
        <f>ventas_libreria[[#This Row],[precio_eur]]/100</f>
        <v>17.010000000000002</v>
      </c>
      <c r="G853">
        <v>1701</v>
      </c>
      <c r="H853">
        <v>1</v>
      </c>
      <c r="I853">
        <f>ventas_libreria[[#This Row],[precio]]*ventas_libreria[[#This Row],[cantidad]]</f>
        <v>17.010000000000002</v>
      </c>
      <c r="J853">
        <v>75</v>
      </c>
      <c r="K853" t="s">
        <v>62</v>
      </c>
      <c r="L853" s="1">
        <v>45803</v>
      </c>
      <c r="M853" t="s">
        <v>21</v>
      </c>
      <c r="N853" t="s">
        <v>32</v>
      </c>
      <c r="O853" t="s">
        <v>33</v>
      </c>
      <c r="P853" t="s">
        <v>34</v>
      </c>
      <c r="Q853">
        <v>1</v>
      </c>
      <c r="R853">
        <f>IF(ventas_libreria[[#This Row],[valoracion_cliente]]="","Sin valoración",ventas_libreria[[#This Row],[valoracion_cliente]])</f>
        <v>1</v>
      </c>
    </row>
    <row r="854" spans="1:18" x14ac:dyDescent="0.25">
      <c r="A854" t="s">
        <v>1130</v>
      </c>
      <c r="B854" t="s">
        <v>45</v>
      </c>
      <c r="C854" t="s">
        <v>46</v>
      </c>
      <c r="D854" t="s">
        <v>47</v>
      </c>
      <c r="E854" t="s">
        <v>48</v>
      </c>
      <c r="F854">
        <f>ventas_libreria[[#This Row],[precio_eur]]/100</f>
        <v>20.89</v>
      </c>
      <c r="G854">
        <v>2089</v>
      </c>
      <c r="H854">
        <v>4</v>
      </c>
      <c r="I854">
        <f>ventas_libreria[[#This Row],[precio]]*ventas_libreria[[#This Row],[cantidad]]</f>
        <v>83.56</v>
      </c>
      <c r="J854">
        <v>52</v>
      </c>
      <c r="K854" t="s">
        <v>62</v>
      </c>
      <c r="L854" s="1">
        <v>45473</v>
      </c>
      <c r="M854" t="s">
        <v>21</v>
      </c>
      <c r="N854" t="s">
        <v>32</v>
      </c>
      <c r="O854" t="s">
        <v>33</v>
      </c>
      <c r="P854" t="s">
        <v>24</v>
      </c>
      <c r="Q854">
        <v>4</v>
      </c>
      <c r="R854">
        <f>IF(ventas_libreria[[#This Row],[valoracion_cliente]]="","Sin valoración",ventas_libreria[[#This Row],[valoracion_cliente]])</f>
        <v>4</v>
      </c>
    </row>
    <row r="855" spans="1:18" x14ac:dyDescent="0.25">
      <c r="A855" t="s">
        <v>1131</v>
      </c>
      <c r="B855" t="s">
        <v>201</v>
      </c>
      <c r="C855" t="s">
        <v>202</v>
      </c>
      <c r="D855" t="s">
        <v>47</v>
      </c>
      <c r="E855" t="s">
        <v>107</v>
      </c>
      <c r="F855">
        <f>ventas_libreria[[#This Row],[precio_eur]]/100</f>
        <v>11.12</v>
      </c>
      <c r="G855">
        <v>1112</v>
      </c>
      <c r="H855">
        <v>1</v>
      </c>
      <c r="I855">
        <f>ventas_libreria[[#This Row],[precio]]*ventas_libreria[[#This Row],[cantidad]]</f>
        <v>11.12</v>
      </c>
      <c r="J855">
        <v>21</v>
      </c>
      <c r="K855" t="s">
        <v>20</v>
      </c>
      <c r="L855" s="1">
        <v>45334</v>
      </c>
      <c r="M855" t="s">
        <v>21</v>
      </c>
      <c r="N855" t="s">
        <v>32</v>
      </c>
      <c r="O855" t="s">
        <v>33</v>
      </c>
      <c r="P855" t="s">
        <v>56</v>
      </c>
      <c r="Q855">
        <v>4</v>
      </c>
      <c r="R855">
        <f>IF(ventas_libreria[[#This Row],[valoracion_cliente]]="","Sin valoración",ventas_libreria[[#This Row],[valoracion_cliente]])</f>
        <v>4</v>
      </c>
    </row>
    <row r="856" spans="1:18" x14ac:dyDescent="0.25">
      <c r="A856" t="s">
        <v>1132</v>
      </c>
      <c r="B856" t="s">
        <v>141</v>
      </c>
      <c r="C856" t="s">
        <v>142</v>
      </c>
      <c r="D856" t="s">
        <v>143</v>
      </c>
      <c r="E856" t="s">
        <v>116</v>
      </c>
      <c r="F856">
        <f>ventas_libreria[[#This Row],[precio_eur]]/100</f>
        <v>16.39</v>
      </c>
      <c r="G856">
        <v>1639</v>
      </c>
      <c r="H856">
        <v>1</v>
      </c>
      <c r="I856">
        <f>ventas_libreria[[#This Row],[precio]]*ventas_libreria[[#This Row],[cantidad]]</f>
        <v>16.39</v>
      </c>
      <c r="J856">
        <v>74</v>
      </c>
      <c r="K856" t="s">
        <v>20</v>
      </c>
      <c r="L856" s="1">
        <v>45684</v>
      </c>
      <c r="M856" t="s">
        <v>31</v>
      </c>
      <c r="N856" t="s">
        <v>22</v>
      </c>
      <c r="O856" t="s">
        <v>23</v>
      </c>
      <c r="P856" t="s">
        <v>24</v>
      </c>
      <c r="Q856">
        <v>5</v>
      </c>
      <c r="R856">
        <f>IF(ventas_libreria[[#This Row],[valoracion_cliente]]="","Sin valoración",ventas_libreria[[#This Row],[valoracion_cliente]])</f>
        <v>5</v>
      </c>
    </row>
    <row r="857" spans="1:18" x14ac:dyDescent="0.25">
      <c r="A857" t="s">
        <v>1133</v>
      </c>
      <c r="B857" t="s">
        <v>52</v>
      </c>
      <c r="C857" t="s">
        <v>53</v>
      </c>
      <c r="D857" t="s">
        <v>54</v>
      </c>
      <c r="E857" t="s">
        <v>55</v>
      </c>
      <c r="F857">
        <f>ventas_libreria[[#This Row],[precio_eur]]/100</f>
        <v>1</v>
      </c>
      <c r="G857">
        <v>100</v>
      </c>
      <c r="H857">
        <v>2</v>
      </c>
      <c r="I857">
        <f>ventas_libreria[[#This Row],[precio]]*ventas_libreria[[#This Row],[cantidad]]</f>
        <v>2</v>
      </c>
      <c r="J857">
        <v>40</v>
      </c>
      <c r="K857" t="s">
        <v>20</v>
      </c>
      <c r="L857" s="1">
        <v>45724</v>
      </c>
      <c r="M857" t="s">
        <v>21</v>
      </c>
      <c r="N857" t="s">
        <v>32</v>
      </c>
      <c r="O857" t="s">
        <v>33</v>
      </c>
      <c r="P857" t="s">
        <v>34</v>
      </c>
      <c r="Q857">
        <v>4</v>
      </c>
      <c r="R857">
        <f>IF(ventas_libreria[[#This Row],[valoracion_cliente]]="","Sin valoración",ventas_libreria[[#This Row],[valoracion_cliente]])</f>
        <v>4</v>
      </c>
    </row>
    <row r="858" spans="1:18" x14ac:dyDescent="0.25">
      <c r="A858" t="s">
        <v>1134</v>
      </c>
      <c r="B858" t="s">
        <v>151</v>
      </c>
      <c r="C858" t="s">
        <v>152</v>
      </c>
      <c r="D858" t="s">
        <v>153</v>
      </c>
      <c r="E858" t="s">
        <v>154</v>
      </c>
      <c r="F858">
        <f>ventas_libreria[[#This Row],[precio_eur]]/100</f>
        <v>1.69</v>
      </c>
      <c r="G858">
        <v>169</v>
      </c>
      <c r="H858">
        <v>3</v>
      </c>
      <c r="I858">
        <f>ventas_libreria[[#This Row],[precio]]*ventas_libreria[[#This Row],[cantidad]]</f>
        <v>5.07</v>
      </c>
      <c r="J858">
        <v>64</v>
      </c>
      <c r="K858" t="s">
        <v>38</v>
      </c>
      <c r="L858" s="1">
        <v>45165</v>
      </c>
      <c r="M858" t="s">
        <v>21</v>
      </c>
      <c r="N858" t="s">
        <v>22</v>
      </c>
      <c r="O858" t="s">
        <v>132</v>
      </c>
      <c r="P858" t="s">
        <v>24</v>
      </c>
      <c r="Q858">
        <v>2</v>
      </c>
      <c r="R858">
        <f>IF(ventas_libreria[[#This Row],[valoracion_cliente]]="","Sin valoración",ventas_libreria[[#This Row],[valoracion_cliente]])</f>
        <v>2</v>
      </c>
    </row>
    <row r="859" spans="1:18" x14ac:dyDescent="0.25">
      <c r="A859" t="s">
        <v>1135</v>
      </c>
      <c r="B859" t="s">
        <v>201</v>
      </c>
      <c r="C859" t="s">
        <v>202</v>
      </c>
      <c r="D859" t="s">
        <v>47</v>
      </c>
      <c r="E859" t="s">
        <v>107</v>
      </c>
      <c r="F859">
        <f>ventas_libreria[[#This Row],[precio_eur]]/100</f>
        <v>1.39</v>
      </c>
      <c r="G859">
        <v>139</v>
      </c>
      <c r="H859">
        <v>3</v>
      </c>
      <c r="I859">
        <f>ventas_libreria[[#This Row],[precio]]*ventas_libreria[[#This Row],[cantidad]]</f>
        <v>4.17</v>
      </c>
      <c r="J859">
        <v>20</v>
      </c>
      <c r="K859" t="s">
        <v>30</v>
      </c>
      <c r="L859" s="1">
        <v>45738</v>
      </c>
      <c r="M859" t="s">
        <v>21</v>
      </c>
      <c r="N859" t="s">
        <v>32</v>
      </c>
      <c r="O859" t="s">
        <v>33</v>
      </c>
      <c r="P859" t="s">
        <v>56</v>
      </c>
      <c r="Q859">
        <v>4</v>
      </c>
      <c r="R859">
        <f>IF(ventas_libreria[[#This Row],[valoracion_cliente]]="","Sin valoración",ventas_libreria[[#This Row],[valoracion_cliente]])</f>
        <v>4</v>
      </c>
    </row>
    <row r="860" spans="1:18" x14ac:dyDescent="0.25">
      <c r="A860" t="s">
        <v>1136</v>
      </c>
      <c r="B860" t="s">
        <v>224</v>
      </c>
      <c r="C860" t="s">
        <v>225</v>
      </c>
      <c r="D860" t="s">
        <v>226</v>
      </c>
      <c r="E860" t="s">
        <v>116</v>
      </c>
      <c r="F860">
        <f>ventas_libreria[[#This Row],[precio_eur]]/100</f>
        <v>27.39</v>
      </c>
      <c r="G860">
        <v>2739</v>
      </c>
      <c r="H860">
        <v>1</v>
      </c>
      <c r="I860">
        <f>ventas_libreria[[#This Row],[precio]]*ventas_libreria[[#This Row],[cantidad]]</f>
        <v>27.39</v>
      </c>
      <c r="J860">
        <v>44</v>
      </c>
      <c r="K860" t="s">
        <v>38</v>
      </c>
      <c r="L860" s="1">
        <v>45340</v>
      </c>
      <c r="M860" t="s">
        <v>43</v>
      </c>
      <c r="N860" t="s">
        <v>32</v>
      </c>
      <c r="O860" t="s">
        <v>33</v>
      </c>
      <c r="P860" t="s">
        <v>84</v>
      </c>
      <c r="Q860">
        <v>2</v>
      </c>
      <c r="R860">
        <f>IF(ventas_libreria[[#This Row],[valoracion_cliente]]="","Sin valoración",ventas_libreria[[#This Row],[valoracion_cliente]])</f>
        <v>2</v>
      </c>
    </row>
    <row r="861" spans="1:18" x14ac:dyDescent="0.25">
      <c r="A861" t="s">
        <v>1137</v>
      </c>
      <c r="B861" t="s">
        <v>146</v>
      </c>
      <c r="C861" t="s">
        <v>147</v>
      </c>
      <c r="D861" t="s">
        <v>148</v>
      </c>
      <c r="E861" t="s">
        <v>149</v>
      </c>
      <c r="F861">
        <f>ventas_libreria[[#This Row],[precio_eur]]/100</f>
        <v>1.59</v>
      </c>
      <c r="G861">
        <v>159</v>
      </c>
      <c r="H861">
        <v>1</v>
      </c>
      <c r="I861">
        <f>ventas_libreria[[#This Row],[precio]]*ventas_libreria[[#This Row],[cantidad]]</f>
        <v>1.59</v>
      </c>
      <c r="J861">
        <v>18</v>
      </c>
      <c r="K861" t="s">
        <v>30</v>
      </c>
      <c r="L861" s="1">
        <v>44986</v>
      </c>
      <c r="M861" t="s">
        <v>31</v>
      </c>
      <c r="N861" t="s">
        <v>22</v>
      </c>
      <c r="O861" t="s">
        <v>49</v>
      </c>
      <c r="P861" t="s">
        <v>56</v>
      </c>
      <c r="Q861">
        <v>5</v>
      </c>
      <c r="R861">
        <f>IF(ventas_libreria[[#This Row],[valoracion_cliente]]="","Sin valoración",ventas_libreria[[#This Row],[valoracion_cliente]])</f>
        <v>5</v>
      </c>
    </row>
    <row r="862" spans="1:18" x14ac:dyDescent="0.25">
      <c r="A862" t="s">
        <v>1138</v>
      </c>
      <c r="B862" t="s">
        <v>109</v>
      </c>
      <c r="C862" t="s">
        <v>110</v>
      </c>
      <c r="D862" t="s">
        <v>111</v>
      </c>
      <c r="E862" t="s">
        <v>55</v>
      </c>
      <c r="F862">
        <f>ventas_libreria[[#This Row],[precio_eur]]/100</f>
        <v>20.89</v>
      </c>
      <c r="G862">
        <v>2089</v>
      </c>
      <c r="H862">
        <v>2</v>
      </c>
      <c r="I862">
        <f>ventas_libreria[[#This Row],[precio]]*ventas_libreria[[#This Row],[cantidad]]</f>
        <v>41.78</v>
      </c>
      <c r="J862">
        <v>63</v>
      </c>
      <c r="K862" t="s">
        <v>38</v>
      </c>
      <c r="L862" s="1">
        <v>45597</v>
      </c>
      <c r="M862" t="s">
        <v>31</v>
      </c>
      <c r="N862" t="s">
        <v>32</v>
      </c>
      <c r="O862" t="s">
        <v>33</v>
      </c>
      <c r="P862" t="s">
        <v>34</v>
      </c>
      <c r="Q862">
        <v>4</v>
      </c>
      <c r="R862">
        <f>IF(ventas_libreria[[#This Row],[valoracion_cliente]]="","Sin valoración",ventas_libreria[[#This Row],[valoracion_cliente]])</f>
        <v>4</v>
      </c>
    </row>
    <row r="863" spans="1:18" x14ac:dyDescent="0.25">
      <c r="A863" t="s">
        <v>1139</v>
      </c>
      <c r="B863" t="s">
        <v>327</v>
      </c>
      <c r="C863" t="s">
        <v>328</v>
      </c>
      <c r="D863" t="s">
        <v>288</v>
      </c>
      <c r="E863" t="s">
        <v>289</v>
      </c>
      <c r="F863">
        <f>ventas_libreria[[#This Row],[precio_eur]]/100</f>
        <v>18.32</v>
      </c>
      <c r="G863">
        <v>1832</v>
      </c>
      <c r="H863">
        <v>1</v>
      </c>
      <c r="I863">
        <f>ventas_libreria[[#This Row],[precio]]*ventas_libreria[[#This Row],[cantidad]]</f>
        <v>18.32</v>
      </c>
      <c r="J863">
        <v>38</v>
      </c>
      <c r="K863" t="s">
        <v>62</v>
      </c>
      <c r="L863" s="1">
        <v>45481</v>
      </c>
      <c r="M863" t="s">
        <v>31</v>
      </c>
      <c r="N863" t="s">
        <v>32</v>
      </c>
      <c r="O863" t="s">
        <v>33</v>
      </c>
      <c r="P863" t="s">
        <v>56</v>
      </c>
      <c r="Q863">
        <v>5</v>
      </c>
      <c r="R863">
        <f>IF(ventas_libreria[[#This Row],[valoracion_cliente]]="","Sin valoración",ventas_libreria[[#This Row],[valoracion_cliente]])</f>
        <v>5</v>
      </c>
    </row>
    <row r="864" spans="1:18" x14ac:dyDescent="0.25">
      <c r="A864" t="s">
        <v>1140</v>
      </c>
      <c r="B864" t="s">
        <v>208</v>
      </c>
      <c r="C864" t="s">
        <v>209</v>
      </c>
      <c r="D864" t="s">
        <v>106</v>
      </c>
      <c r="E864" t="s">
        <v>107</v>
      </c>
      <c r="F864">
        <f>ventas_libreria[[#This Row],[precio_eur]]/100</f>
        <v>16.39</v>
      </c>
      <c r="G864">
        <v>1639</v>
      </c>
      <c r="H864">
        <v>2</v>
      </c>
      <c r="I864">
        <f>ventas_libreria[[#This Row],[precio]]*ventas_libreria[[#This Row],[cantidad]]</f>
        <v>32.78</v>
      </c>
      <c r="J864">
        <v>17</v>
      </c>
      <c r="K864" t="s">
        <v>38</v>
      </c>
      <c r="L864" s="1">
        <v>45583</v>
      </c>
      <c r="M864" t="s">
        <v>31</v>
      </c>
      <c r="N864" t="s">
        <v>32</v>
      </c>
      <c r="O864" t="s">
        <v>33</v>
      </c>
      <c r="P864" t="s">
        <v>50</v>
      </c>
      <c r="Q864">
        <v>2</v>
      </c>
      <c r="R864">
        <f>IF(ventas_libreria[[#This Row],[valoracion_cliente]]="","Sin valoración",ventas_libreria[[#This Row],[valoracion_cliente]])</f>
        <v>2</v>
      </c>
    </row>
    <row r="865" spans="1:18" x14ac:dyDescent="0.25">
      <c r="A865" t="s">
        <v>1141</v>
      </c>
      <c r="B865" t="s">
        <v>64</v>
      </c>
      <c r="C865" t="s">
        <v>65</v>
      </c>
      <c r="D865" t="s">
        <v>66</v>
      </c>
      <c r="E865" t="s">
        <v>29</v>
      </c>
      <c r="F865">
        <f>ventas_libreria[[#This Row],[precio_eur]]/100</f>
        <v>18.149999999999999</v>
      </c>
      <c r="G865">
        <v>1815</v>
      </c>
      <c r="H865">
        <v>2</v>
      </c>
      <c r="I865">
        <f>ventas_libreria[[#This Row],[precio]]*ventas_libreria[[#This Row],[cantidad]]</f>
        <v>36.299999999999997</v>
      </c>
      <c r="J865">
        <v>60</v>
      </c>
      <c r="K865" t="s">
        <v>30</v>
      </c>
      <c r="L865" s="1">
        <v>45255</v>
      </c>
      <c r="M865" t="s">
        <v>21</v>
      </c>
      <c r="N865" t="s">
        <v>22</v>
      </c>
      <c r="O865" t="s">
        <v>98</v>
      </c>
      <c r="P865" t="s">
        <v>34</v>
      </c>
      <c r="Q865">
        <v>5</v>
      </c>
      <c r="R865">
        <f>IF(ventas_libreria[[#This Row],[valoracion_cliente]]="","Sin valoración",ventas_libreria[[#This Row],[valoracion_cliente]])</f>
        <v>5</v>
      </c>
    </row>
    <row r="866" spans="1:18" x14ac:dyDescent="0.25">
      <c r="A866" t="s">
        <v>1142</v>
      </c>
      <c r="B866" t="s">
        <v>671</v>
      </c>
      <c r="C866" t="s">
        <v>672</v>
      </c>
      <c r="D866" t="s">
        <v>673</v>
      </c>
      <c r="E866" t="s">
        <v>116</v>
      </c>
      <c r="F866">
        <f>ventas_libreria[[#This Row],[precio_eur]]/100</f>
        <v>1.29</v>
      </c>
      <c r="G866">
        <v>129</v>
      </c>
      <c r="H866">
        <v>1</v>
      </c>
      <c r="I866">
        <f>ventas_libreria[[#This Row],[precio]]*ventas_libreria[[#This Row],[cantidad]]</f>
        <v>1.29</v>
      </c>
      <c r="J866">
        <v>57</v>
      </c>
      <c r="K866" t="s">
        <v>30</v>
      </c>
      <c r="L866" s="1">
        <v>45699</v>
      </c>
      <c r="M866" t="s">
        <v>43</v>
      </c>
      <c r="N866" t="s">
        <v>32</v>
      </c>
      <c r="O866" t="s">
        <v>33</v>
      </c>
      <c r="P866" t="s">
        <v>50</v>
      </c>
      <c r="Q866">
        <v>5</v>
      </c>
      <c r="R866">
        <f>IF(ventas_libreria[[#This Row],[valoracion_cliente]]="","Sin valoración",ventas_libreria[[#This Row],[valoracion_cliente]])</f>
        <v>5</v>
      </c>
    </row>
    <row r="867" spans="1:18" x14ac:dyDescent="0.25">
      <c r="A867" t="s">
        <v>1143</v>
      </c>
      <c r="B867" t="s">
        <v>276</v>
      </c>
      <c r="C867" t="s">
        <v>277</v>
      </c>
      <c r="D867" t="s">
        <v>278</v>
      </c>
      <c r="E867" t="s">
        <v>189</v>
      </c>
      <c r="F867">
        <f>ventas_libreria[[#This Row],[precio_eur]]/100</f>
        <v>16.11</v>
      </c>
      <c r="G867">
        <v>1611</v>
      </c>
      <c r="H867">
        <v>1</v>
      </c>
      <c r="I867">
        <f>ventas_libreria[[#This Row],[precio]]*ventas_libreria[[#This Row],[cantidad]]</f>
        <v>16.11</v>
      </c>
      <c r="J867">
        <v>64</v>
      </c>
      <c r="K867" t="s">
        <v>20</v>
      </c>
      <c r="L867" s="1">
        <v>45456</v>
      </c>
      <c r="M867" t="s">
        <v>21</v>
      </c>
      <c r="N867" t="s">
        <v>32</v>
      </c>
      <c r="O867" t="s">
        <v>33</v>
      </c>
      <c r="P867" t="s">
        <v>56</v>
      </c>
      <c r="Q867">
        <v>4</v>
      </c>
      <c r="R867">
        <f>IF(ventas_libreria[[#This Row],[valoracion_cliente]]="","Sin valoración",ventas_libreria[[#This Row],[valoracion_cliente]])</f>
        <v>4</v>
      </c>
    </row>
    <row r="868" spans="1:18" x14ac:dyDescent="0.25">
      <c r="A868" t="s">
        <v>1144</v>
      </c>
      <c r="B868" t="s">
        <v>121</v>
      </c>
      <c r="C868" t="s">
        <v>122</v>
      </c>
      <c r="D868" t="s">
        <v>123</v>
      </c>
      <c r="E868" t="s">
        <v>48</v>
      </c>
      <c r="F868">
        <f>ventas_libreria[[#This Row],[precio_eur]]/100</f>
        <v>13.52</v>
      </c>
      <c r="G868">
        <v>1352</v>
      </c>
      <c r="H868">
        <v>1</v>
      </c>
      <c r="I868">
        <f>ventas_libreria[[#This Row],[precio]]*ventas_libreria[[#This Row],[cantidad]]</f>
        <v>13.52</v>
      </c>
      <c r="J868">
        <v>17</v>
      </c>
      <c r="K868" t="s">
        <v>62</v>
      </c>
      <c r="L868" s="1">
        <v>45974</v>
      </c>
      <c r="M868" t="s">
        <v>43</v>
      </c>
      <c r="N868" t="s">
        <v>32</v>
      </c>
      <c r="O868" t="s">
        <v>33</v>
      </c>
      <c r="P868" t="s">
        <v>56</v>
      </c>
      <c r="Q868">
        <v>5</v>
      </c>
      <c r="R868">
        <f>IF(ventas_libreria[[#This Row],[valoracion_cliente]]="","Sin valoración",ventas_libreria[[#This Row],[valoracion_cliente]])</f>
        <v>5</v>
      </c>
    </row>
    <row r="869" spans="1:18" x14ac:dyDescent="0.25">
      <c r="A869" t="s">
        <v>1145</v>
      </c>
      <c r="B869" t="s">
        <v>186</v>
      </c>
      <c r="C869" t="s">
        <v>187</v>
      </c>
      <c r="D869" t="s">
        <v>188</v>
      </c>
      <c r="E869" t="s">
        <v>189</v>
      </c>
      <c r="F869">
        <f>ventas_libreria[[#This Row],[precio_eur]]/100</f>
        <v>21.89</v>
      </c>
      <c r="G869">
        <v>2189</v>
      </c>
      <c r="H869">
        <v>2</v>
      </c>
      <c r="I869">
        <f>ventas_libreria[[#This Row],[precio]]*ventas_libreria[[#This Row],[cantidad]]</f>
        <v>43.78</v>
      </c>
      <c r="J869">
        <v>38</v>
      </c>
      <c r="K869" t="s">
        <v>30</v>
      </c>
      <c r="L869" s="1">
        <v>45510</v>
      </c>
      <c r="M869" t="s">
        <v>31</v>
      </c>
      <c r="N869" t="s">
        <v>22</v>
      </c>
      <c r="O869" t="s">
        <v>98</v>
      </c>
      <c r="P869" t="s">
        <v>24</v>
      </c>
      <c r="Q869">
        <v>5</v>
      </c>
      <c r="R869">
        <f>IF(ventas_libreria[[#This Row],[valoracion_cliente]]="","Sin valoración",ventas_libreria[[#This Row],[valoracion_cliente]])</f>
        <v>5</v>
      </c>
    </row>
    <row r="870" spans="1:18" x14ac:dyDescent="0.25">
      <c r="A870" t="s">
        <v>1146</v>
      </c>
      <c r="B870" t="s">
        <v>365</v>
      </c>
      <c r="C870" t="s">
        <v>366</v>
      </c>
      <c r="D870" t="s">
        <v>367</v>
      </c>
      <c r="E870" t="s">
        <v>19</v>
      </c>
      <c r="F870">
        <f>ventas_libreria[[#This Row],[precio_eur]]/100</f>
        <v>19.84</v>
      </c>
      <c r="G870">
        <v>1984</v>
      </c>
      <c r="H870">
        <v>1</v>
      </c>
      <c r="I870">
        <f>ventas_libreria[[#This Row],[precio]]*ventas_libreria[[#This Row],[cantidad]]</f>
        <v>19.84</v>
      </c>
      <c r="J870">
        <v>17</v>
      </c>
      <c r="K870" t="s">
        <v>30</v>
      </c>
      <c r="L870" s="1">
        <v>45347</v>
      </c>
      <c r="M870" t="s">
        <v>43</v>
      </c>
      <c r="N870" t="s">
        <v>32</v>
      </c>
      <c r="O870" t="s">
        <v>33</v>
      </c>
      <c r="P870" t="s">
        <v>84</v>
      </c>
      <c r="Q870">
        <v>1</v>
      </c>
      <c r="R870">
        <f>IF(ventas_libreria[[#This Row],[valoracion_cliente]]="","Sin valoración",ventas_libreria[[#This Row],[valoracion_cliente]])</f>
        <v>1</v>
      </c>
    </row>
    <row r="871" spans="1:18" x14ac:dyDescent="0.25">
      <c r="A871" t="s">
        <v>1147</v>
      </c>
      <c r="B871" t="s">
        <v>91</v>
      </c>
      <c r="C871" t="s">
        <v>92</v>
      </c>
      <c r="D871" t="s">
        <v>93</v>
      </c>
      <c r="E871" t="s">
        <v>72</v>
      </c>
      <c r="F871">
        <f>ventas_libreria[[#This Row],[precio_eur]]/100</f>
        <v>1.39</v>
      </c>
      <c r="G871">
        <v>139</v>
      </c>
      <c r="H871">
        <v>1</v>
      </c>
      <c r="I871">
        <f>ventas_libreria[[#This Row],[precio]]*ventas_libreria[[#This Row],[cantidad]]</f>
        <v>1.39</v>
      </c>
      <c r="J871">
        <v>59</v>
      </c>
      <c r="K871" t="s">
        <v>20</v>
      </c>
      <c r="L871" s="1">
        <v>45682</v>
      </c>
      <c r="M871" t="s">
        <v>21</v>
      </c>
      <c r="N871" t="s">
        <v>32</v>
      </c>
      <c r="O871" t="s">
        <v>33</v>
      </c>
      <c r="P871" t="s">
        <v>24</v>
      </c>
      <c r="Q871">
        <v>5</v>
      </c>
      <c r="R871">
        <f>IF(ventas_libreria[[#This Row],[valoracion_cliente]]="","Sin valoración",ventas_libreria[[#This Row],[valoracion_cliente]])</f>
        <v>5</v>
      </c>
    </row>
    <row r="872" spans="1:18" x14ac:dyDescent="0.25">
      <c r="A872" t="s">
        <v>1148</v>
      </c>
      <c r="B872" t="s">
        <v>273</v>
      </c>
      <c r="C872" t="s">
        <v>274</v>
      </c>
      <c r="D872" t="s">
        <v>262</v>
      </c>
      <c r="E872" t="s">
        <v>263</v>
      </c>
      <c r="F872">
        <f>ventas_libreria[[#This Row],[precio_eur]]/100</f>
        <v>19.71</v>
      </c>
      <c r="G872">
        <v>1971</v>
      </c>
      <c r="H872">
        <v>1</v>
      </c>
      <c r="I872">
        <f>ventas_libreria[[#This Row],[precio]]*ventas_libreria[[#This Row],[cantidad]]</f>
        <v>19.71</v>
      </c>
      <c r="J872">
        <v>42</v>
      </c>
      <c r="K872" t="s">
        <v>30</v>
      </c>
      <c r="L872" s="1">
        <v>45254</v>
      </c>
      <c r="M872" t="s">
        <v>43</v>
      </c>
      <c r="N872" t="s">
        <v>32</v>
      </c>
      <c r="O872" t="s">
        <v>33</v>
      </c>
      <c r="P872" t="s">
        <v>50</v>
      </c>
      <c r="Q872">
        <v>4</v>
      </c>
      <c r="R872">
        <f>IF(ventas_libreria[[#This Row],[valoracion_cliente]]="","Sin valoración",ventas_libreria[[#This Row],[valoracion_cliente]])</f>
        <v>4</v>
      </c>
    </row>
    <row r="873" spans="1:18" x14ac:dyDescent="0.25">
      <c r="A873" t="s">
        <v>1149</v>
      </c>
      <c r="B873" t="s">
        <v>26</v>
      </c>
      <c r="C873" t="s">
        <v>27</v>
      </c>
      <c r="D873" t="s">
        <v>28</v>
      </c>
      <c r="E873" t="s">
        <v>29</v>
      </c>
      <c r="F873">
        <f>ventas_libreria[[#This Row],[precio_eur]]/100</f>
        <v>1.89</v>
      </c>
      <c r="G873">
        <v>189</v>
      </c>
      <c r="H873">
        <v>1</v>
      </c>
      <c r="I873">
        <f>ventas_libreria[[#This Row],[precio]]*ventas_libreria[[#This Row],[cantidad]]</f>
        <v>1.89</v>
      </c>
      <c r="J873">
        <v>67</v>
      </c>
      <c r="K873" t="s">
        <v>38</v>
      </c>
      <c r="L873" s="1">
        <v>45825</v>
      </c>
      <c r="M873" t="s">
        <v>31</v>
      </c>
      <c r="N873" t="s">
        <v>32</v>
      </c>
      <c r="O873" t="s">
        <v>33</v>
      </c>
      <c r="P873" t="s">
        <v>24</v>
      </c>
      <c r="Q873">
        <v>3</v>
      </c>
      <c r="R873">
        <f>IF(ventas_libreria[[#This Row],[valoracion_cliente]]="","Sin valoración",ventas_libreria[[#This Row],[valoracion_cliente]])</f>
        <v>3</v>
      </c>
    </row>
    <row r="874" spans="1:18" x14ac:dyDescent="0.25">
      <c r="A874" t="s">
        <v>1150</v>
      </c>
      <c r="B874" t="s">
        <v>134</v>
      </c>
      <c r="C874" t="s">
        <v>135</v>
      </c>
      <c r="D874" t="s">
        <v>106</v>
      </c>
      <c r="E874" t="s">
        <v>107</v>
      </c>
      <c r="F874">
        <f>ventas_libreria[[#This Row],[precio_eur]]/100</f>
        <v>1.49</v>
      </c>
      <c r="G874">
        <v>149</v>
      </c>
      <c r="H874">
        <v>3</v>
      </c>
      <c r="I874">
        <f>ventas_libreria[[#This Row],[precio]]*ventas_libreria[[#This Row],[cantidad]]</f>
        <v>4.47</v>
      </c>
      <c r="J874">
        <v>10</v>
      </c>
      <c r="K874" t="s">
        <v>38</v>
      </c>
      <c r="L874" s="1">
        <v>44992</v>
      </c>
      <c r="M874" t="s">
        <v>31</v>
      </c>
      <c r="N874" t="s">
        <v>22</v>
      </c>
      <c r="O874" t="s">
        <v>98</v>
      </c>
      <c r="P874" t="s">
        <v>50</v>
      </c>
      <c r="Q874">
        <v>3</v>
      </c>
      <c r="R874">
        <f>IF(ventas_libreria[[#This Row],[valoracion_cliente]]="","Sin valoración",ventas_libreria[[#This Row],[valoracion_cliente]])</f>
        <v>3</v>
      </c>
    </row>
    <row r="875" spans="1:18" x14ac:dyDescent="0.25">
      <c r="A875" t="s">
        <v>1151</v>
      </c>
      <c r="B875" t="s">
        <v>530</v>
      </c>
      <c r="C875" t="s">
        <v>531</v>
      </c>
      <c r="D875" t="s">
        <v>195</v>
      </c>
      <c r="E875" t="s">
        <v>48</v>
      </c>
      <c r="F875">
        <f>ventas_libreria[[#This Row],[precio_eur]]/100</f>
        <v>17.91</v>
      </c>
      <c r="G875">
        <v>1791</v>
      </c>
      <c r="H875">
        <v>1</v>
      </c>
      <c r="I875">
        <f>ventas_libreria[[#This Row],[precio]]*ventas_libreria[[#This Row],[cantidad]]</f>
        <v>17.91</v>
      </c>
      <c r="J875">
        <v>26</v>
      </c>
      <c r="K875" t="s">
        <v>62</v>
      </c>
      <c r="L875" s="1">
        <v>45137</v>
      </c>
      <c r="M875" t="s">
        <v>21</v>
      </c>
      <c r="N875" t="s">
        <v>22</v>
      </c>
      <c r="O875" t="s">
        <v>132</v>
      </c>
      <c r="P875" t="s">
        <v>84</v>
      </c>
      <c r="Q875">
        <v>5</v>
      </c>
      <c r="R875">
        <f>IF(ventas_libreria[[#This Row],[valoracion_cliente]]="","Sin valoración",ventas_libreria[[#This Row],[valoracion_cliente]])</f>
        <v>5</v>
      </c>
    </row>
    <row r="876" spans="1:18" x14ac:dyDescent="0.25">
      <c r="A876" t="s">
        <v>1152</v>
      </c>
      <c r="B876" t="s">
        <v>121</v>
      </c>
      <c r="C876" t="s">
        <v>122</v>
      </c>
      <c r="D876" t="s">
        <v>123</v>
      </c>
      <c r="E876" t="s">
        <v>48</v>
      </c>
      <c r="F876">
        <f>ventas_libreria[[#This Row],[precio_eur]]/100</f>
        <v>15.21</v>
      </c>
      <c r="G876">
        <v>1521</v>
      </c>
      <c r="H876">
        <v>2</v>
      </c>
      <c r="I876">
        <f>ventas_libreria[[#This Row],[precio]]*ventas_libreria[[#This Row],[cantidad]]</f>
        <v>30.42</v>
      </c>
      <c r="J876">
        <v>50</v>
      </c>
      <c r="K876" t="s">
        <v>38</v>
      </c>
      <c r="L876" s="1">
        <v>45285</v>
      </c>
      <c r="M876" t="s">
        <v>31</v>
      </c>
      <c r="N876" t="s">
        <v>22</v>
      </c>
      <c r="O876" t="s">
        <v>23</v>
      </c>
      <c r="P876" t="s">
        <v>50</v>
      </c>
      <c r="Q876">
        <v>3</v>
      </c>
      <c r="R876">
        <f>IF(ventas_libreria[[#This Row],[valoracion_cliente]]="","Sin valoración",ventas_libreria[[#This Row],[valoracion_cliente]])</f>
        <v>3</v>
      </c>
    </row>
    <row r="877" spans="1:18" x14ac:dyDescent="0.25">
      <c r="A877" t="s">
        <v>1153</v>
      </c>
      <c r="B877" t="s">
        <v>318</v>
      </c>
      <c r="C877" t="s">
        <v>319</v>
      </c>
      <c r="D877" t="s">
        <v>167</v>
      </c>
      <c r="E877" t="s">
        <v>61</v>
      </c>
      <c r="F877">
        <f>ventas_libreria[[#This Row],[precio_eur]]/100</f>
        <v>19.84</v>
      </c>
      <c r="G877">
        <v>1984</v>
      </c>
      <c r="H877">
        <v>1</v>
      </c>
      <c r="I877">
        <f>ventas_libreria[[#This Row],[precio]]*ventas_libreria[[#This Row],[cantidad]]</f>
        <v>19.84</v>
      </c>
      <c r="J877">
        <v>54</v>
      </c>
      <c r="K877" t="s">
        <v>30</v>
      </c>
      <c r="L877" s="1">
        <v>45210</v>
      </c>
      <c r="M877" t="s">
        <v>43</v>
      </c>
      <c r="N877" t="s">
        <v>32</v>
      </c>
      <c r="O877" t="s">
        <v>33</v>
      </c>
      <c r="P877" t="s">
        <v>56</v>
      </c>
      <c r="Q877">
        <v>5</v>
      </c>
      <c r="R877">
        <f>IF(ventas_libreria[[#This Row],[valoracion_cliente]]="","Sin valoración",ventas_libreria[[#This Row],[valoracion_cliente]])</f>
        <v>5</v>
      </c>
    </row>
    <row r="878" spans="1:18" x14ac:dyDescent="0.25">
      <c r="A878" t="s">
        <v>1154</v>
      </c>
      <c r="B878" t="s">
        <v>100</v>
      </c>
      <c r="C878" t="s">
        <v>101</v>
      </c>
      <c r="D878" t="s">
        <v>102</v>
      </c>
      <c r="E878" t="s">
        <v>61</v>
      </c>
      <c r="F878">
        <f>ventas_libreria[[#This Row],[precio_eur]]/100</f>
        <v>13.09</v>
      </c>
      <c r="G878">
        <v>1309</v>
      </c>
      <c r="H878">
        <v>1</v>
      </c>
      <c r="I878">
        <f>ventas_libreria[[#This Row],[precio]]*ventas_libreria[[#This Row],[cantidad]]</f>
        <v>13.09</v>
      </c>
      <c r="J878">
        <v>47</v>
      </c>
      <c r="K878" t="s">
        <v>38</v>
      </c>
      <c r="L878" s="1">
        <v>45534</v>
      </c>
      <c r="M878" t="s">
        <v>43</v>
      </c>
      <c r="N878" t="s">
        <v>32</v>
      </c>
      <c r="O878" t="s">
        <v>33</v>
      </c>
      <c r="P878" t="s">
        <v>84</v>
      </c>
      <c r="Q878">
        <v>3</v>
      </c>
      <c r="R878">
        <f>IF(ventas_libreria[[#This Row],[valoracion_cliente]]="","Sin valoración",ventas_libreria[[#This Row],[valoracion_cliente]])</f>
        <v>3</v>
      </c>
    </row>
    <row r="879" spans="1:18" x14ac:dyDescent="0.25">
      <c r="A879" t="s">
        <v>1155</v>
      </c>
      <c r="B879" t="s">
        <v>384</v>
      </c>
      <c r="C879" t="s">
        <v>385</v>
      </c>
      <c r="D879" t="s">
        <v>158</v>
      </c>
      <c r="E879" t="s">
        <v>149</v>
      </c>
      <c r="F879">
        <f>ventas_libreria[[#This Row],[precio_eur]]/100</f>
        <v>2.19</v>
      </c>
      <c r="G879">
        <v>219</v>
      </c>
      <c r="H879">
        <v>1</v>
      </c>
      <c r="I879">
        <f>ventas_libreria[[#This Row],[precio]]*ventas_libreria[[#This Row],[cantidad]]</f>
        <v>2.19</v>
      </c>
      <c r="J879">
        <v>65</v>
      </c>
      <c r="K879" t="s">
        <v>20</v>
      </c>
      <c r="L879" s="1">
        <v>45954</v>
      </c>
      <c r="M879" t="s">
        <v>31</v>
      </c>
      <c r="N879" t="s">
        <v>22</v>
      </c>
      <c r="O879" t="s">
        <v>98</v>
      </c>
      <c r="P879" t="s">
        <v>34</v>
      </c>
      <c r="Q879">
        <v>3</v>
      </c>
      <c r="R879">
        <f>IF(ventas_libreria[[#This Row],[valoracion_cliente]]="","Sin valoración",ventas_libreria[[#This Row],[valoracion_cliente]])</f>
        <v>3</v>
      </c>
    </row>
    <row r="880" spans="1:18" x14ac:dyDescent="0.25">
      <c r="A880" t="s">
        <v>1156</v>
      </c>
      <c r="B880" t="s">
        <v>461</v>
      </c>
      <c r="C880" t="s">
        <v>462</v>
      </c>
      <c r="D880" t="s">
        <v>143</v>
      </c>
      <c r="E880" t="s">
        <v>116</v>
      </c>
      <c r="F880">
        <f>ventas_libreria[[#This Row],[precio_eur]]/100</f>
        <v>11.12</v>
      </c>
      <c r="G880">
        <v>1112</v>
      </c>
      <c r="H880">
        <v>1</v>
      </c>
      <c r="I880">
        <f>ventas_libreria[[#This Row],[precio]]*ventas_libreria[[#This Row],[cantidad]]</f>
        <v>11.12</v>
      </c>
      <c r="J880">
        <v>74</v>
      </c>
      <c r="K880" t="s">
        <v>62</v>
      </c>
      <c r="L880" s="1">
        <v>45869</v>
      </c>
      <c r="M880" t="s">
        <v>31</v>
      </c>
      <c r="N880" t="s">
        <v>32</v>
      </c>
      <c r="O880" t="s">
        <v>33</v>
      </c>
      <c r="P880" t="s">
        <v>24</v>
      </c>
      <c r="Q880">
        <v>5</v>
      </c>
      <c r="R880">
        <f>IF(ventas_libreria[[#This Row],[valoracion_cliente]]="","Sin valoración",ventas_libreria[[#This Row],[valoracion_cliente]])</f>
        <v>5</v>
      </c>
    </row>
    <row r="881" spans="1:18" x14ac:dyDescent="0.25">
      <c r="A881" t="s">
        <v>1157</v>
      </c>
      <c r="B881" t="s">
        <v>273</v>
      </c>
      <c r="C881" t="s">
        <v>274</v>
      </c>
      <c r="D881" t="s">
        <v>262</v>
      </c>
      <c r="E881" t="s">
        <v>263</v>
      </c>
      <c r="F881">
        <f>ventas_libreria[[#This Row],[precio_eur]]/100</f>
        <v>19.71</v>
      </c>
      <c r="G881">
        <v>1971</v>
      </c>
      <c r="H881">
        <v>3</v>
      </c>
      <c r="I881">
        <f>ventas_libreria[[#This Row],[precio]]*ventas_libreria[[#This Row],[cantidad]]</f>
        <v>59.13</v>
      </c>
      <c r="J881">
        <v>23</v>
      </c>
      <c r="K881" t="s">
        <v>20</v>
      </c>
      <c r="L881" s="1">
        <v>45510</v>
      </c>
      <c r="M881" t="s">
        <v>21</v>
      </c>
      <c r="N881" t="s">
        <v>32</v>
      </c>
      <c r="O881" t="s">
        <v>33</v>
      </c>
      <c r="P881" t="s">
        <v>34</v>
      </c>
      <c r="Q881">
        <v>3</v>
      </c>
      <c r="R881">
        <f>IF(ventas_libreria[[#This Row],[valoracion_cliente]]="","Sin valoración",ventas_libreria[[#This Row],[valoracion_cliente]])</f>
        <v>3</v>
      </c>
    </row>
    <row r="882" spans="1:18" x14ac:dyDescent="0.25">
      <c r="A882" t="s">
        <v>1158</v>
      </c>
      <c r="B882" t="s">
        <v>362</v>
      </c>
      <c r="C882" t="s">
        <v>363</v>
      </c>
      <c r="D882" t="s">
        <v>249</v>
      </c>
      <c r="E882" t="s">
        <v>172</v>
      </c>
      <c r="F882">
        <f>ventas_libreria[[#This Row],[precio_eur]]/100</f>
        <v>1.52</v>
      </c>
      <c r="G882">
        <v>152</v>
      </c>
      <c r="H882">
        <v>1</v>
      </c>
      <c r="I882">
        <f>ventas_libreria[[#This Row],[precio]]*ventas_libreria[[#This Row],[cantidad]]</f>
        <v>1.52</v>
      </c>
      <c r="J882">
        <v>18</v>
      </c>
      <c r="K882" t="s">
        <v>62</v>
      </c>
      <c r="L882" s="1">
        <v>45966</v>
      </c>
      <c r="M882" t="s">
        <v>21</v>
      </c>
      <c r="N882" t="s">
        <v>32</v>
      </c>
      <c r="O882" t="s">
        <v>33</v>
      </c>
      <c r="P882" t="s">
        <v>50</v>
      </c>
      <c r="Q882">
        <v>5</v>
      </c>
      <c r="R882">
        <f>IF(ventas_libreria[[#This Row],[valoracion_cliente]]="","Sin valoración",ventas_libreria[[#This Row],[valoracion_cliente]])</f>
        <v>5</v>
      </c>
    </row>
    <row r="883" spans="1:18" x14ac:dyDescent="0.25">
      <c r="A883" t="s">
        <v>1159</v>
      </c>
      <c r="B883" t="s">
        <v>141</v>
      </c>
      <c r="C883" t="s">
        <v>142</v>
      </c>
      <c r="D883" t="s">
        <v>143</v>
      </c>
      <c r="E883" t="s">
        <v>116</v>
      </c>
      <c r="F883">
        <f>ventas_libreria[[#This Row],[precio_eur]]/100</f>
        <v>15.65</v>
      </c>
      <c r="G883">
        <v>1565</v>
      </c>
      <c r="H883">
        <v>1</v>
      </c>
      <c r="I883">
        <f>ventas_libreria[[#This Row],[precio]]*ventas_libreria[[#This Row],[cantidad]]</f>
        <v>15.65</v>
      </c>
      <c r="J883">
        <v>29</v>
      </c>
      <c r="K883" t="s">
        <v>20</v>
      </c>
      <c r="L883" s="1">
        <v>45145</v>
      </c>
      <c r="M883" t="s">
        <v>21</v>
      </c>
      <c r="N883" t="s">
        <v>22</v>
      </c>
      <c r="O883" t="s">
        <v>132</v>
      </c>
      <c r="P883" t="s">
        <v>50</v>
      </c>
      <c r="Q883">
        <v>5</v>
      </c>
      <c r="R883">
        <f>IF(ventas_libreria[[#This Row],[valoracion_cliente]]="","Sin valoración",ventas_libreria[[#This Row],[valoracion_cliente]])</f>
        <v>5</v>
      </c>
    </row>
    <row r="884" spans="1:18" x14ac:dyDescent="0.25">
      <c r="A884" t="s">
        <v>1160</v>
      </c>
      <c r="B884" t="s">
        <v>121</v>
      </c>
      <c r="C884" t="s">
        <v>122</v>
      </c>
      <c r="D884" t="s">
        <v>123</v>
      </c>
      <c r="E884" t="s">
        <v>48</v>
      </c>
      <c r="F884">
        <f>ventas_libreria[[#This Row],[precio_eur]]/100</f>
        <v>17.75</v>
      </c>
      <c r="G884">
        <v>1775</v>
      </c>
      <c r="H884">
        <v>1</v>
      </c>
      <c r="I884">
        <f>ventas_libreria[[#This Row],[precio]]*ventas_libreria[[#This Row],[cantidad]]</f>
        <v>17.75</v>
      </c>
      <c r="J884">
        <v>32</v>
      </c>
      <c r="K884" t="s">
        <v>20</v>
      </c>
      <c r="L884" s="1">
        <v>45418</v>
      </c>
      <c r="M884" t="s">
        <v>43</v>
      </c>
      <c r="N884" t="s">
        <v>32</v>
      </c>
      <c r="O884" t="s">
        <v>33</v>
      </c>
      <c r="P884" t="s">
        <v>24</v>
      </c>
      <c r="Q884">
        <v>4</v>
      </c>
      <c r="R884">
        <f>IF(ventas_libreria[[#This Row],[valoracion_cliente]]="","Sin valoración",ventas_libreria[[#This Row],[valoracion_cliente]])</f>
        <v>4</v>
      </c>
    </row>
    <row r="885" spans="1:18" x14ac:dyDescent="0.25">
      <c r="A885" t="s">
        <v>1161</v>
      </c>
      <c r="B885" t="s">
        <v>338</v>
      </c>
      <c r="C885" t="s">
        <v>339</v>
      </c>
      <c r="D885" t="s">
        <v>167</v>
      </c>
      <c r="E885" t="s">
        <v>61</v>
      </c>
      <c r="F885">
        <f>ventas_libreria[[#This Row],[precio_eur]]/100</f>
        <v>24.04</v>
      </c>
      <c r="G885">
        <v>2404</v>
      </c>
      <c r="H885">
        <v>1</v>
      </c>
      <c r="I885">
        <f>ventas_libreria[[#This Row],[precio]]*ventas_libreria[[#This Row],[cantidad]]</f>
        <v>24.04</v>
      </c>
      <c r="J885">
        <v>38</v>
      </c>
      <c r="K885" t="s">
        <v>20</v>
      </c>
      <c r="L885" s="1">
        <v>45352</v>
      </c>
      <c r="M885" t="s">
        <v>43</v>
      </c>
      <c r="N885" t="s">
        <v>32</v>
      </c>
      <c r="O885" t="s">
        <v>33</v>
      </c>
      <c r="P885" t="s">
        <v>34</v>
      </c>
      <c r="Q885">
        <v>5</v>
      </c>
      <c r="R885">
        <f>IF(ventas_libreria[[#This Row],[valoracion_cliente]]="","Sin valoración",ventas_libreria[[#This Row],[valoracion_cliente]])</f>
        <v>5</v>
      </c>
    </row>
    <row r="886" spans="1:18" x14ac:dyDescent="0.25">
      <c r="A886" t="s">
        <v>1162</v>
      </c>
      <c r="B886" t="s">
        <v>151</v>
      </c>
      <c r="C886" t="s">
        <v>152</v>
      </c>
      <c r="D886" t="s">
        <v>153</v>
      </c>
      <c r="E886" t="s">
        <v>154</v>
      </c>
      <c r="F886">
        <f>ventas_libreria[[#This Row],[precio_eur]]/100</f>
        <v>17.75</v>
      </c>
      <c r="G886">
        <v>1775</v>
      </c>
      <c r="H886">
        <v>1</v>
      </c>
      <c r="I886">
        <f>ventas_libreria[[#This Row],[precio]]*ventas_libreria[[#This Row],[cantidad]]</f>
        <v>17.75</v>
      </c>
      <c r="J886">
        <v>30</v>
      </c>
      <c r="K886" t="s">
        <v>30</v>
      </c>
      <c r="L886" s="1">
        <v>45766</v>
      </c>
      <c r="M886" t="s">
        <v>21</v>
      </c>
      <c r="N886" t="s">
        <v>32</v>
      </c>
      <c r="O886" t="s">
        <v>33</v>
      </c>
      <c r="P886" t="s">
        <v>56</v>
      </c>
      <c r="Q886">
        <v>3</v>
      </c>
      <c r="R886">
        <f>IF(ventas_libreria[[#This Row],[valoracion_cliente]]="","Sin valoración",ventas_libreria[[#This Row],[valoracion_cliente]])</f>
        <v>3</v>
      </c>
    </row>
    <row r="887" spans="1:18" x14ac:dyDescent="0.25">
      <c r="A887" t="s">
        <v>1163</v>
      </c>
      <c r="B887" t="s">
        <v>406</v>
      </c>
      <c r="C887" t="s">
        <v>407</v>
      </c>
      <c r="D887" t="s">
        <v>88</v>
      </c>
      <c r="E887" t="s">
        <v>77</v>
      </c>
      <c r="F887">
        <f>ventas_libreria[[#This Row],[precio_eur]]/100</f>
        <v>1.19</v>
      </c>
      <c r="G887">
        <v>119</v>
      </c>
      <c r="H887">
        <v>1</v>
      </c>
      <c r="I887">
        <f>ventas_libreria[[#This Row],[precio]]*ventas_libreria[[#This Row],[cantidad]]</f>
        <v>1.19</v>
      </c>
      <c r="J887">
        <v>8</v>
      </c>
      <c r="K887" t="s">
        <v>62</v>
      </c>
      <c r="L887" s="1">
        <v>45680</v>
      </c>
      <c r="M887" t="s">
        <v>31</v>
      </c>
      <c r="N887" t="s">
        <v>32</v>
      </c>
      <c r="O887" t="s">
        <v>33</v>
      </c>
      <c r="P887" t="s">
        <v>24</v>
      </c>
      <c r="Q887">
        <v>5</v>
      </c>
      <c r="R887">
        <f>IF(ventas_libreria[[#This Row],[valoracion_cliente]]="","Sin valoración",ventas_libreria[[#This Row],[valoracion_cliente]])</f>
        <v>5</v>
      </c>
    </row>
    <row r="888" spans="1:18" x14ac:dyDescent="0.25">
      <c r="A888" t="s">
        <v>1164</v>
      </c>
      <c r="B888" t="s">
        <v>86</v>
      </c>
      <c r="C888" t="s">
        <v>87</v>
      </c>
      <c r="D888" t="s">
        <v>88</v>
      </c>
      <c r="E888" t="s">
        <v>77</v>
      </c>
      <c r="F888">
        <f>ventas_libreria[[#This Row],[precio_eur]]/100</f>
        <v>1.19</v>
      </c>
      <c r="G888">
        <v>119</v>
      </c>
      <c r="H888">
        <v>4</v>
      </c>
      <c r="I888">
        <f>ventas_libreria[[#This Row],[precio]]*ventas_libreria[[#This Row],[cantidad]]</f>
        <v>4.76</v>
      </c>
      <c r="J888">
        <v>12</v>
      </c>
      <c r="K888" t="s">
        <v>30</v>
      </c>
      <c r="L888" s="1">
        <v>45842</v>
      </c>
      <c r="M888" t="s">
        <v>21</v>
      </c>
      <c r="N888" t="s">
        <v>22</v>
      </c>
      <c r="O888" t="s">
        <v>67</v>
      </c>
      <c r="P888" t="s">
        <v>84</v>
      </c>
      <c r="Q888">
        <v>4</v>
      </c>
      <c r="R888">
        <f>IF(ventas_libreria[[#This Row],[valoracion_cliente]]="","Sin valoración",ventas_libreria[[#This Row],[valoracion_cliente]])</f>
        <v>4</v>
      </c>
    </row>
    <row r="889" spans="1:18" x14ac:dyDescent="0.25">
      <c r="A889" t="s">
        <v>1165</v>
      </c>
      <c r="B889" t="s">
        <v>125</v>
      </c>
      <c r="C889" t="s">
        <v>126</v>
      </c>
      <c r="D889" t="s">
        <v>127</v>
      </c>
      <c r="E889" t="s">
        <v>29</v>
      </c>
      <c r="F889">
        <f>ventas_libreria[[#This Row],[precio_eur]]/100</f>
        <v>18.79</v>
      </c>
      <c r="G889">
        <v>1879</v>
      </c>
      <c r="H889">
        <v>1</v>
      </c>
      <c r="I889">
        <f>ventas_libreria[[#This Row],[precio]]*ventas_libreria[[#This Row],[cantidad]]</f>
        <v>18.79</v>
      </c>
      <c r="J889">
        <v>60</v>
      </c>
      <c r="K889" t="s">
        <v>62</v>
      </c>
      <c r="L889" s="1">
        <v>45517</v>
      </c>
      <c r="M889" t="s">
        <v>43</v>
      </c>
      <c r="N889" t="s">
        <v>32</v>
      </c>
      <c r="O889" t="s">
        <v>33</v>
      </c>
      <c r="P889" t="s">
        <v>84</v>
      </c>
      <c r="Q889">
        <v>3</v>
      </c>
      <c r="R889">
        <f>IF(ventas_libreria[[#This Row],[valoracion_cliente]]="","Sin valoración",ventas_libreria[[#This Row],[valoracion_cliente]])</f>
        <v>3</v>
      </c>
    </row>
    <row r="890" spans="1:18" x14ac:dyDescent="0.25">
      <c r="A890" t="s">
        <v>1166</v>
      </c>
      <c r="B890" t="s">
        <v>530</v>
      </c>
      <c r="C890" t="s">
        <v>531</v>
      </c>
      <c r="D890" t="s">
        <v>195</v>
      </c>
      <c r="E890" t="s">
        <v>48</v>
      </c>
      <c r="F890">
        <f>ventas_libreria[[#This Row],[precio_eur]]/100</f>
        <v>20.89</v>
      </c>
      <c r="G890">
        <v>2089</v>
      </c>
      <c r="H890">
        <v>2</v>
      </c>
      <c r="I890">
        <f>ventas_libreria[[#This Row],[precio]]*ventas_libreria[[#This Row],[cantidad]]</f>
        <v>41.78</v>
      </c>
      <c r="J890">
        <v>31</v>
      </c>
      <c r="K890" t="s">
        <v>20</v>
      </c>
      <c r="L890" s="1">
        <v>45974</v>
      </c>
      <c r="M890" t="s">
        <v>21</v>
      </c>
      <c r="N890" t="s">
        <v>32</v>
      </c>
      <c r="O890" t="s">
        <v>33</v>
      </c>
      <c r="P890" t="s">
        <v>24</v>
      </c>
      <c r="R890" t="str">
        <f>IF(ventas_libreria[[#This Row],[valoracion_cliente]]="","Sin valoración",ventas_libreria[[#This Row],[valoracion_cliente]])</f>
        <v>Sin valoración</v>
      </c>
    </row>
    <row r="891" spans="1:18" x14ac:dyDescent="0.25">
      <c r="A891" t="s">
        <v>1167</v>
      </c>
      <c r="B891" t="s">
        <v>193</v>
      </c>
      <c r="C891" t="s">
        <v>194</v>
      </c>
      <c r="D891" t="s">
        <v>195</v>
      </c>
      <c r="E891" t="s">
        <v>48</v>
      </c>
      <c r="F891">
        <f>ventas_libreria[[#This Row],[precio_eur]]/100</f>
        <v>21.89</v>
      </c>
      <c r="G891">
        <v>2189</v>
      </c>
      <c r="H891">
        <v>1</v>
      </c>
      <c r="I891">
        <f>ventas_libreria[[#This Row],[precio]]*ventas_libreria[[#This Row],[cantidad]]</f>
        <v>21.89</v>
      </c>
      <c r="J891">
        <v>69</v>
      </c>
      <c r="K891" t="s">
        <v>30</v>
      </c>
      <c r="L891" s="1">
        <v>45930</v>
      </c>
      <c r="M891" t="s">
        <v>31</v>
      </c>
      <c r="N891" t="s">
        <v>32</v>
      </c>
      <c r="O891" t="s">
        <v>33</v>
      </c>
      <c r="P891" t="s">
        <v>50</v>
      </c>
      <c r="Q891">
        <v>3</v>
      </c>
      <c r="R891">
        <f>IF(ventas_libreria[[#This Row],[valoracion_cliente]]="","Sin valoración",ventas_libreria[[#This Row],[valoracion_cliente]])</f>
        <v>3</v>
      </c>
    </row>
    <row r="892" spans="1:18" x14ac:dyDescent="0.25">
      <c r="A892" t="s">
        <v>1168</v>
      </c>
      <c r="B892" t="s">
        <v>134</v>
      </c>
      <c r="C892" t="s">
        <v>135</v>
      </c>
      <c r="D892" t="s">
        <v>106</v>
      </c>
      <c r="E892" t="s">
        <v>107</v>
      </c>
      <c r="F892">
        <f>ventas_libreria[[#This Row],[precio_eur]]/100</f>
        <v>1.49</v>
      </c>
      <c r="G892">
        <v>149</v>
      </c>
      <c r="H892">
        <v>2</v>
      </c>
      <c r="I892">
        <f>ventas_libreria[[#This Row],[precio]]*ventas_libreria[[#This Row],[cantidad]]</f>
        <v>2.98</v>
      </c>
      <c r="J892">
        <v>17</v>
      </c>
      <c r="K892" t="s">
        <v>38</v>
      </c>
      <c r="L892" s="1">
        <v>45113</v>
      </c>
      <c r="M892" t="s">
        <v>43</v>
      </c>
      <c r="N892" t="s">
        <v>32</v>
      </c>
      <c r="O892" t="s">
        <v>33</v>
      </c>
      <c r="P892" t="s">
        <v>56</v>
      </c>
      <c r="Q892">
        <v>5</v>
      </c>
      <c r="R892">
        <f>IF(ventas_libreria[[#This Row],[valoracion_cliente]]="","Sin valoración",ventas_libreria[[#This Row],[valoracion_cliente]])</f>
        <v>5</v>
      </c>
    </row>
    <row r="893" spans="1:18" x14ac:dyDescent="0.25">
      <c r="A893" t="s">
        <v>1169</v>
      </c>
      <c r="B893" t="s">
        <v>260</v>
      </c>
      <c r="C893" t="s">
        <v>261</v>
      </c>
      <c r="D893" t="s">
        <v>262</v>
      </c>
      <c r="E893" t="s">
        <v>263</v>
      </c>
      <c r="F893">
        <f>ventas_libreria[[#This Row],[precio_eur]]/100</f>
        <v>2.19</v>
      </c>
      <c r="G893">
        <v>219</v>
      </c>
      <c r="H893">
        <v>1</v>
      </c>
      <c r="I893">
        <f>ventas_libreria[[#This Row],[precio]]*ventas_libreria[[#This Row],[cantidad]]</f>
        <v>2.19</v>
      </c>
      <c r="J893">
        <v>20</v>
      </c>
      <c r="K893" t="s">
        <v>62</v>
      </c>
      <c r="L893" s="1">
        <v>45158</v>
      </c>
      <c r="M893" t="s">
        <v>31</v>
      </c>
      <c r="N893" t="s">
        <v>32</v>
      </c>
      <c r="O893" t="s">
        <v>33</v>
      </c>
      <c r="P893" t="s">
        <v>34</v>
      </c>
      <c r="Q893">
        <v>5</v>
      </c>
      <c r="R893">
        <f>IF(ventas_libreria[[#This Row],[valoracion_cliente]]="","Sin valoración",ventas_libreria[[#This Row],[valoracion_cliente]])</f>
        <v>5</v>
      </c>
    </row>
    <row r="894" spans="1:18" x14ac:dyDescent="0.25">
      <c r="A894" t="s">
        <v>1170</v>
      </c>
      <c r="B894" t="s">
        <v>36</v>
      </c>
      <c r="C894" t="s">
        <v>37</v>
      </c>
      <c r="D894" t="s">
        <v>28</v>
      </c>
      <c r="E894" t="s">
        <v>29</v>
      </c>
      <c r="F894">
        <f>ventas_libreria[[#This Row],[precio_eur]]/100</f>
        <v>20.79</v>
      </c>
      <c r="G894">
        <v>2079</v>
      </c>
      <c r="H894">
        <v>2</v>
      </c>
      <c r="I894">
        <f>ventas_libreria[[#This Row],[precio]]*ventas_libreria[[#This Row],[cantidad]]</f>
        <v>41.58</v>
      </c>
      <c r="J894">
        <v>60</v>
      </c>
      <c r="K894" t="s">
        <v>30</v>
      </c>
      <c r="L894" s="1">
        <v>45051</v>
      </c>
      <c r="M894" t="s">
        <v>21</v>
      </c>
      <c r="N894" t="s">
        <v>22</v>
      </c>
      <c r="O894" t="s">
        <v>98</v>
      </c>
      <c r="P894" t="s">
        <v>24</v>
      </c>
      <c r="Q894">
        <v>5</v>
      </c>
      <c r="R894">
        <f>IF(ventas_libreria[[#This Row],[valoracion_cliente]]="","Sin valoración",ventas_libreria[[#This Row],[valoracion_cliente]])</f>
        <v>5</v>
      </c>
    </row>
    <row r="895" spans="1:18" x14ac:dyDescent="0.25">
      <c r="A895" t="s">
        <v>1171</v>
      </c>
      <c r="B895" t="s">
        <v>549</v>
      </c>
      <c r="C895" t="s">
        <v>550</v>
      </c>
      <c r="D895" t="s">
        <v>162</v>
      </c>
      <c r="E895" t="s">
        <v>29</v>
      </c>
      <c r="F895">
        <f>ventas_libreria[[#This Row],[precio_eur]]/100</f>
        <v>20.89</v>
      </c>
      <c r="G895">
        <v>2089</v>
      </c>
      <c r="H895">
        <v>1</v>
      </c>
      <c r="I895">
        <f>ventas_libreria[[#This Row],[precio]]*ventas_libreria[[#This Row],[cantidad]]</f>
        <v>20.89</v>
      </c>
      <c r="J895">
        <v>28</v>
      </c>
      <c r="K895" t="s">
        <v>62</v>
      </c>
      <c r="L895" s="1">
        <v>45705</v>
      </c>
      <c r="M895" t="s">
        <v>31</v>
      </c>
      <c r="N895" t="s">
        <v>22</v>
      </c>
      <c r="O895" t="s">
        <v>67</v>
      </c>
      <c r="P895" t="s">
        <v>50</v>
      </c>
      <c r="Q895">
        <v>5</v>
      </c>
      <c r="R895">
        <f>IF(ventas_libreria[[#This Row],[valoracion_cliente]]="","Sin valoración",ventas_libreria[[#This Row],[valoracion_cliente]])</f>
        <v>5</v>
      </c>
    </row>
    <row r="896" spans="1:18" x14ac:dyDescent="0.25">
      <c r="A896" t="s">
        <v>1172</v>
      </c>
      <c r="B896" t="s">
        <v>228</v>
      </c>
      <c r="C896" t="s">
        <v>229</v>
      </c>
      <c r="D896" t="s">
        <v>206</v>
      </c>
      <c r="E896" t="s">
        <v>116</v>
      </c>
      <c r="F896">
        <f>ventas_libreria[[#This Row],[precio_eur]]/100</f>
        <v>16.059999999999999</v>
      </c>
      <c r="G896">
        <v>1606</v>
      </c>
      <c r="H896">
        <v>1</v>
      </c>
      <c r="I896">
        <f>ventas_libreria[[#This Row],[precio]]*ventas_libreria[[#This Row],[cantidad]]</f>
        <v>16.059999999999999</v>
      </c>
      <c r="J896">
        <v>70</v>
      </c>
      <c r="K896" t="s">
        <v>20</v>
      </c>
      <c r="L896" s="1">
        <v>45157</v>
      </c>
      <c r="M896" t="s">
        <v>31</v>
      </c>
      <c r="N896" t="s">
        <v>22</v>
      </c>
      <c r="O896" t="s">
        <v>98</v>
      </c>
      <c r="P896" t="s">
        <v>56</v>
      </c>
      <c r="Q896">
        <v>5</v>
      </c>
      <c r="R896">
        <f>IF(ventas_libreria[[#This Row],[valoracion_cliente]]="","Sin valoración",ventas_libreria[[#This Row],[valoracion_cliente]])</f>
        <v>5</v>
      </c>
    </row>
    <row r="897" spans="1:18" x14ac:dyDescent="0.25">
      <c r="A897" t="s">
        <v>1173</v>
      </c>
      <c r="B897" t="s">
        <v>220</v>
      </c>
      <c r="C897" t="s">
        <v>221</v>
      </c>
      <c r="D897" t="s">
        <v>222</v>
      </c>
      <c r="E897" t="s">
        <v>116</v>
      </c>
      <c r="F897">
        <f>ventas_libreria[[#This Row],[precio_eur]]/100</f>
        <v>1.29</v>
      </c>
      <c r="G897">
        <v>129</v>
      </c>
      <c r="H897">
        <v>2</v>
      </c>
      <c r="I897">
        <f>ventas_libreria[[#This Row],[precio]]*ventas_libreria[[#This Row],[cantidad]]</f>
        <v>2.58</v>
      </c>
      <c r="J897">
        <v>43</v>
      </c>
      <c r="K897" t="s">
        <v>38</v>
      </c>
      <c r="L897" s="1">
        <v>44983</v>
      </c>
      <c r="M897" t="s">
        <v>21</v>
      </c>
      <c r="N897" t="s">
        <v>22</v>
      </c>
      <c r="O897" t="s">
        <v>67</v>
      </c>
      <c r="P897" t="s">
        <v>56</v>
      </c>
      <c r="Q897">
        <v>4</v>
      </c>
      <c r="R897">
        <f>IF(ventas_libreria[[#This Row],[valoracion_cliente]]="","Sin valoración",ventas_libreria[[#This Row],[valoracion_cliente]])</f>
        <v>4</v>
      </c>
    </row>
    <row r="898" spans="1:18" x14ac:dyDescent="0.25">
      <c r="A898" t="s">
        <v>1174</v>
      </c>
      <c r="B898" t="s">
        <v>211</v>
      </c>
      <c r="C898" t="s">
        <v>212</v>
      </c>
      <c r="D898" t="s">
        <v>131</v>
      </c>
      <c r="E898" t="s">
        <v>107</v>
      </c>
      <c r="F898">
        <f>ventas_libreria[[#This Row],[precio_eur]]/100</f>
        <v>1.69</v>
      </c>
      <c r="G898">
        <v>169</v>
      </c>
      <c r="H898">
        <v>2</v>
      </c>
      <c r="I898">
        <f>ventas_libreria[[#This Row],[precio]]*ventas_libreria[[#This Row],[cantidad]]</f>
        <v>3.38</v>
      </c>
      <c r="J898">
        <v>10</v>
      </c>
      <c r="K898" t="s">
        <v>20</v>
      </c>
      <c r="L898" s="1">
        <v>45174</v>
      </c>
      <c r="M898" t="s">
        <v>31</v>
      </c>
      <c r="N898" t="s">
        <v>32</v>
      </c>
      <c r="O898" t="s">
        <v>33</v>
      </c>
      <c r="P898" t="s">
        <v>24</v>
      </c>
      <c r="Q898">
        <v>4</v>
      </c>
      <c r="R898">
        <f>IF(ventas_libreria[[#This Row],[valoracion_cliente]]="","Sin valoración",ventas_libreria[[#This Row],[valoracion_cliente]])</f>
        <v>4</v>
      </c>
    </row>
    <row r="899" spans="1:18" x14ac:dyDescent="0.25">
      <c r="A899" t="s">
        <v>1175</v>
      </c>
      <c r="B899" t="s">
        <v>141</v>
      </c>
      <c r="C899" t="s">
        <v>142</v>
      </c>
      <c r="D899" t="s">
        <v>143</v>
      </c>
      <c r="E899" t="s">
        <v>116</v>
      </c>
      <c r="F899">
        <f>ventas_libreria[[#This Row],[precio_eur]]/100</f>
        <v>11.92</v>
      </c>
      <c r="G899">
        <v>1192</v>
      </c>
      <c r="H899">
        <v>2</v>
      </c>
      <c r="I899">
        <f>ventas_libreria[[#This Row],[precio]]*ventas_libreria[[#This Row],[cantidad]]</f>
        <v>23.84</v>
      </c>
      <c r="J899">
        <v>50</v>
      </c>
      <c r="K899" t="s">
        <v>62</v>
      </c>
      <c r="L899" s="1">
        <v>45205</v>
      </c>
      <c r="M899" t="s">
        <v>43</v>
      </c>
      <c r="N899" t="s">
        <v>32</v>
      </c>
      <c r="O899" t="s">
        <v>33</v>
      </c>
      <c r="P899" t="s">
        <v>34</v>
      </c>
      <c r="Q899">
        <v>1</v>
      </c>
      <c r="R899">
        <f>IF(ventas_libreria[[#This Row],[valoracion_cliente]]="","Sin valoración",ventas_libreria[[#This Row],[valoracion_cliente]])</f>
        <v>1</v>
      </c>
    </row>
    <row r="900" spans="1:18" x14ac:dyDescent="0.25">
      <c r="A900" t="s">
        <v>1176</v>
      </c>
      <c r="B900" t="s">
        <v>176</v>
      </c>
      <c r="C900" t="s">
        <v>177</v>
      </c>
      <c r="D900" t="s">
        <v>178</v>
      </c>
      <c r="E900" t="s">
        <v>179</v>
      </c>
      <c r="F900">
        <f>ventas_libreria[[#This Row],[precio_eur]]/100</f>
        <v>12.72</v>
      </c>
      <c r="G900">
        <v>1272</v>
      </c>
      <c r="H900">
        <v>1</v>
      </c>
      <c r="I900">
        <f>ventas_libreria[[#This Row],[precio]]*ventas_libreria[[#This Row],[cantidad]]</f>
        <v>12.72</v>
      </c>
      <c r="J900">
        <v>72</v>
      </c>
      <c r="K900" t="s">
        <v>38</v>
      </c>
      <c r="L900" s="1">
        <v>45212</v>
      </c>
      <c r="M900" t="s">
        <v>21</v>
      </c>
      <c r="N900" t="s">
        <v>22</v>
      </c>
      <c r="O900" t="s">
        <v>67</v>
      </c>
      <c r="P900" t="s">
        <v>24</v>
      </c>
      <c r="Q900">
        <v>2</v>
      </c>
      <c r="R900">
        <f>IF(ventas_libreria[[#This Row],[valoracion_cliente]]="","Sin valoración",ventas_libreria[[#This Row],[valoracion_cliente]])</f>
        <v>2</v>
      </c>
    </row>
    <row r="901" spans="1:18" x14ac:dyDescent="0.25">
      <c r="A901" t="s">
        <v>1177</v>
      </c>
      <c r="B901" t="s">
        <v>95</v>
      </c>
      <c r="C901" t="s">
        <v>96</v>
      </c>
      <c r="D901" t="s">
        <v>97</v>
      </c>
      <c r="E901" t="s">
        <v>29</v>
      </c>
      <c r="F901">
        <f>ventas_libreria[[#This Row],[precio_eur]]/100</f>
        <v>16.11</v>
      </c>
      <c r="G901">
        <v>1611</v>
      </c>
      <c r="H901">
        <v>1</v>
      </c>
      <c r="I901">
        <f>ventas_libreria[[#This Row],[precio]]*ventas_libreria[[#This Row],[cantidad]]</f>
        <v>16.11</v>
      </c>
      <c r="J901">
        <v>43</v>
      </c>
      <c r="K901" t="s">
        <v>30</v>
      </c>
      <c r="L901" s="1">
        <v>45717</v>
      </c>
      <c r="M901" t="s">
        <v>43</v>
      </c>
      <c r="N901" t="s">
        <v>32</v>
      </c>
      <c r="O901" t="s">
        <v>33</v>
      </c>
      <c r="P901" t="s">
        <v>50</v>
      </c>
      <c r="R901" t="str">
        <f>IF(ventas_libreria[[#This Row],[valoracion_cliente]]="","Sin valoración",ventas_libreria[[#This Row],[valoracion_cliente]])</f>
        <v>Sin valoración</v>
      </c>
    </row>
    <row r="902" spans="1:18" x14ac:dyDescent="0.25">
      <c r="A902" t="s">
        <v>1178</v>
      </c>
      <c r="B902" t="s">
        <v>40</v>
      </c>
      <c r="C902" t="s">
        <v>41</v>
      </c>
      <c r="D902" t="s">
        <v>42</v>
      </c>
      <c r="E902" t="s">
        <v>19</v>
      </c>
      <c r="F902">
        <f>ventas_libreria[[#This Row],[precio_eur]]/100</f>
        <v>1.29</v>
      </c>
      <c r="G902">
        <v>129</v>
      </c>
      <c r="H902">
        <v>1</v>
      </c>
      <c r="I902">
        <f>ventas_libreria[[#This Row],[precio]]*ventas_libreria[[#This Row],[cantidad]]</f>
        <v>1.29</v>
      </c>
      <c r="J902">
        <v>53</v>
      </c>
      <c r="K902" t="s">
        <v>62</v>
      </c>
      <c r="L902" s="1">
        <v>45060</v>
      </c>
      <c r="M902" t="s">
        <v>43</v>
      </c>
      <c r="N902" t="s">
        <v>32</v>
      </c>
      <c r="O902" t="s">
        <v>33</v>
      </c>
      <c r="P902" t="s">
        <v>50</v>
      </c>
      <c r="Q902">
        <v>5</v>
      </c>
      <c r="R902">
        <f>IF(ventas_libreria[[#This Row],[valoracion_cliente]]="","Sin valoración",ventas_libreria[[#This Row],[valoracion_cliente]])</f>
        <v>5</v>
      </c>
    </row>
    <row r="903" spans="1:18" x14ac:dyDescent="0.25">
      <c r="A903" t="s">
        <v>1179</v>
      </c>
      <c r="B903" t="s">
        <v>602</v>
      </c>
      <c r="C903" t="s">
        <v>603</v>
      </c>
      <c r="D903" t="s">
        <v>217</v>
      </c>
      <c r="E903" t="s">
        <v>55</v>
      </c>
      <c r="F903">
        <f>ventas_libreria[[#This Row],[precio_eur]]/100</f>
        <v>1.79</v>
      </c>
      <c r="G903">
        <v>179</v>
      </c>
      <c r="H903">
        <v>1</v>
      </c>
      <c r="I903">
        <f>ventas_libreria[[#This Row],[precio]]*ventas_libreria[[#This Row],[cantidad]]</f>
        <v>1.79</v>
      </c>
      <c r="J903">
        <v>67</v>
      </c>
      <c r="K903" t="s">
        <v>62</v>
      </c>
      <c r="L903" s="1">
        <v>45520</v>
      </c>
      <c r="M903" t="s">
        <v>21</v>
      </c>
      <c r="N903" t="s">
        <v>32</v>
      </c>
      <c r="O903" t="s">
        <v>33</v>
      </c>
      <c r="P903" t="s">
        <v>34</v>
      </c>
      <c r="Q903">
        <v>4</v>
      </c>
      <c r="R903">
        <f>IF(ventas_libreria[[#This Row],[valoracion_cliente]]="","Sin valoración",ventas_libreria[[#This Row],[valoracion_cliente]])</f>
        <v>4</v>
      </c>
    </row>
    <row r="904" spans="1:18" x14ac:dyDescent="0.25">
      <c r="A904" t="s">
        <v>1180</v>
      </c>
      <c r="B904" t="s">
        <v>45</v>
      </c>
      <c r="C904" t="s">
        <v>46</v>
      </c>
      <c r="D904" t="s">
        <v>47</v>
      </c>
      <c r="E904" t="s">
        <v>48</v>
      </c>
      <c r="F904">
        <f>ventas_libreria[[#This Row],[precio_eur]]/100</f>
        <v>17.91</v>
      </c>
      <c r="G904">
        <v>1791</v>
      </c>
      <c r="H904">
        <v>1</v>
      </c>
      <c r="I904">
        <f>ventas_libreria[[#This Row],[precio]]*ventas_libreria[[#This Row],[cantidad]]</f>
        <v>17.91</v>
      </c>
      <c r="J904">
        <v>74</v>
      </c>
      <c r="K904" t="s">
        <v>62</v>
      </c>
      <c r="L904" s="1">
        <v>45010</v>
      </c>
      <c r="M904" t="s">
        <v>21</v>
      </c>
      <c r="N904" t="s">
        <v>32</v>
      </c>
      <c r="O904" t="s">
        <v>33</v>
      </c>
      <c r="P904" t="s">
        <v>56</v>
      </c>
      <c r="Q904">
        <v>5</v>
      </c>
      <c r="R904">
        <f>IF(ventas_libreria[[#This Row],[valoracion_cliente]]="","Sin valoración",ventas_libreria[[#This Row],[valoracion_cliente]])</f>
        <v>5</v>
      </c>
    </row>
    <row r="905" spans="1:18" x14ac:dyDescent="0.25">
      <c r="A905" t="s">
        <v>1181</v>
      </c>
      <c r="B905" t="s">
        <v>424</v>
      </c>
      <c r="C905" t="s">
        <v>425</v>
      </c>
      <c r="D905" t="s">
        <v>426</v>
      </c>
      <c r="E905" t="s">
        <v>55</v>
      </c>
      <c r="F905">
        <f>ventas_libreria[[#This Row],[precio_eur]]/100</f>
        <v>19.84</v>
      </c>
      <c r="G905">
        <v>1984</v>
      </c>
      <c r="H905">
        <v>1</v>
      </c>
      <c r="I905">
        <f>ventas_libreria[[#This Row],[precio]]*ventas_libreria[[#This Row],[cantidad]]</f>
        <v>19.84</v>
      </c>
      <c r="J905">
        <v>23</v>
      </c>
      <c r="K905" t="s">
        <v>30</v>
      </c>
      <c r="L905" s="1">
        <v>45801</v>
      </c>
      <c r="M905" t="s">
        <v>21</v>
      </c>
      <c r="N905" t="s">
        <v>22</v>
      </c>
      <c r="O905" t="s">
        <v>49</v>
      </c>
      <c r="P905" t="s">
        <v>56</v>
      </c>
      <c r="Q905">
        <v>5</v>
      </c>
      <c r="R905">
        <f>IF(ventas_libreria[[#This Row],[valoracion_cliente]]="","Sin valoración",ventas_libreria[[#This Row],[valoracion_cliente]])</f>
        <v>5</v>
      </c>
    </row>
    <row r="906" spans="1:18" x14ac:dyDescent="0.25">
      <c r="A906" t="s">
        <v>1182</v>
      </c>
      <c r="B906" t="s">
        <v>16</v>
      </c>
      <c r="C906" t="s">
        <v>17</v>
      </c>
      <c r="D906" t="s">
        <v>18</v>
      </c>
      <c r="E906" t="s">
        <v>19</v>
      </c>
      <c r="F906">
        <f>ventas_libreria[[#This Row],[precio_eur]]/100</f>
        <v>13.41</v>
      </c>
      <c r="G906">
        <v>1341</v>
      </c>
      <c r="H906">
        <v>1</v>
      </c>
      <c r="I906">
        <f>ventas_libreria[[#This Row],[precio]]*ventas_libreria[[#This Row],[cantidad]]</f>
        <v>13.41</v>
      </c>
      <c r="J906">
        <v>41</v>
      </c>
      <c r="K906" t="s">
        <v>62</v>
      </c>
      <c r="L906" s="1">
        <v>45481</v>
      </c>
      <c r="M906" t="s">
        <v>43</v>
      </c>
      <c r="N906" t="s">
        <v>32</v>
      </c>
      <c r="O906" t="s">
        <v>33</v>
      </c>
      <c r="P906" t="s">
        <v>34</v>
      </c>
      <c r="Q906">
        <v>5</v>
      </c>
      <c r="R906">
        <f>IF(ventas_libreria[[#This Row],[valoracion_cliente]]="","Sin valoración",ventas_libreria[[#This Row],[valoracion_cliente]])</f>
        <v>5</v>
      </c>
    </row>
    <row r="907" spans="1:18" x14ac:dyDescent="0.25">
      <c r="A907" t="s">
        <v>1183</v>
      </c>
      <c r="B907" t="s">
        <v>165</v>
      </c>
      <c r="C907" t="s">
        <v>166</v>
      </c>
      <c r="D907" t="s">
        <v>167</v>
      </c>
      <c r="E907" t="s">
        <v>61</v>
      </c>
      <c r="F907">
        <f>ventas_libreria[[#This Row],[precio_eur]]/100</f>
        <v>15.65</v>
      </c>
      <c r="G907">
        <v>1565</v>
      </c>
      <c r="H907">
        <v>1</v>
      </c>
      <c r="I907">
        <f>ventas_libreria[[#This Row],[precio]]*ventas_libreria[[#This Row],[cantidad]]</f>
        <v>15.65</v>
      </c>
      <c r="J907">
        <v>66</v>
      </c>
      <c r="K907" t="s">
        <v>62</v>
      </c>
      <c r="L907" s="1">
        <v>45385</v>
      </c>
      <c r="M907" t="s">
        <v>31</v>
      </c>
      <c r="N907" t="s">
        <v>32</v>
      </c>
      <c r="O907" t="s">
        <v>33</v>
      </c>
      <c r="P907" t="s">
        <v>84</v>
      </c>
      <c r="Q907">
        <v>3</v>
      </c>
      <c r="R907">
        <f>IF(ventas_libreria[[#This Row],[valoracion_cliente]]="","Sin valoración",ventas_libreria[[#This Row],[valoracion_cliente]])</f>
        <v>3</v>
      </c>
    </row>
    <row r="908" spans="1:18" x14ac:dyDescent="0.25">
      <c r="A908" t="s">
        <v>1184</v>
      </c>
      <c r="B908" t="s">
        <v>197</v>
      </c>
      <c r="C908" t="s">
        <v>198</v>
      </c>
      <c r="D908" t="s">
        <v>199</v>
      </c>
      <c r="E908" t="s">
        <v>55</v>
      </c>
      <c r="F908">
        <f>ventas_libreria[[#This Row],[precio_eur]]/100</f>
        <v>19.25</v>
      </c>
      <c r="G908">
        <v>1925</v>
      </c>
      <c r="H908">
        <v>1</v>
      </c>
      <c r="I908">
        <f>ventas_libreria[[#This Row],[precio]]*ventas_libreria[[#This Row],[cantidad]]</f>
        <v>19.25</v>
      </c>
      <c r="J908">
        <v>74</v>
      </c>
      <c r="K908" t="s">
        <v>20</v>
      </c>
      <c r="L908" s="1">
        <v>45281</v>
      </c>
      <c r="M908" t="s">
        <v>31</v>
      </c>
      <c r="N908" t="s">
        <v>32</v>
      </c>
      <c r="O908" t="s">
        <v>33</v>
      </c>
      <c r="P908" t="s">
        <v>34</v>
      </c>
      <c r="R908" t="str">
        <f>IF(ventas_libreria[[#This Row],[valoracion_cliente]]="","Sin valoración",ventas_libreria[[#This Row],[valoracion_cliente]])</f>
        <v>Sin valoración</v>
      </c>
    </row>
    <row r="909" spans="1:18" x14ac:dyDescent="0.25">
      <c r="A909" t="s">
        <v>1185</v>
      </c>
      <c r="B909" t="s">
        <v>240</v>
      </c>
      <c r="C909" t="s">
        <v>241</v>
      </c>
      <c r="D909" t="s">
        <v>54</v>
      </c>
      <c r="E909" t="s">
        <v>172</v>
      </c>
      <c r="F909">
        <f>ventas_libreria[[#This Row],[precio_eur]]/100</f>
        <v>1.49</v>
      </c>
      <c r="G909">
        <v>149</v>
      </c>
      <c r="H909">
        <v>1</v>
      </c>
      <c r="I909">
        <f>ventas_libreria[[#This Row],[precio]]*ventas_libreria[[#This Row],[cantidad]]</f>
        <v>1.49</v>
      </c>
      <c r="J909">
        <v>57</v>
      </c>
      <c r="K909" t="s">
        <v>20</v>
      </c>
      <c r="L909" s="1">
        <v>45640</v>
      </c>
      <c r="M909" t="s">
        <v>43</v>
      </c>
      <c r="N909" t="s">
        <v>32</v>
      </c>
      <c r="O909" t="s">
        <v>33</v>
      </c>
      <c r="P909" t="s">
        <v>56</v>
      </c>
      <c r="Q909">
        <v>5</v>
      </c>
      <c r="R909">
        <f>IF(ventas_libreria[[#This Row],[valoracion_cliente]]="","Sin valoración",ventas_libreria[[#This Row],[valoracion_cliente]])</f>
        <v>5</v>
      </c>
    </row>
    <row r="910" spans="1:18" x14ac:dyDescent="0.25">
      <c r="A910" t="s">
        <v>1186</v>
      </c>
      <c r="B910" t="s">
        <v>204</v>
      </c>
      <c r="C910" t="s">
        <v>205</v>
      </c>
      <c r="D910" t="s">
        <v>206</v>
      </c>
      <c r="E910" t="s">
        <v>116</v>
      </c>
      <c r="F910">
        <f>ventas_libreria[[#This Row],[precio_eur]]/100</f>
        <v>10.32</v>
      </c>
      <c r="G910">
        <v>1032</v>
      </c>
      <c r="H910">
        <v>1</v>
      </c>
      <c r="I910">
        <f>ventas_libreria[[#This Row],[precio]]*ventas_libreria[[#This Row],[cantidad]]</f>
        <v>10.32</v>
      </c>
      <c r="J910">
        <v>52</v>
      </c>
      <c r="K910" t="s">
        <v>20</v>
      </c>
      <c r="L910" s="1">
        <v>45829</v>
      </c>
      <c r="M910" t="s">
        <v>43</v>
      </c>
      <c r="N910" t="s">
        <v>32</v>
      </c>
      <c r="O910" t="s">
        <v>33</v>
      </c>
      <c r="P910" t="s">
        <v>56</v>
      </c>
      <c r="Q910">
        <v>5</v>
      </c>
      <c r="R910">
        <f>IF(ventas_libreria[[#This Row],[valoracion_cliente]]="","Sin valoración",ventas_libreria[[#This Row],[valoracion_cliente]])</f>
        <v>5</v>
      </c>
    </row>
    <row r="911" spans="1:18" x14ac:dyDescent="0.25">
      <c r="A911" t="s">
        <v>1187</v>
      </c>
      <c r="B911" t="s">
        <v>384</v>
      </c>
      <c r="C911" t="s">
        <v>385</v>
      </c>
      <c r="D911" t="s">
        <v>158</v>
      </c>
      <c r="E911" t="s">
        <v>149</v>
      </c>
      <c r="F911">
        <f>ventas_libreria[[#This Row],[precio_eur]]/100</f>
        <v>18.61</v>
      </c>
      <c r="G911">
        <v>1861</v>
      </c>
      <c r="H911">
        <v>2</v>
      </c>
      <c r="I911">
        <f>ventas_libreria[[#This Row],[precio]]*ventas_libreria[[#This Row],[cantidad]]</f>
        <v>37.22</v>
      </c>
      <c r="J911">
        <v>55</v>
      </c>
      <c r="K911" t="s">
        <v>62</v>
      </c>
      <c r="L911" s="1">
        <v>45879</v>
      </c>
      <c r="M911" t="s">
        <v>31</v>
      </c>
      <c r="N911" t="s">
        <v>22</v>
      </c>
      <c r="O911" t="s">
        <v>67</v>
      </c>
      <c r="P911" t="s">
        <v>34</v>
      </c>
      <c r="Q911">
        <v>5</v>
      </c>
      <c r="R911">
        <f>IF(ventas_libreria[[#This Row],[valoracion_cliente]]="","Sin valoración",ventas_libreria[[#This Row],[valoracion_cliente]])</f>
        <v>5</v>
      </c>
    </row>
    <row r="912" spans="1:18" x14ac:dyDescent="0.25">
      <c r="A912" t="s">
        <v>1188</v>
      </c>
      <c r="B912" t="s">
        <v>265</v>
      </c>
      <c r="C912" t="s">
        <v>266</v>
      </c>
      <c r="D912" t="s">
        <v>162</v>
      </c>
      <c r="E912" t="s">
        <v>29</v>
      </c>
      <c r="F912">
        <f>ventas_libreria[[#This Row],[precio_eur]]/100</f>
        <v>1.69</v>
      </c>
      <c r="G912">
        <v>169</v>
      </c>
      <c r="H912">
        <v>3</v>
      </c>
      <c r="I912">
        <f>ventas_libreria[[#This Row],[precio]]*ventas_libreria[[#This Row],[cantidad]]</f>
        <v>5.07</v>
      </c>
      <c r="J912">
        <v>31</v>
      </c>
      <c r="K912" t="s">
        <v>38</v>
      </c>
      <c r="L912" s="1">
        <v>45182</v>
      </c>
      <c r="M912" t="s">
        <v>21</v>
      </c>
      <c r="N912" t="s">
        <v>32</v>
      </c>
      <c r="O912" t="s">
        <v>33</v>
      </c>
      <c r="P912" t="s">
        <v>50</v>
      </c>
      <c r="Q912">
        <v>5</v>
      </c>
      <c r="R912">
        <f>IF(ventas_libreria[[#This Row],[valoracion_cliente]]="","Sin valoración",ventas_libreria[[#This Row],[valoracion_cliente]])</f>
        <v>5</v>
      </c>
    </row>
    <row r="913" spans="1:18" x14ac:dyDescent="0.25">
      <c r="A913" t="s">
        <v>1189</v>
      </c>
      <c r="B913" t="s">
        <v>466</v>
      </c>
      <c r="C913" t="s">
        <v>467</v>
      </c>
      <c r="D913" t="s">
        <v>468</v>
      </c>
      <c r="E913" t="s">
        <v>154</v>
      </c>
      <c r="F913">
        <f>ventas_libreria[[#This Row],[precio_eur]]/100</f>
        <v>19.84</v>
      </c>
      <c r="G913">
        <v>1984</v>
      </c>
      <c r="H913">
        <v>2</v>
      </c>
      <c r="I913">
        <f>ventas_libreria[[#This Row],[precio]]*ventas_libreria[[#This Row],[cantidad]]</f>
        <v>39.68</v>
      </c>
      <c r="J913">
        <v>53</v>
      </c>
      <c r="K913" t="s">
        <v>20</v>
      </c>
      <c r="L913" s="1">
        <v>45051</v>
      </c>
      <c r="M913" t="s">
        <v>31</v>
      </c>
      <c r="N913" t="s">
        <v>22</v>
      </c>
      <c r="O913" t="s">
        <v>132</v>
      </c>
      <c r="P913" t="s">
        <v>84</v>
      </c>
      <c r="Q913">
        <v>5</v>
      </c>
      <c r="R913">
        <f>IF(ventas_libreria[[#This Row],[valoracion_cliente]]="","Sin valoración",ventas_libreria[[#This Row],[valoracion_cliente]])</f>
        <v>5</v>
      </c>
    </row>
    <row r="914" spans="1:18" x14ac:dyDescent="0.25">
      <c r="A914" t="s">
        <v>1190</v>
      </c>
      <c r="B914" t="s">
        <v>16</v>
      </c>
      <c r="C914" t="s">
        <v>17</v>
      </c>
      <c r="D914" t="s">
        <v>18</v>
      </c>
      <c r="E914" t="s">
        <v>19</v>
      </c>
      <c r="F914">
        <f>ventas_libreria[[#This Row],[precio_eur]]/100</f>
        <v>11.92</v>
      </c>
      <c r="G914">
        <v>1192</v>
      </c>
      <c r="H914">
        <v>1</v>
      </c>
      <c r="I914">
        <f>ventas_libreria[[#This Row],[precio]]*ventas_libreria[[#This Row],[cantidad]]</f>
        <v>11.92</v>
      </c>
      <c r="J914">
        <v>51</v>
      </c>
      <c r="K914" t="s">
        <v>38</v>
      </c>
      <c r="L914" s="1">
        <v>45567</v>
      </c>
      <c r="M914" t="s">
        <v>31</v>
      </c>
      <c r="N914" t="s">
        <v>32</v>
      </c>
      <c r="O914" t="s">
        <v>33</v>
      </c>
      <c r="P914" t="s">
        <v>50</v>
      </c>
      <c r="Q914">
        <v>5</v>
      </c>
      <c r="R914">
        <f>IF(ventas_libreria[[#This Row],[valoracion_cliente]]="","Sin valoración",ventas_libreria[[#This Row],[valoracion_cliente]])</f>
        <v>5</v>
      </c>
    </row>
    <row r="915" spans="1:18" x14ac:dyDescent="0.25">
      <c r="A915" t="s">
        <v>1191</v>
      </c>
      <c r="B915" t="s">
        <v>348</v>
      </c>
      <c r="C915" t="s">
        <v>349</v>
      </c>
      <c r="D915" t="s">
        <v>350</v>
      </c>
      <c r="E915" t="s">
        <v>116</v>
      </c>
      <c r="F915">
        <f>ventas_libreria[[#This Row],[precio_eur]]/100</f>
        <v>20.89</v>
      </c>
      <c r="G915">
        <v>2089</v>
      </c>
      <c r="H915">
        <v>1</v>
      </c>
      <c r="I915">
        <f>ventas_libreria[[#This Row],[precio]]*ventas_libreria[[#This Row],[cantidad]]</f>
        <v>20.89</v>
      </c>
      <c r="J915">
        <v>56</v>
      </c>
      <c r="K915" t="s">
        <v>62</v>
      </c>
      <c r="L915" s="1">
        <v>45113</v>
      </c>
      <c r="M915" t="s">
        <v>31</v>
      </c>
      <c r="N915" t="s">
        <v>32</v>
      </c>
      <c r="O915" t="s">
        <v>33</v>
      </c>
      <c r="P915" t="s">
        <v>34</v>
      </c>
      <c r="Q915">
        <v>5</v>
      </c>
      <c r="R915">
        <f>IF(ventas_libreria[[#This Row],[valoracion_cliente]]="","Sin valoración",ventas_libreria[[#This Row],[valoracion_cliente]])</f>
        <v>5</v>
      </c>
    </row>
    <row r="916" spans="1:18" x14ac:dyDescent="0.25">
      <c r="A916" t="s">
        <v>1192</v>
      </c>
      <c r="B916" t="s">
        <v>508</v>
      </c>
      <c r="C916" t="s">
        <v>509</v>
      </c>
      <c r="D916" t="s">
        <v>199</v>
      </c>
      <c r="E916" t="s">
        <v>55</v>
      </c>
      <c r="F916">
        <f>ventas_libreria[[#This Row],[precio_eur]]/100</f>
        <v>20.79</v>
      </c>
      <c r="G916">
        <v>2079</v>
      </c>
      <c r="H916">
        <v>2</v>
      </c>
      <c r="I916">
        <f>ventas_libreria[[#This Row],[precio]]*ventas_libreria[[#This Row],[cantidad]]</f>
        <v>41.58</v>
      </c>
      <c r="J916">
        <v>75</v>
      </c>
      <c r="K916" t="s">
        <v>38</v>
      </c>
      <c r="L916" s="1">
        <v>45372</v>
      </c>
      <c r="M916" t="s">
        <v>21</v>
      </c>
      <c r="N916" t="s">
        <v>32</v>
      </c>
      <c r="O916" t="s">
        <v>33</v>
      </c>
      <c r="P916" t="s">
        <v>84</v>
      </c>
      <c r="Q916">
        <v>5</v>
      </c>
      <c r="R916">
        <f>IF(ventas_libreria[[#This Row],[valoracion_cliente]]="","Sin valoración",ventas_libreria[[#This Row],[valoracion_cliente]])</f>
        <v>5</v>
      </c>
    </row>
    <row r="917" spans="1:18" x14ac:dyDescent="0.25">
      <c r="A917" t="s">
        <v>1193</v>
      </c>
      <c r="B917" t="s">
        <v>181</v>
      </c>
      <c r="C917" t="s">
        <v>182</v>
      </c>
      <c r="D917" t="s">
        <v>183</v>
      </c>
      <c r="E917" t="s">
        <v>116</v>
      </c>
      <c r="F917">
        <f>ventas_libreria[[#This Row],[precio_eur]]/100</f>
        <v>12.51</v>
      </c>
      <c r="G917">
        <v>1251</v>
      </c>
      <c r="H917">
        <v>1</v>
      </c>
      <c r="I917">
        <f>ventas_libreria[[#This Row],[precio]]*ventas_libreria[[#This Row],[cantidad]]</f>
        <v>12.51</v>
      </c>
      <c r="J917">
        <v>47</v>
      </c>
      <c r="K917" t="s">
        <v>62</v>
      </c>
      <c r="L917" s="1">
        <v>45056</v>
      </c>
      <c r="M917" t="s">
        <v>43</v>
      </c>
      <c r="N917" t="s">
        <v>32</v>
      </c>
      <c r="O917" t="s">
        <v>33</v>
      </c>
      <c r="P917" t="s">
        <v>50</v>
      </c>
      <c r="Q917">
        <v>5</v>
      </c>
      <c r="R917">
        <f>IF(ventas_libreria[[#This Row],[valoracion_cliente]]="","Sin valoración",ventas_libreria[[#This Row],[valoracion_cliente]])</f>
        <v>5</v>
      </c>
    </row>
    <row r="918" spans="1:18" x14ac:dyDescent="0.25">
      <c r="A918" t="s">
        <v>1194</v>
      </c>
      <c r="B918" t="s">
        <v>254</v>
      </c>
      <c r="C918" t="s">
        <v>255</v>
      </c>
      <c r="D918" t="s">
        <v>139</v>
      </c>
      <c r="E918" t="s">
        <v>116</v>
      </c>
      <c r="F918">
        <f>ventas_libreria[[#This Row],[precio_eur]]/100</f>
        <v>13.41</v>
      </c>
      <c r="G918">
        <v>1341</v>
      </c>
      <c r="H918">
        <v>1</v>
      </c>
      <c r="I918">
        <f>ventas_libreria[[#This Row],[precio]]*ventas_libreria[[#This Row],[cantidad]]</f>
        <v>13.41</v>
      </c>
      <c r="J918">
        <v>41</v>
      </c>
      <c r="K918" t="s">
        <v>20</v>
      </c>
      <c r="L918" s="1">
        <v>45331</v>
      </c>
      <c r="M918" t="s">
        <v>43</v>
      </c>
      <c r="N918" t="s">
        <v>32</v>
      </c>
      <c r="O918" t="s">
        <v>33</v>
      </c>
      <c r="P918" t="s">
        <v>34</v>
      </c>
      <c r="Q918">
        <v>5</v>
      </c>
      <c r="R918">
        <f>IF(ventas_libreria[[#This Row],[valoracion_cliente]]="","Sin valoración",ventas_libreria[[#This Row],[valoracion_cliente]])</f>
        <v>5</v>
      </c>
    </row>
    <row r="919" spans="1:18" x14ac:dyDescent="0.25">
      <c r="A919" t="s">
        <v>1195</v>
      </c>
      <c r="B919" t="s">
        <v>86</v>
      </c>
      <c r="C919" t="s">
        <v>87</v>
      </c>
      <c r="D919" t="s">
        <v>88</v>
      </c>
      <c r="E919" t="s">
        <v>77</v>
      </c>
      <c r="F919">
        <f>ventas_libreria[[#This Row],[precio_eur]]/100</f>
        <v>10.119999999999999</v>
      </c>
      <c r="G919">
        <v>1012</v>
      </c>
      <c r="H919">
        <v>1</v>
      </c>
      <c r="I919">
        <f>ventas_libreria[[#This Row],[precio]]*ventas_libreria[[#This Row],[cantidad]]</f>
        <v>10.119999999999999</v>
      </c>
      <c r="J919">
        <v>9</v>
      </c>
      <c r="K919" t="s">
        <v>20</v>
      </c>
      <c r="L919" s="1">
        <v>45098</v>
      </c>
      <c r="M919" t="s">
        <v>21</v>
      </c>
      <c r="N919" t="s">
        <v>32</v>
      </c>
      <c r="O919" t="s">
        <v>33</v>
      </c>
      <c r="P919" t="s">
        <v>24</v>
      </c>
      <c r="Q919">
        <v>5</v>
      </c>
      <c r="R919">
        <f>IF(ventas_libreria[[#This Row],[valoracion_cliente]]="","Sin valoración",ventas_libreria[[#This Row],[valoracion_cliente]])</f>
        <v>5</v>
      </c>
    </row>
    <row r="920" spans="1:18" x14ac:dyDescent="0.25">
      <c r="A920" t="s">
        <v>1196</v>
      </c>
      <c r="B920" t="s">
        <v>406</v>
      </c>
      <c r="C920" t="s">
        <v>407</v>
      </c>
      <c r="D920" t="s">
        <v>88</v>
      </c>
      <c r="E920" t="s">
        <v>77</v>
      </c>
      <c r="F920">
        <f>ventas_libreria[[#This Row],[precio_eur]]/100</f>
        <v>10.71</v>
      </c>
      <c r="G920">
        <v>1071</v>
      </c>
      <c r="H920">
        <v>2</v>
      </c>
      <c r="I920">
        <f>ventas_libreria[[#This Row],[precio]]*ventas_libreria[[#This Row],[cantidad]]</f>
        <v>21.42</v>
      </c>
      <c r="J920">
        <v>5</v>
      </c>
      <c r="K920" t="s">
        <v>62</v>
      </c>
      <c r="L920" s="1">
        <v>44993</v>
      </c>
      <c r="M920" t="s">
        <v>21</v>
      </c>
      <c r="N920" t="s">
        <v>32</v>
      </c>
      <c r="O920" t="s">
        <v>33</v>
      </c>
      <c r="P920" t="s">
        <v>34</v>
      </c>
      <c r="Q920">
        <v>5</v>
      </c>
      <c r="R920">
        <f>IF(ventas_libreria[[#This Row],[valoracion_cliente]]="","Sin valoración",ventas_libreria[[#This Row],[valoracion_cliente]])</f>
        <v>5</v>
      </c>
    </row>
    <row r="921" spans="1:18" x14ac:dyDescent="0.25">
      <c r="A921" t="s">
        <v>1197</v>
      </c>
      <c r="B921" t="s">
        <v>74</v>
      </c>
      <c r="C921" t="s">
        <v>75</v>
      </c>
      <c r="D921" t="s">
        <v>76</v>
      </c>
      <c r="E921" t="s">
        <v>77</v>
      </c>
      <c r="F921">
        <f>ventas_libreria[[#This Row],[precio_eur]]/100</f>
        <v>1.59</v>
      </c>
      <c r="G921">
        <v>159</v>
      </c>
      <c r="H921">
        <v>1</v>
      </c>
      <c r="I921">
        <f>ventas_libreria[[#This Row],[precio]]*ventas_libreria[[#This Row],[cantidad]]</f>
        <v>1.59</v>
      </c>
      <c r="J921">
        <v>5</v>
      </c>
      <c r="K921" t="s">
        <v>38</v>
      </c>
      <c r="L921" s="1">
        <v>45565</v>
      </c>
      <c r="M921" t="s">
        <v>43</v>
      </c>
      <c r="N921" t="s">
        <v>32</v>
      </c>
      <c r="O921" t="s">
        <v>33</v>
      </c>
      <c r="P921" t="s">
        <v>56</v>
      </c>
      <c r="Q921">
        <v>3</v>
      </c>
      <c r="R921">
        <f>IF(ventas_libreria[[#This Row],[valoracion_cliente]]="","Sin valoración",ventas_libreria[[#This Row],[valoracion_cliente]])</f>
        <v>3</v>
      </c>
    </row>
    <row r="922" spans="1:18" x14ac:dyDescent="0.25">
      <c r="A922" t="s">
        <v>1198</v>
      </c>
      <c r="B922" t="s">
        <v>64</v>
      </c>
      <c r="C922" t="s">
        <v>65</v>
      </c>
      <c r="D922" t="s">
        <v>66</v>
      </c>
      <c r="E922" t="s">
        <v>29</v>
      </c>
      <c r="F922">
        <f>ventas_libreria[[#This Row],[precio_eur]]/100</f>
        <v>1.32</v>
      </c>
      <c r="G922">
        <v>132</v>
      </c>
      <c r="H922">
        <v>2</v>
      </c>
      <c r="I922">
        <f>ventas_libreria[[#This Row],[precio]]*ventas_libreria[[#This Row],[cantidad]]</f>
        <v>2.64</v>
      </c>
      <c r="J922">
        <v>64</v>
      </c>
      <c r="K922" t="s">
        <v>62</v>
      </c>
      <c r="L922" s="1">
        <v>45496</v>
      </c>
      <c r="M922" t="s">
        <v>43</v>
      </c>
      <c r="N922" t="s">
        <v>32</v>
      </c>
      <c r="O922" t="s">
        <v>33</v>
      </c>
      <c r="P922" t="s">
        <v>34</v>
      </c>
      <c r="Q922">
        <v>4</v>
      </c>
      <c r="R922">
        <f>IF(ventas_libreria[[#This Row],[valoracion_cliente]]="","Sin valoración",ventas_libreria[[#This Row],[valoracion_cliente]])</f>
        <v>4</v>
      </c>
    </row>
    <row r="923" spans="1:18" x14ac:dyDescent="0.25">
      <c r="A923" t="s">
        <v>1199</v>
      </c>
      <c r="B923" t="s">
        <v>100</v>
      </c>
      <c r="C923" t="s">
        <v>101</v>
      </c>
      <c r="D923" t="s">
        <v>102</v>
      </c>
      <c r="E923" t="s">
        <v>61</v>
      </c>
      <c r="F923">
        <f>ventas_libreria[[#This Row],[precio_eur]]/100</f>
        <v>10.119999999999999</v>
      </c>
      <c r="G923">
        <v>1012</v>
      </c>
      <c r="H923">
        <v>1</v>
      </c>
      <c r="I923">
        <f>ventas_libreria[[#This Row],[precio]]*ventas_libreria[[#This Row],[cantidad]]</f>
        <v>10.119999999999999</v>
      </c>
      <c r="J923">
        <v>34</v>
      </c>
      <c r="K923" t="s">
        <v>62</v>
      </c>
      <c r="L923" s="1">
        <v>45783</v>
      </c>
      <c r="M923" t="s">
        <v>43</v>
      </c>
      <c r="N923" t="s">
        <v>32</v>
      </c>
      <c r="O923" t="s">
        <v>33</v>
      </c>
      <c r="P923" t="s">
        <v>34</v>
      </c>
      <c r="Q923">
        <v>4</v>
      </c>
      <c r="R923">
        <f>IF(ventas_libreria[[#This Row],[valoracion_cliente]]="","Sin valoración",ventas_libreria[[#This Row],[valoracion_cliente]])</f>
        <v>4</v>
      </c>
    </row>
    <row r="924" spans="1:18" x14ac:dyDescent="0.25">
      <c r="A924" t="s">
        <v>1200</v>
      </c>
      <c r="B924" t="s">
        <v>236</v>
      </c>
      <c r="C924" t="s">
        <v>237</v>
      </c>
      <c r="D924" t="s">
        <v>238</v>
      </c>
      <c r="E924" t="s">
        <v>29</v>
      </c>
      <c r="F924">
        <f>ventas_libreria[[#This Row],[precio_eur]]/100</f>
        <v>14.32</v>
      </c>
      <c r="G924">
        <v>1432</v>
      </c>
      <c r="H924">
        <v>1</v>
      </c>
      <c r="I924">
        <f>ventas_libreria[[#This Row],[precio]]*ventas_libreria[[#This Row],[cantidad]]</f>
        <v>14.32</v>
      </c>
      <c r="J924">
        <v>43</v>
      </c>
      <c r="K924" t="s">
        <v>30</v>
      </c>
      <c r="L924" s="1">
        <v>45930</v>
      </c>
      <c r="M924" t="s">
        <v>43</v>
      </c>
      <c r="N924" t="s">
        <v>32</v>
      </c>
      <c r="O924" t="s">
        <v>33</v>
      </c>
      <c r="P924" t="s">
        <v>24</v>
      </c>
      <c r="Q924">
        <v>5</v>
      </c>
      <c r="R924">
        <f>IF(ventas_libreria[[#This Row],[valoracion_cliente]]="","Sin valoración",ventas_libreria[[#This Row],[valoracion_cliente]])</f>
        <v>5</v>
      </c>
    </row>
    <row r="925" spans="1:18" x14ac:dyDescent="0.25">
      <c r="A925" t="s">
        <v>1201</v>
      </c>
      <c r="B925" t="s">
        <v>125</v>
      </c>
      <c r="C925" t="s">
        <v>126</v>
      </c>
      <c r="D925" t="s">
        <v>127</v>
      </c>
      <c r="E925" t="s">
        <v>29</v>
      </c>
      <c r="F925">
        <f>ventas_libreria[[#This Row],[precio_eur]]/100</f>
        <v>14.32</v>
      </c>
      <c r="G925">
        <v>1432</v>
      </c>
      <c r="H925">
        <v>1</v>
      </c>
      <c r="I925">
        <f>ventas_libreria[[#This Row],[precio]]*ventas_libreria[[#This Row],[cantidad]]</f>
        <v>14.32</v>
      </c>
      <c r="J925">
        <v>23</v>
      </c>
      <c r="K925" t="s">
        <v>20</v>
      </c>
      <c r="L925" s="1">
        <v>45795</v>
      </c>
      <c r="M925" t="s">
        <v>31</v>
      </c>
      <c r="N925" t="s">
        <v>32</v>
      </c>
      <c r="O925" t="s">
        <v>33</v>
      </c>
      <c r="P925" t="s">
        <v>24</v>
      </c>
      <c r="Q925">
        <v>4</v>
      </c>
      <c r="R925">
        <f>IF(ventas_libreria[[#This Row],[valoracion_cliente]]="","Sin valoración",ventas_libreria[[#This Row],[valoracion_cliente]])</f>
        <v>4</v>
      </c>
    </row>
    <row r="926" spans="1:18" x14ac:dyDescent="0.25">
      <c r="A926" t="s">
        <v>1202</v>
      </c>
      <c r="B926" t="s">
        <v>228</v>
      </c>
      <c r="C926" t="s">
        <v>229</v>
      </c>
      <c r="D926" t="s">
        <v>206</v>
      </c>
      <c r="E926" t="s">
        <v>116</v>
      </c>
      <c r="F926">
        <f>ventas_libreria[[#This Row],[precio_eur]]/100</f>
        <v>1.89</v>
      </c>
      <c r="G926">
        <v>189</v>
      </c>
      <c r="H926">
        <v>1</v>
      </c>
      <c r="I926">
        <f>ventas_libreria[[#This Row],[precio]]*ventas_libreria[[#This Row],[cantidad]]</f>
        <v>1.89</v>
      </c>
      <c r="J926">
        <v>29</v>
      </c>
      <c r="K926" t="s">
        <v>62</v>
      </c>
      <c r="L926" s="1">
        <v>45620</v>
      </c>
      <c r="M926" t="s">
        <v>43</v>
      </c>
      <c r="N926" t="s">
        <v>32</v>
      </c>
      <c r="O926" t="s">
        <v>33</v>
      </c>
      <c r="P926" t="s">
        <v>24</v>
      </c>
      <c r="R926" t="str">
        <f>IF(ventas_libreria[[#This Row],[valoracion_cliente]]="","Sin valoración",ventas_libreria[[#This Row],[valoracion_cliente]])</f>
        <v>Sin valoración</v>
      </c>
    </row>
    <row r="927" spans="1:18" x14ac:dyDescent="0.25">
      <c r="A927" t="s">
        <v>1203</v>
      </c>
      <c r="B927" t="s">
        <v>208</v>
      </c>
      <c r="C927" t="s">
        <v>209</v>
      </c>
      <c r="D927" t="s">
        <v>106</v>
      </c>
      <c r="E927" t="s">
        <v>107</v>
      </c>
      <c r="F927">
        <f>ventas_libreria[[#This Row],[precio_eur]]/100</f>
        <v>1.49</v>
      </c>
      <c r="G927">
        <v>149</v>
      </c>
      <c r="H927">
        <v>2</v>
      </c>
      <c r="I927">
        <f>ventas_libreria[[#This Row],[precio]]*ventas_libreria[[#This Row],[cantidad]]</f>
        <v>2.98</v>
      </c>
      <c r="J927">
        <v>17</v>
      </c>
      <c r="K927" t="s">
        <v>38</v>
      </c>
      <c r="L927" s="1">
        <v>45589</v>
      </c>
      <c r="M927" t="s">
        <v>21</v>
      </c>
      <c r="N927" t="s">
        <v>22</v>
      </c>
      <c r="O927" t="s">
        <v>49</v>
      </c>
      <c r="P927" t="s">
        <v>84</v>
      </c>
      <c r="Q927">
        <v>4</v>
      </c>
      <c r="R927">
        <f>IF(ventas_libreria[[#This Row],[valoracion_cliente]]="","Sin valoración",ventas_libreria[[#This Row],[valoracion_cliente]])</f>
        <v>4</v>
      </c>
    </row>
    <row r="928" spans="1:18" x14ac:dyDescent="0.25">
      <c r="A928" t="s">
        <v>1204</v>
      </c>
      <c r="B928" t="s">
        <v>362</v>
      </c>
      <c r="C928" t="s">
        <v>363</v>
      </c>
      <c r="D928" t="s">
        <v>249</v>
      </c>
      <c r="E928" t="s">
        <v>172</v>
      </c>
      <c r="F928">
        <f>ventas_libreria[[#This Row],[precio_eur]]/100</f>
        <v>16.72</v>
      </c>
      <c r="G928">
        <v>1672</v>
      </c>
      <c r="H928">
        <v>3</v>
      </c>
      <c r="I928">
        <f>ventas_libreria[[#This Row],[precio]]*ventas_libreria[[#This Row],[cantidad]]</f>
        <v>50.16</v>
      </c>
      <c r="J928">
        <v>54</v>
      </c>
      <c r="K928" t="s">
        <v>38</v>
      </c>
      <c r="L928" s="1">
        <v>45761</v>
      </c>
      <c r="M928" t="s">
        <v>21</v>
      </c>
      <c r="N928" t="s">
        <v>32</v>
      </c>
      <c r="O928" t="s">
        <v>33</v>
      </c>
      <c r="P928" t="s">
        <v>34</v>
      </c>
      <c r="Q928">
        <v>5</v>
      </c>
      <c r="R928">
        <f>IF(ventas_libreria[[#This Row],[valoracion_cliente]]="","Sin valoración",ventas_libreria[[#This Row],[valoracion_cliente]])</f>
        <v>5</v>
      </c>
    </row>
    <row r="929" spans="1:18" x14ac:dyDescent="0.25">
      <c r="A929" t="s">
        <v>1205</v>
      </c>
      <c r="B929" t="s">
        <v>169</v>
      </c>
      <c r="C929" t="s">
        <v>170</v>
      </c>
      <c r="D929" t="s">
        <v>171</v>
      </c>
      <c r="E929" t="s">
        <v>172</v>
      </c>
      <c r="F929">
        <f>ventas_libreria[[#This Row],[precio_eur]]/100</f>
        <v>2.29</v>
      </c>
      <c r="G929">
        <v>229</v>
      </c>
      <c r="H929">
        <v>1</v>
      </c>
      <c r="I929">
        <f>ventas_libreria[[#This Row],[precio]]*ventas_libreria[[#This Row],[cantidad]]</f>
        <v>2.29</v>
      </c>
      <c r="J929">
        <v>31</v>
      </c>
      <c r="K929" t="s">
        <v>38</v>
      </c>
      <c r="L929" s="1">
        <v>45621</v>
      </c>
      <c r="M929" t="s">
        <v>31</v>
      </c>
      <c r="N929" t="s">
        <v>32</v>
      </c>
      <c r="O929" t="s">
        <v>33</v>
      </c>
      <c r="P929" t="s">
        <v>34</v>
      </c>
      <c r="Q929">
        <v>3</v>
      </c>
      <c r="R929">
        <f>IF(ventas_libreria[[#This Row],[valoracion_cliente]]="","Sin valoración",ventas_libreria[[#This Row],[valoracion_cliente]])</f>
        <v>3</v>
      </c>
    </row>
    <row r="930" spans="1:18" x14ac:dyDescent="0.25">
      <c r="A930" t="s">
        <v>1206</v>
      </c>
      <c r="B930" t="s">
        <v>301</v>
      </c>
      <c r="C930" t="s">
        <v>302</v>
      </c>
      <c r="D930" t="s">
        <v>245</v>
      </c>
      <c r="E930" t="s">
        <v>48</v>
      </c>
      <c r="F930">
        <f>ventas_libreria[[#This Row],[precio_eur]]/100</f>
        <v>2.4900000000000002</v>
      </c>
      <c r="G930">
        <v>249</v>
      </c>
      <c r="H930">
        <v>1</v>
      </c>
      <c r="I930">
        <f>ventas_libreria[[#This Row],[precio]]*ventas_libreria[[#This Row],[cantidad]]</f>
        <v>2.4900000000000002</v>
      </c>
      <c r="J930">
        <v>25</v>
      </c>
      <c r="K930" t="s">
        <v>30</v>
      </c>
      <c r="L930" s="1">
        <v>45009</v>
      </c>
      <c r="M930" t="s">
        <v>43</v>
      </c>
      <c r="N930" t="s">
        <v>32</v>
      </c>
      <c r="O930" t="s">
        <v>33</v>
      </c>
      <c r="P930" t="s">
        <v>34</v>
      </c>
      <c r="Q930">
        <v>5</v>
      </c>
      <c r="R930">
        <f>IF(ventas_libreria[[#This Row],[valoracion_cliente]]="","Sin valoración",ventas_libreria[[#This Row],[valoracion_cliente]])</f>
        <v>5</v>
      </c>
    </row>
    <row r="931" spans="1:18" x14ac:dyDescent="0.25">
      <c r="A931" t="s">
        <v>1207</v>
      </c>
      <c r="B931" t="s">
        <v>243</v>
      </c>
      <c r="C931" t="s">
        <v>244</v>
      </c>
      <c r="D931" t="s">
        <v>245</v>
      </c>
      <c r="E931" t="s">
        <v>48</v>
      </c>
      <c r="F931">
        <f>ventas_libreria[[#This Row],[precio_eur]]/100</f>
        <v>17.52</v>
      </c>
      <c r="G931">
        <v>1752</v>
      </c>
      <c r="H931">
        <v>1</v>
      </c>
      <c r="I931">
        <f>ventas_libreria[[#This Row],[precio]]*ventas_libreria[[#This Row],[cantidad]]</f>
        <v>17.52</v>
      </c>
      <c r="J931">
        <v>27</v>
      </c>
      <c r="K931" t="s">
        <v>38</v>
      </c>
      <c r="L931" s="1">
        <v>45046</v>
      </c>
      <c r="M931" t="s">
        <v>21</v>
      </c>
      <c r="N931" t="s">
        <v>32</v>
      </c>
      <c r="O931" t="s">
        <v>33</v>
      </c>
      <c r="P931" t="s">
        <v>56</v>
      </c>
      <c r="Q931">
        <v>4</v>
      </c>
      <c r="R931">
        <f>IF(ventas_libreria[[#This Row],[valoracion_cliente]]="","Sin valoración",ventas_libreria[[#This Row],[valoracion_cliente]])</f>
        <v>4</v>
      </c>
    </row>
    <row r="932" spans="1:18" x14ac:dyDescent="0.25">
      <c r="A932" t="s">
        <v>1208</v>
      </c>
      <c r="B932" t="s">
        <v>58</v>
      </c>
      <c r="C932" t="s">
        <v>59</v>
      </c>
      <c r="D932" t="s">
        <v>60</v>
      </c>
      <c r="E932" t="s">
        <v>61</v>
      </c>
      <c r="F932">
        <f>ventas_libreria[[#This Row],[precio_eur]]/100</f>
        <v>1.29</v>
      </c>
      <c r="G932">
        <v>129</v>
      </c>
      <c r="H932">
        <v>2</v>
      </c>
      <c r="I932">
        <f>ventas_libreria[[#This Row],[precio]]*ventas_libreria[[#This Row],[cantidad]]</f>
        <v>2.58</v>
      </c>
      <c r="J932">
        <v>26</v>
      </c>
      <c r="K932" t="s">
        <v>30</v>
      </c>
      <c r="L932" s="1">
        <v>45191</v>
      </c>
      <c r="M932" t="s">
        <v>21</v>
      </c>
      <c r="N932" t="s">
        <v>22</v>
      </c>
      <c r="O932" t="s">
        <v>23</v>
      </c>
      <c r="P932" t="s">
        <v>56</v>
      </c>
      <c r="Q932">
        <v>4</v>
      </c>
      <c r="R932">
        <f>IF(ventas_libreria[[#This Row],[valoracion_cliente]]="","Sin valoración",ventas_libreria[[#This Row],[valoracion_cliente]])</f>
        <v>4</v>
      </c>
    </row>
    <row r="933" spans="1:18" x14ac:dyDescent="0.25">
      <c r="A933" t="s">
        <v>1209</v>
      </c>
      <c r="B933" t="s">
        <v>530</v>
      </c>
      <c r="C933" t="s">
        <v>531</v>
      </c>
      <c r="D933" t="s">
        <v>195</v>
      </c>
      <c r="E933" t="s">
        <v>48</v>
      </c>
      <c r="F933">
        <f>ventas_libreria[[#This Row],[precio_eur]]/100</f>
        <v>21.89</v>
      </c>
      <c r="G933">
        <v>2189</v>
      </c>
      <c r="H933">
        <v>1</v>
      </c>
      <c r="I933">
        <f>ventas_libreria[[#This Row],[precio]]*ventas_libreria[[#This Row],[cantidad]]</f>
        <v>21.89</v>
      </c>
      <c r="J933">
        <v>55</v>
      </c>
      <c r="K933" t="s">
        <v>38</v>
      </c>
      <c r="L933" s="1">
        <v>45013</v>
      </c>
      <c r="M933" t="s">
        <v>43</v>
      </c>
      <c r="N933" t="s">
        <v>32</v>
      </c>
      <c r="O933" t="s">
        <v>33</v>
      </c>
      <c r="P933" t="s">
        <v>34</v>
      </c>
      <c r="R933" t="str">
        <f>IF(ventas_libreria[[#This Row],[valoracion_cliente]]="","Sin valoración",ventas_libreria[[#This Row],[valoracion_cliente]])</f>
        <v>Sin valoración</v>
      </c>
    </row>
    <row r="934" spans="1:18" x14ac:dyDescent="0.25">
      <c r="A934" t="s">
        <v>1210</v>
      </c>
      <c r="B934" t="s">
        <v>413</v>
      </c>
      <c r="C934" t="s">
        <v>414</v>
      </c>
      <c r="D934" t="s">
        <v>270</v>
      </c>
      <c r="E934" t="s">
        <v>415</v>
      </c>
      <c r="F934">
        <f>ventas_libreria[[#This Row],[precio_eur]]/100</f>
        <v>1.04</v>
      </c>
      <c r="G934">
        <v>104</v>
      </c>
      <c r="H934">
        <v>2</v>
      </c>
      <c r="I934">
        <f>ventas_libreria[[#This Row],[precio]]*ventas_libreria[[#This Row],[cantidad]]</f>
        <v>2.08</v>
      </c>
      <c r="J934">
        <v>68</v>
      </c>
      <c r="K934" t="s">
        <v>30</v>
      </c>
      <c r="L934" s="1">
        <v>45148</v>
      </c>
      <c r="M934" t="s">
        <v>43</v>
      </c>
      <c r="N934" t="s">
        <v>32</v>
      </c>
      <c r="O934" t="s">
        <v>33</v>
      </c>
      <c r="P934" t="s">
        <v>84</v>
      </c>
      <c r="Q934">
        <v>5</v>
      </c>
      <c r="R934">
        <f>IF(ventas_libreria[[#This Row],[valoracion_cliente]]="","Sin valoración",ventas_libreria[[#This Row],[valoracion_cliente]])</f>
        <v>5</v>
      </c>
    </row>
    <row r="935" spans="1:18" x14ac:dyDescent="0.25">
      <c r="A935" t="s">
        <v>1211</v>
      </c>
      <c r="B935" t="s">
        <v>375</v>
      </c>
      <c r="C935" t="s">
        <v>376</v>
      </c>
      <c r="D935" t="s">
        <v>377</v>
      </c>
      <c r="E935" t="s">
        <v>29</v>
      </c>
      <c r="F935">
        <f>ventas_libreria[[#This Row],[precio_eur]]/100</f>
        <v>1.59</v>
      </c>
      <c r="G935">
        <v>159</v>
      </c>
      <c r="H935">
        <v>1</v>
      </c>
      <c r="I935">
        <f>ventas_libreria[[#This Row],[precio]]*ventas_libreria[[#This Row],[cantidad]]</f>
        <v>1.59</v>
      </c>
      <c r="J935">
        <v>29</v>
      </c>
      <c r="K935" t="s">
        <v>20</v>
      </c>
      <c r="L935" s="1">
        <v>45742</v>
      </c>
      <c r="M935" t="s">
        <v>43</v>
      </c>
      <c r="N935" t="s">
        <v>32</v>
      </c>
      <c r="O935" t="s">
        <v>33</v>
      </c>
      <c r="P935" t="s">
        <v>84</v>
      </c>
      <c r="Q935">
        <v>5</v>
      </c>
      <c r="R935">
        <f>IF(ventas_libreria[[#This Row],[valoracion_cliente]]="","Sin valoración",ventas_libreria[[#This Row],[valoracion_cliente]])</f>
        <v>5</v>
      </c>
    </row>
    <row r="936" spans="1:18" x14ac:dyDescent="0.25">
      <c r="A936" t="s">
        <v>1212</v>
      </c>
      <c r="B936" t="s">
        <v>113</v>
      </c>
      <c r="C936" t="s">
        <v>114</v>
      </c>
      <c r="D936" t="s">
        <v>115</v>
      </c>
      <c r="E936" t="s">
        <v>116</v>
      </c>
      <c r="F936">
        <f>ventas_libreria[[#This Row],[precio_eur]]/100</f>
        <v>1.39</v>
      </c>
      <c r="G936">
        <v>139</v>
      </c>
      <c r="H936">
        <v>3</v>
      </c>
      <c r="I936">
        <f>ventas_libreria[[#This Row],[precio]]*ventas_libreria[[#This Row],[cantidad]]</f>
        <v>4.17</v>
      </c>
      <c r="J936">
        <v>22</v>
      </c>
      <c r="K936" t="s">
        <v>20</v>
      </c>
      <c r="L936" s="1">
        <v>45654</v>
      </c>
      <c r="M936" t="s">
        <v>21</v>
      </c>
      <c r="N936" t="s">
        <v>22</v>
      </c>
      <c r="O936" t="s">
        <v>98</v>
      </c>
      <c r="P936" t="s">
        <v>50</v>
      </c>
      <c r="Q936">
        <v>4</v>
      </c>
      <c r="R936">
        <f>IF(ventas_libreria[[#This Row],[valoracion_cliente]]="","Sin valoración",ventas_libreria[[#This Row],[valoracion_cliente]])</f>
        <v>4</v>
      </c>
    </row>
    <row r="937" spans="1:18" x14ac:dyDescent="0.25">
      <c r="A937" t="s">
        <v>1213</v>
      </c>
      <c r="B937" t="s">
        <v>109</v>
      </c>
      <c r="C937" t="s">
        <v>110</v>
      </c>
      <c r="D937" t="s">
        <v>111</v>
      </c>
      <c r="E937" t="s">
        <v>55</v>
      </c>
      <c r="F937">
        <f>ventas_libreria[[#This Row],[precio_eur]]/100</f>
        <v>20.89</v>
      </c>
      <c r="G937">
        <v>2089</v>
      </c>
      <c r="H937">
        <v>1</v>
      </c>
      <c r="I937">
        <f>ventas_libreria[[#This Row],[precio]]*ventas_libreria[[#This Row],[cantidad]]</f>
        <v>20.89</v>
      </c>
      <c r="J937">
        <v>24</v>
      </c>
      <c r="K937" t="s">
        <v>62</v>
      </c>
      <c r="L937" s="1">
        <v>45282</v>
      </c>
      <c r="M937" t="s">
        <v>31</v>
      </c>
      <c r="N937" t="s">
        <v>32</v>
      </c>
      <c r="O937" t="s">
        <v>33</v>
      </c>
      <c r="P937" t="s">
        <v>56</v>
      </c>
      <c r="Q937">
        <v>3</v>
      </c>
      <c r="R937">
        <f>IF(ventas_libreria[[#This Row],[valoracion_cliente]]="","Sin valoración",ventas_libreria[[#This Row],[valoracion_cliente]])</f>
        <v>3</v>
      </c>
    </row>
    <row r="938" spans="1:18" x14ac:dyDescent="0.25">
      <c r="A938" t="s">
        <v>1214</v>
      </c>
      <c r="B938" t="s">
        <v>118</v>
      </c>
      <c r="C938" t="s">
        <v>119</v>
      </c>
      <c r="D938" t="s">
        <v>47</v>
      </c>
      <c r="E938" t="s">
        <v>48</v>
      </c>
      <c r="F938">
        <f>ventas_libreria[[#This Row],[precio_eur]]/100</f>
        <v>17.489999999999998</v>
      </c>
      <c r="G938">
        <v>1749</v>
      </c>
      <c r="H938">
        <v>1</v>
      </c>
      <c r="I938">
        <f>ventas_libreria[[#This Row],[precio]]*ventas_libreria[[#This Row],[cantidad]]</f>
        <v>17.489999999999998</v>
      </c>
      <c r="J938">
        <v>55</v>
      </c>
      <c r="K938" t="s">
        <v>62</v>
      </c>
      <c r="L938" s="1">
        <v>45714</v>
      </c>
      <c r="M938" t="s">
        <v>31</v>
      </c>
      <c r="N938" t="s">
        <v>22</v>
      </c>
      <c r="O938" t="s">
        <v>98</v>
      </c>
      <c r="P938" t="s">
        <v>50</v>
      </c>
      <c r="Q938">
        <v>5</v>
      </c>
      <c r="R938">
        <f>IF(ventas_libreria[[#This Row],[valoracion_cliente]]="","Sin valoración",ventas_libreria[[#This Row],[valoracion_cliente]])</f>
        <v>5</v>
      </c>
    </row>
    <row r="939" spans="1:18" x14ac:dyDescent="0.25">
      <c r="A939" t="s">
        <v>1215</v>
      </c>
      <c r="B939" t="s">
        <v>58</v>
      </c>
      <c r="C939" t="s">
        <v>59</v>
      </c>
      <c r="D939" t="s">
        <v>60</v>
      </c>
      <c r="E939" t="s">
        <v>61</v>
      </c>
      <c r="F939">
        <f>ventas_libreria[[#This Row],[precio_eur]]/100</f>
        <v>13.55</v>
      </c>
      <c r="G939">
        <v>1355</v>
      </c>
      <c r="H939">
        <v>1</v>
      </c>
      <c r="I939">
        <f>ventas_libreria[[#This Row],[precio]]*ventas_libreria[[#This Row],[cantidad]]</f>
        <v>13.55</v>
      </c>
      <c r="J939">
        <v>62</v>
      </c>
      <c r="K939" t="s">
        <v>20</v>
      </c>
      <c r="L939" s="1">
        <v>44965</v>
      </c>
      <c r="M939" t="s">
        <v>31</v>
      </c>
      <c r="N939" t="s">
        <v>32</v>
      </c>
      <c r="O939" t="s">
        <v>33</v>
      </c>
      <c r="P939" t="s">
        <v>84</v>
      </c>
      <c r="Q939">
        <v>5</v>
      </c>
      <c r="R939">
        <f>IF(ventas_libreria[[#This Row],[valoracion_cliente]]="","Sin valoración",ventas_libreria[[#This Row],[valoracion_cliente]])</f>
        <v>5</v>
      </c>
    </row>
    <row r="940" spans="1:18" x14ac:dyDescent="0.25">
      <c r="A940" t="s">
        <v>1216</v>
      </c>
      <c r="B940" t="s">
        <v>530</v>
      </c>
      <c r="C940" t="s">
        <v>531</v>
      </c>
      <c r="D940" t="s">
        <v>195</v>
      </c>
      <c r="E940" t="s">
        <v>48</v>
      </c>
      <c r="F940">
        <f>ventas_libreria[[#This Row],[precio_eur]]/100</f>
        <v>20.89</v>
      </c>
      <c r="G940">
        <v>2089</v>
      </c>
      <c r="H940">
        <v>3</v>
      </c>
      <c r="I940">
        <f>ventas_libreria[[#This Row],[precio]]*ventas_libreria[[#This Row],[cantidad]]</f>
        <v>62.67</v>
      </c>
      <c r="J940">
        <v>62</v>
      </c>
      <c r="K940" t="s">
        <v>20</v>
      </c>
      <c r="L940" s="1">
        <v>45702</v>
      </c>
      <c r="M940" t="s">
        <v>31</v>
      </c>
      <c r="N940" t="s">
        <v>32</v>
      </c>
      <c r="O940" t="s">
        <v>33</v>
      </c>
      <c r="P940" t="s">
        <v>56</v>
      </c>
      <c r="Q940">
        <v>5</v>
      </c>
      <c r="R940">
        <f>IF(ventas_libreria[[#This Row],[valoracion_cliente]]="","Sin valoración",ventas_libreria[[#This Row],[valoracion_cliente]])</f>
        <v>5</v>
      </c>
    </row>
    <row r="941" spans="1:18" x14ac:dyDescent="0.25">
      <c r="A941" t="s">
        <v>1217</v>
      </c>
      <c r="B941" t="s">
        <v>176</v>
      </c>
      <c r="C941" t="s">
        <v>177</v>
      </c>
      <c r="D941" t="s">
        <v>178</v>
      </c>
      <c r="E941" t="s">
        <v>179</v>
      </c>
      <c r="F941">
        <f>ventas_libreria[[#This Row],[precio_eur]]/100</f>
        <v>1.59</v>
      </c>
      <c r="G941">
        <v>159</v>
      </c>
      <c r="H941">
        <v>1</v>
      </c>
      <c r="I941">
        <f>ventas_libreria[[#This Row],[precio]]*ventas_libreria[[#This Row],[cantidad]]</f>
        <v>1.59</v>
      </c>
      <c r="J941">
        <v>36</v>
      </c>
      <c r="K941" t="s">
        <v>30</v>
      </c>
      <c r="L941" s="1">
        <v>45982</v>
      </c>
      <c r="M941" t="s">
        <v>31</v>
      </c>
      <c r="N941" t="s">
        <v>22</v>
      </c>
      <c r="O941" t="s">
        <v>132</v>
      </c>
      <c r="P941" t="s">
        <v>34</v>
      </c>
      <c r="Q941">
        <v>5</v>
      </c>
      <c r="R941">
        <f>IF(ventas_libreria[[#This Row],[valoracion_cliente]]="","Sin valoración",ventas_libreria[[#This Row],[valoracion_cliente]])</f>
        <v>5</v>
      </c>
    </row>
    <row r="942" spans="1:18" x14ac:dyDescent="0.25">
      <c r="A942" t="s">
        <v>1218</v>
      </c>
      <c r="B942" t="s">
        <v>549</v>
      </c>
      <c r="C942" t="s">
        <v>550</v>
      </c>
      <c r="D942" t="s">
        <v>162</v>
      </c>
      <c r="E942" t="s">
        <v>29</v>
      </c>
      <c r="F942">
        <f>ventas_libreria[[#This Row],[precio_eur]]/100</f>
        <v>21.89</v>
      </c>
      <c r="G942">
        <v>2189</v>
      </c>
      <c r="H942">
        <v>1</v>
      </c>
      <c r="I942">
        <f>ventas_libreria[[#This Row],[precio]]*ventas_libreria[[#This Row],[cantidad]]</f>
        <v>21.89</v>
      </c>
      <c r="J942">
        <v>42</v>
      </c>
      <c r="K942" t="s">
        <v>30</v>
      </c>
      <c r="L942" s="1">
        <v>45836</v>
      </c>
      <c r="M942" t="s">
        <v>43</v>
      </c>
      <c r="N942" t="s">
        <v>32</v>
      </c>
      <c r="O942" t="s">
        <v>33</v>
      </c>
      <c r="P942" t="s">
        <v>34</v>
      </c>
      <c r="Q942">
        <v>2</v>
      </c>
      <c r="R942">
        <f>IF(ventas_libreria[[#This Row],[valoracion_cliente]]="","Sin valoración",ventas_libreria[[#This Row],[valoracion_cliente]])</f>
        <v>2</v>
      </c>
    </row>
    <row r="943" spans="1:18" x14ac:dyDescent="0.25">
      <c r="A943" t="s">
        <v>1219</v>
      </c>
      <c r="B943" t="s">
        <v>362</v>
      </c>
      <c r="C943" t="s">
        <v>363</v>
      </c>
      <c r="D943" t="s">
        <v>249</v>
      </c>
      <c r="E943" t="s">
        <v>172</v>
      </c>
      <c r="F943">
        <f>ventas_libreria[[#This Row],[precio_eur]]/100</f>
        <v>15.96</v>
      </c>
      <c r="G943">
        <v>1596</v>
      </c>
      <c r="H943">
        <v>2</v>
      </c>
      <c r="I943">
        <f>ventas_libreria[[#This Row],[precio]]*ventas_libreria[[#This Row],[cantidad]]</f>
        <v>31.92</v>
      </c>
      <c r="J943">
        <v>46</v>
      </c>
      <c r="K943" t="s">
        <v>30</v>
      </c>
      <c r="L943" s="1">
        <v>45629</v>
      </c>
      <c r="M943" t="s">
        <v>43</v>
      </c>
      <c r="N943" t="s">
        <v>32</v>
      </c>
      <c r="O943" t="s">
        <v>33</v>
      </c>
      <c r="P943" t="s">
        <v>50</v>
      </c>
      <c r="Q943">
        <v>4</v>
      </c>
      <c r="R943">
        <f>IF(ventas_libreria[[#This Row],[valoracion_cliente]]="","Sin valoración",ventas_libreria[[#This Row],[valoracion_cliente]])</f>
        <v>4</v>
      </c>
    </row>
    <row r="944" spans="1:18" x14ac:dyDescent="0.25">
      <c r="A944" t="s">
        <v>1220</v>
      </c>
      <c r="B944" t="s">
        <v>109</v>
      </c>
      <c r="C944" t="s">
        <v>110</v>
      </c>
      <c r="D944" t="s">
        <v>111</v>
      </c>
      <c r="E944" t="s">
        <v>55</v>
      </c>
      <c r="F944">
        <f>ventas_libreria[[#This Row],[precio_eur]]/100</f>
        <v>1.99</v>
      </c>
      <c r="G944">
        <v>199</v>
      </c>
      <c r="H944">
        <v>1</v>
      </c>
      <c r="I944">
        <f>ventas_libreria[[#This Row],[precio]]*ventas_libreria[[#This Row],[cantidad]]</f>
        <v>1.99</v>
      </c>
      <c r="J944">
        <v>56</v>
      </c>
      <c r="K944" t="s">
        <v>62</v>
      </c>
      <c r="L944" s="1">
        <v>45634</v>
      </c>
      <c r="M944" t="s">
        <v>21</v>
      </c>
      <c r="N944" t="s">
        <v>22</v>
      </c>
      <c r="O944" t="s">
        <v>98</v>
      </c>
      <c r="P944" t="s">
        <v>34</v>
      </c>
      <c r="Q944">
        <v>5</v>
      </c>
      <c r="R944">
        <f>IF(ventas_libreria[[#This Row],[valoracion_cliente]]="","Sin valoración",ventas_libreria[[#This Row],[valoracion_cliente]])</f>
        <v>5</v>
      </c>
    </row>
    <row r="945" spans="1:18" x14ac:dyDescent="0.25">
      <c r="A945" t="s">
        <v>1221</v>
      </c>
      <c r="B945" t="s">
        <v>403</v>
      </c>
      <c r="C945" t="s">
        <v>404</v>
      </c>
      <c r="D945" t="s">
        <v>123</v>
      </c>
      <c r="E945" t="s">
        <v>48</v>
      </c>
      <c r="F945">
        <f>ventas_libreria[[#This Row],[precio_eur]]/100</f>
        <v>2.99</v>
      </c>
      <c r="G945">
        <v>299</v>
      </c>
      <c r="H945">
        <v>3</v>
      </c>
      <c r="I945">
        <f>ventas_libreria[[#This Row],[precio]]*ventas_libreria[[#This Row],[cantidad]]</f>
        <v>8.9700000000000006</v>
      </c>
      <c r="J945">
        <v>34</v>
      </c>
      <c r="K945" t="s">
        <v>20</v>
      </c>
      <c r="L945" s="1">
        <v>45301</v>
      </c>
      <c r="M945" t="s">
        <v>21</v>
      </c>
      <c r="N945" t="s">
        <v>32</v>
      </c>
      <c r="O945" t="s">
        <v>33</v>
      </c>
      <c r="P945" t="s">
        <v>34</v>
      </c>
      <c r="Q945">
        <v>5</v>
      </c>
      <c r="R945">
        <f>IF(ventas_libreria[[#This Row],[valoracion_cliente]]="","Sin valoración",ventas_libreria[[#This Row],[valoracion_cliente]])</f>
        <v>5</v>
      </c>
    </row>
    <row r="946" spans="1:18" x14ac:dyDescent="0.25">
      <c r="A946" t="s">
        <v>1222</v>
      </c>
      <c r="B946" t="s">
        <v>45</v>
      </c>
      <c r="C946" t="s">
        <v>46</v>
      </c>
      <c r="D946" t="s">
        <v>47</v>
      </c>
      <c r="E946" t="s">
        <v>48</v>
      </c>
      <c r="F946">
        <f>ventas_libreria[[#This Row],[precio_eur]]/100</f>
        <v>1.99</v>
      </c>
      <c r="G946">
        <v>199</v>
      </c>
      <c r="H946">
        <v>1</v>
      </c>
      <c r="I946">
        <f>ventas_libreria[[#This Row],[precio]]*ventas_libreria[[#This Row],[cantidad]]</f>
        <v>1.99</v>
      </c>
      <c r="J946">
        <v>23</v>
      </c>
      <c r="K946" t="s">
        <v>30</v>
      </c>
      <c r="L946" s="1">
        <v>45929</v>
      </c>
      <c r="M946" t="s">
        <v>31</v>
      </c>
      <c r="N946" t="s">
        <v>22</v>
      </c>
      <c r="O946" t="s">
        <v>49</v>
      </c>
      <c r="P946" t="s">
        <v>24</v>
      </c>
      <c r="Q946">
        <v>2</v>
      </c>
      <c r="R946">
        <f>IF(ventas_libreria[[#This Row],[valoracion_cliente]]="","Sin valoración",ventas_libreria[[#This Row],[valoracion_cliente]])</f>
        <v>2</v>
      </c>
    </row>
    <row r="947" spans="1:18" x14ac:dyDescent="0.25">
      <c r="A947" t="s">
        <v>1223</v>
      </c>
      <c r="B947" t="s">
        <v>16</v>
      </c>
      <c r="C947" t="s">
        <v>17</v>
      </c>
      <c r="D947" t="s">
        <v>18</v>
      </c>
      <c r="E947" t="s">
        <v>19</v>
      </c>
      <c r="F947">
        <f>ventas_libreria[[#This Row],[precio_eur]]/100</f>
        <v>15.65</v>
      </c>
      <c r="G947">
        <v>1565</v>
      </c>
      <c r="H947">
        <v>1</v>
      </c>
      <c r="I947">
        <f>ventas_libreria[[#This Row],[precio]]*ventas_libreria[[#This Row],[cantidad]]</f>
        <v>15.65</v>
      </c>
      <c r="J947">
        <v>41</v>
      </c>
      <c r="K947" t="s">
        <v>30</v>
      </c>
      <c r="L947" s="1">
        <v>45841</v>
      </c>
      <c r="M947" t="s">
        <v>21</v>
      </c>
      <c r="N947" t="s">
        <v>22</v>
      </c>
      <c r="O947" t="s">
        <v>49</v>
      </c>
      <c r="P947" t="s">
        <v>24</v>
      </c>
      <c r="R947" t="str">
        <f>IF(ventas_libreria[[#This Row],[valoracion_cliente]]="","Sin valoración",ventas_libreria[[#This Row],[valoracion_cliente]])</f>
        <v>Sin valoración</v>
      </c>
    </row>
    <row r="948" spans="1:18" x14ac:dyDescent="0.25">
      <c r="A948" t="s">
        <v>1224</v>
      </c>
      <c r="B948" t="s">
        <v>265</v>
      </c>
      <c r="C948" t="s">
        <v>266</v>
      </c>
      <c r="D948" t="s">
        <v>162</v>
      </c>
      <c r="E948" t="s">
        <v>29</v>
      </c>
      <c r="F948">
        <f>ventas_libreria[[#This Row],[precio_eur]]/100</f>
        <v>1.69</v>
      </c>
      <c r="G948">
        <v>169</v>
      </c>
      <c r="H948">
        <v>1</v>
      </c>
      <c r="I948">
        <f>ventas_libreria[[#This Row],[precio]]*ventas_libreria[[#This Row],[cantidad]]</f>
        <v>1.69</v>
      </c>
      <c r="J948">
        <v>30</v>
      </c>
      <c r="K948" t="s">
        <v>30</v>
      </c>
      <c r="L948" s="1">
        <v>45283</v>
      </c>
      <c r="M948" t="s">
        <v>31</v>
      </c>
      <c r="N948" t="s">
        <v>22</v>
      </c>
      <c r="O948" t="s">
        <v>49</v>
      </c>
      <c r="P948" t="s">
        <v>56</v>
      </c>
      <c r="Q948">
        <v>5</v>
      </c>
      <c r="R948">
        <f>IF(ventas_libreria[[#This Row],[valoracion_cliente]]="","Sin valoración",ventas_libreria[[#This Row],[valoracion_cliente]])</f>
        <v>5</v>
      </c>
    </row>
    <row r="949" spans="1:18" x14ac:dyDescent="0.25">
      <c r="A949" t="s">
        <v>1225</v>
      </c>
      <c r="B949" t="s">
        <v>273</v>
      </c>
      <c r="C949" t="s">
        <v>274</v>
      </c>
      <c r="D949" t="s">
        <v>262</v>
      </c>
      <c r="E949" t="s">
        <v>263</v>
      </c>
      <c r="F949">
        <f>ventas_libreria[[#This Row],[precio_eur]]/100</f>
        <v>24.09</v>
      </c>
      <c r="G949">
        <v>2409</v>
      </c>
      <c r="H949">
        <v>2</v>
      </c>
      <c r="I949">
        <f>ventas_libreria[[#This Row],[precio]]*ventas_libreria[[#This Row],[cantidad]]</f>
        <v>48.18</v>
      </c>
      <c r="J949">
        <v>70</v>
      </c>
      <c r="K949" t="s">
        <v>20</v>
      </c>
      <c r="L949" s="1">
        <v>45705</v>
      </c>
      <c r="M949" t="s">
        <v>21</v>
      </c>
      <c r="N949" t="s">
        <v>22</v>
      </c>
      <c r="O949" t="s">
        <v>98</v>
      </c>
      <c r="P949" t="s">
        <v>24</v>
      </c>
      <c r="R949" t="str">
        <f>IF(ventas_libreria[[#This Row],[valoracion_cliente]]="","Sin valoración",ventas_libreria[[#This Row],[valoracion_cliente]])</f>
        <v>Sin valoración</v>
      </c>
    </row>
    <row r="950" spans="1:18" x14ac:dyDescent="0.25">
      <c r="A950" t="s">
        <v>1226</v>
      </c>
      <c r="B950" t="s">
        <v>58</v>
      </c>
      <c r="C950" t="s">
        <v>59</v>
      </c>
      <c r="D950" t="s">
        <v>60</v>
      </c>
      <c r="E950" t="s">
        <v>61</v>
      </c>
      <c r="F950">
        <f>ventas_libreria[[#This Row],[precio_eur]]/100</f>
        <v>1.29</v>
      </c>
      <c r="G950">
        <v>129</v>
      </c>
      <c r="H950">
        <v>1</v>
      </c>
      <c r="I950">
        <f>ventas_libreria[[#This Row],[precio]]*ventas_libreria[[#This Row],[cantidad]]</f>
        <v>1.29</v>
      </c>
      <c r="J950">
        <v>47</v>
      </c>
      <c r="K950" t="s">
        <v>20</v>
      </c>
      <c r="L950" s="1">
        <v>45074</v>
      </c>
      <c r="M950" t="s">
        <v>43</v>
      </c>
      <c r="N950" t="s">
        <v>32</v>
      </c>
      <c r="O950" t="s">
        <v>33</v>
      </c>
      <c r="P950" t="s">
        <v>50</v>
      </c>
      <c r="Q950">
        <v>4</v>
      </c>
      <c r="R950">
        <f>IF(ventas_libreria[[#This Row],[valoracion_cliente]]="","Sin valoración",ventas_libreria[[#This Row],[valoracion_cliente]])</f>
        <v>4</v>
      </c>
    </row>
    <row r="951" spans="1:18" x14ac:dyDescent="0.25">
      <c r="A951" t="s">
        <v>1227</v>
      </c>
      <c r="B951" t="s">
        <v>247</v>
      </c>
      <c r="C951" t="s">
        <v>248</v>
      </c>
      <c r="D951" t="s">
        <v>249</v>
      </c>
      <c r="E951" t="s">
        <v>172</v>
      </c>
      <c r="F951">
        <f>ventas_libreria[[#This Row],[precio_eur]]/100</f>
        <v>1.39</v>
      </c>
      <c r="G951">
        <v>139</v>
      </c>
      <c r="H951">
        <v>1</v>
      </c>
      <c r="I951">
        <f>ventas_libreria[[#This Row],[precio]]*ventas_libreria[[#This Row],[cantidad]]</f>
        <v>1.39</v>
      </c>
      <c r="J951">
        <v>61</v>
      </c>
      <c r="K951" t="s">
        <v>30</v>
      </c>
      <c r="L951" s="1">
        <v>45897</v>
      </c>
      <c r="M951" t="s">
        <v>31</v>
      </c>
      <c r="N951" t="s">
        <v>32</v>
      </c>
      <c r="O951" t="s">
        <v>33</v>
      </c>
      <c r="P951" t="s">
        <v>84</v>
      </c>
      <c r="R951" t="str">
        <f>IF(ventas_libreria[[#This Row],[valoracion_cliente]]="","Sin valoración",ventas_libreria[[#This Row],[valoracion_cliente]])</f>
        <v>Sin valoración</v>
      </c>
    </row>
    <row r="952" spans="1:18" x14ac:dyDescent="0.25">
      <c r="A952" t="s">
        <v>1228</v>
      </c>
      <c r="B952" t="s">
        <v>418</v>
      </c>
      <c r="C952" t="s">
        <v>419</v>
      </c>
      <c r="D952" t="s">
        <v>420</v>
      </c>
      <c r="E952" t="s">
        <v>149</v>
      </c>
      <c r="F952">
        <f>ventas_libreria[[#This Row],[precio_eur]]/100</f>
        <v>1.69</v>
      </c>
      <c r="G952">
        <v>169</v>
      </c>
      <c r="H952">
        <v>1</v>
      </c>
      <c r="I952">
        <f>ventas_libreria[[#This Row],[precio]]*ventas_libreria[[#This Row],[cantidad]]</f>
        <v>1.69</v>
      </c>
      <c r="J952">
        <v>17</v>
      </c>
      <c r="K952" t="s">
        <v>62</v>
      </c>
      <c r="L952" s="1">
        <v>45489</v>
      </c>
      <c r="M952" t="s">
        <v>31</v>
      </c>
      <c r="N952" t="s">
        <v>32</v>
      </c>
      <c r="O952" t="s">
        <v>33</v>
      </c>
      <c r="P952" t="s">
        <v>84</v>
      </c>
      <c r="Q952">
        <v>5</v>
      </c>
      <c r="R952">
        <f>IF(ventas_libreria[[#This Row],[valoracion_cliente]]="","Sin valoración",ventas_libreria[[#This Row],[valoracion_cliente]])</f>
        <v>5</v>
      </c>
    </row>
    <row r="953" spans="1:18" x14ac:dyDescent="0.25">
      <c r="A953" t="s">
        <v>1229</v>
      </c>
      <c r="B953" t="s">
        <v>384</v>
      </c>
      <c r="C953" t="s">
        <v>385</v>
      </c>
      <c r="D953" t="s">
        <v>158</v>
      </c>
      <c r="E953" t="s">
        <v>149</v>
      </c>
      <c r="F953">
        <f>ventas_libreria[[#This Row],[precio_eur]]/100</f>
        <v>2.19</v>
      </c>
      <c r="G953">
        <v>219</v>
      </c>
      <c r="H953">
        <v>3</v>
      </c>
      <c r="I953">
        <f>ventas_libreria[[#This Row],[precio]]*ventas_libreria[[#This Row],[cantidad]]</f>
        <v>6.57</v>
      </c>
      <c r="J953">
        <v>35</v>
      </c>
      <c r="K953" t="s">
        <v>30</v>
      </c>
      <c r="L953" s="1">
        <v>45338</v>
      </c>
      <c r="M953" t="s">
        <v>31</v>
      </c>
      <c r="N953" t="s">
        <v>32</v>
      </c>
      <c r="O953" t="s">
        <v>33</v>
      </c>
      <c r="P953" t="s">
        <v>50</v>
      </c>
      <c r="Q953">
        <v>4</v>
      </c>
      <c r="R953">
        <f>IF(ventas_libreria[[#This Row],[valoracion_cliente]]="","Sin valoración",ventas_libreria[[#This Row],[valoracion_cliente]])</f>
        <v>4</v>
      </c>
    </row>
    <row r="954" spans="1:18" x14ac:dyDescent="0.25">
      <c r="A954" t="s">
        <v>1230</v>
      </c>
      <c r="B954" t="s">
        <v>134</v>
      </c>
      <c r="C954" t="s">
        <v>135</v>
      </c>
      <c r="D954" t="s">
        <v>106</v>
      </c>
      <c r="E954" t="s">
        <v>107</v>
      </c>
      <c r="F954">
        <f>ventas_libreria[[#This Row],[precio_eur]]/100</f>
        <v>16.39</v>
      </c>
      <c r="G954">
        <v>1639</v>
      </c>
      <c r="H954">
        <v>1</v>
      </c>
      <c r="I954">
        <f>ventas_libreria[[#This Row],[precio]]*ventas_libreria[[#This Row],[cantidad]]</f>
        <v>16.39</v>
      </c>
      <c r="J954">
        <v>11</v>
      </c>
      <c r="K954" t="s">
        <v>20</v>
      </c>
      <c r="L954" s="1">
        <v>45711</v>
      </c>
      <c r="M954" t="s">
        <v>21</v>
      </c>
      <c r="N954" t="s">
        <v>22</v>
      </c>
      <c r="O954" t="s">
        <v>23</v>
      </c>
      <c r="P954" t="s">
        <v>34</v>
      </c>
      <c r="Q954">
        <v>4</v>
      </c>
      <c r="R954">
        <f>IF(ventas_libreria[[#This Row],[valoracion_cliente]]="","Sin valoración",ventas_libreria[[#This Row],[valoracion_cliente]])</f>
        <v>4</v>
      </c>
    </row>
    <row r="955" spans="1:18" x14ac:dyDescent="0.25">
      <c r="A955" t="s">
        <v>1231</v>
      </c>
      <c r="B955" t="s">
        <v>418</v>
      </c>
      <c r="C955" t="s">
        <v>419</v>
      </c>
      <c r="D955" t="s">
        <v>420</v>
      </c>
      <c r="E955" t="s">
        <v>149</v>
      </c>
      <c r="F955">
        <f>ventas_libreria[[#This Row],[precio_eur]]/100</f>
        <v>17.75</v>
      </c>
      <c r="G955">
        <v>1775</v>
      </c>
      <c r="H955">
        <v>2</v>
      </c>
      <c r="I955">
        <f>ventas_libreria[[#This Row],[precio]]*ventas_libreria[[#This Row],[cantidad]]</f>
        <v>35.5</v>
      </c>
      <c r="J955">
        <v>53</v>
      </c>
      <c r="K955" t="s">
        <v>38</v>
      </c>
      <c r="L955" s="1">
        <v>45616</v>
      </c>
      <c r="M955" t="s">
        <v>31</v>
      </c>
      <c r="N955" t="s">
        <v>32</v>
      </c>
      <c r="O955" t="s">
        <v>33</v>
      </c>
      <c r="P955" t="s">
        <v>56</v>
      </c>
      <c r="Q955">
        <v>4</v>
      </c>
      <c r="R955">
        <f>IF(ventas_libreria[[#This Row],[valoracion_cliente]]="","Sin valoración",ventas_libreria[[#This Row],[valoracion_cliente]])</f>
        <v>4</v>
      </c>
    </row>
    <row r="956" spans="1:18" x14ac:dyDescent="0.25">
      <c r="A956" t="s">
        <v>1232</v>
      </c>
      <c r="B956" t="s">
        <v>228</v>
      </c>
      <c r="C956" t="s">
        <v>229</v>
      </c>
      <c r="D956" t="s">
        <v>206</v>
      </c>
      <c r="E956" t="s">
        <v>116</v>
      </c>
      <c r="F956">
        <f>ventas_libreria[[#This Row],[precio_eur]]/100</f>
        <v>1.89</v>
      </c>
      <c r="G956">
        <v>189</v>
      </c>
      <c r="H956">
        <v>1</v>
      </c>
      <c r="I956">
        <f>ventas_libreria[[#This Row],[precio]]*ventas_libreria[[#This Row],[cantidad]]</f>
        <v>1.89</v>
      </c>
      <c r="J956">
        <v>69</v>
      </c>
      <c r="K956" t="s">
        <v>38</v>
      </c>
      <c r="L956" s="1">
        <v>45132</v>
      </c>
      <c r="M956" t="s">
        <v>21</v>
      </c>
      <c r="N956" t="s">
        <v>32</v>
      </c>
      <c r="O956" t="s">
        <v>33</v>
      </c>
      <c r="P956" t="s">
        <v>50</v>
      </c>
      <c r="Q956">
        <v>5</v>
      </c>
      <c r="R956">
        <f>IF(ventas_libreria[[#This Row],[valoracion_cliente]]="","Sin valoración",ventas_libreria[[#This Row],[valoracion_cliente]])</f>
        <v>5</v>
      </c>
    </row>
    <row r="957" spans="1:18" x14ac:dyDescent="0.25">
      <c r="A957" t="s">
        <v>1233</v>
      </c>
      <c r="B957" t="s">
        <v>413</v>
      </c>
      <c r="C957" t="s">
        <v>414</v>
      </c>
      <c r="D957" t="s">
        <v>270</v>
      </c>
      <c r="E957" t="s">
        <v>415</v>
      </c>
      <c r="F957">
        <f>ventas_libreria[[#This Row],[precio_eur]]/100</f>
        <v>1.04</v>
      </c>
      <c r="G957">
        <v>104</v>
      </c>
      <c r="H957">
        <v>2</v>
      </c>
      <c r="I957">
        <f>ventas_libreria[[#This Row],[precio]]*ventas_libreria[[#This Row],[cantidad]]</f>
        <v>2.08</v>
      </c>
      <c r="J957">
        <v>70</v>
      </c>
      <c r="K957" t="s">
        <v>20</v>
      </c>
      <c r="L957" s="1">
        <v>45326</v>
      </c>
      <c r="M957" t="s">
        <v>43</v>
      </c>
      <c r="N957" t="s">
        <v>32</v>
      </c>
      <c r="O957" t="s">
        <v>33</v>
      </c>
      <c r="P957" t="s">
        <v>84</v>
      </c>
      <c r="Q957">
        <v>4</v>
      </c>
      <c r="R957">
        <f>IF(ventas_libreria[[#This Row],[valoracion_cliente]]="","Sin valoración",ventas_libreria[[#This Row],[valoracion_cliente]])</f>
        <v>4</v>
      </c>
    </row>
    <row r="958" spans="1:18" x14ac:dyDescent="0.25">
      <c r="A958" t="s">
        <v>1234</v>
      </c>
      <c r="B958" t="s">
        <v>129</v>
      </c>
      <c r="C958" t="s">
        <v>130</v>
      </c>
      <c r="D958" t="s">
        <v>131</v>
      </c>
      <c r="E958" t="s">
        <v>107</v>
      </c>
      <c r="F958">
        <f>ventas_libreria[[#This Row],[precio_eur]]/100</f>
        <v>12.72</v>
      </c>
      <c r="G958">
        <v>1272</v>
      </c>
      <c r="H958">
        <v>1</v>
      </c>
      <c r="I958">
        <f>ventas_libreria[[#This Row],[precio]]*ventas_libreria[[#This Row],[cantidad]]</f>
        <v>12.72</v>
      </c>
      <c r="J958">
        <v>12</v>
      </c>
      <c r="K958" t="s">
        <v>30</v>
      </c>
      <c r="L958" s="1">
        <v>45705</v>
      </c>
      <c r="M958" t="s">
        <v>31</v>
      </c>
      <c r="N958" t="s">
        <v>32</v>
      </c>
      <c r="O958" t="s">
        <v>33</v>
      </c>
      <c r="P958" t="s">
        <v>24</v>
      </c>
      <c r="Q958">
        <v>3</v>
      </c>
      <c r="R958">
        <f>IF(ventas_libreria[[#This Row],[valoracion_cliente]]="","Sin valoración",ventas_libreria[[#This Row],[valoracion_cliente]])</f>
        <v>3</v>
      </c>
    </row>
    <row r="959" spans="1:18" x14ac:dyDescent="0.25">
      <c r="A959" t="s">
        <v>1235</v>
      </c>
      <c r="B959" t="s">
        <v>160</v>
      </c>
      <c r="C959" t="s">
        <v>161</v>
      </c>
      <c r="D959" t="s">
        <v>162</v>
      </c>
      <c r="E959" t="s">
        <v>29</v>
      </c>
      <c r="F959">
        <f>ventas_libreria[[#This Row],[precio_eur]]/100</f>
        <v>1.69</v>
      </c>
      <c r="G959">
        <v>169</v>
      </c>
      <c r="H959">
        <v>1</v>
      </c>
      <c r="I959">
        <f>ventas_libreria[[#This Row],[precio]]*ventas_libreria[[#This Row],[cantidad]]</f>
        <v>1.69</v>
      </c>
      <c r="J959">
        <v>49</v>
      </c>
      <c r="K959" t="s">
        <v>20</v>
      </c>
      <c r="L959" s="1">
        <v>45168</v>
      </c>
      <c r="M959" t="s">
        <v>31</v>
      </c>
      <c r="N959" t="s">
        <v>22</v>
      </c>
      <c r="O959" t="s">
        <v>67</v>
      </c>
      <c r="P959" t="s">
        <v>34</v>
      </c>
      <c r="Q959">
        <v>5</v>
      </c>
      <c r="R959">
        <f>IF(ventas_libreria[[#This Row],[valoracion_cliente]]="","Sin valoración",ventas_libreria[[#This Row],[valoracion_cliente]])</f>
        <v>5</v>
      </c>
    </row>
    <row r="960" spans="1:18" x14ac:dyDescent="0.25">
      <c r="A960" t="s">
        <v>1236</v>
      </c>
      <c r="B960" t="s">
        <v>327</v>
      </c>
      <c r="C960" t="s">
        <v>328</v>
      </c>
      <c r="D960" t="s">
        <v>288</v>
      </c>
      <c r="E960" t="s">
        <v>289</v>
      </c>
      <c r="F960">
        <f>ventas_libreria[[#This Row],[precio_eur]]/100</f>
        <v>2.29</v>
      </c>
      <c r="G960">
        <v>229</v>
      </c>
      <c r="H960">
        <v>1</v>
      </c>
      <c r="I960">
        <f>ventas_libreria[[#This Row],[precio]]*ventas_libreria[[#This Row],[cantidad]]</f>
        <v>2.29</v>
      </c>
      <c r="J960">
        <v>33</v>
      </c>
      <c r="K960" t="s">
        <v>30</v>
      </c>
      <c r="L960" s="1">
        <v>45358</v>
      </c>
      <c r="M960" t="s">
        <v>43</v>
      </c>
      <c r="N960" t="s">
        <v>32</v>
      </c>
      <c r="O960" t="s">
        <v>33</v>
      </c>
      <c r="P960" t="s">
        <v>34</v>
      </c>
      <c r="Q960">
        <v>4</v>
      </c>
      <c r="R960">
        <f>IF(ventas_libreria[[#This Row],[valoracion_cliente]]="","Sin valoración",ventas_libreria[[#This Row],[valoracion_cliente]])</f>
        <v>4</v>
      </c>
    </row>
    <row r="961" spans="1:18" x14ac:dyDescent="0.25">
      <c r="A961" t="s">
        <v>1237</v>
      </c>
      <c r="B961" t="s">
        <v>240</v>
      </c>
      <c r="C961" t="s">
        <v>241</v>
      </c>
      <c r="D961" t="s">
        <v>54</v>
      </c>
      <c r="E961" t="s">
        <v>172</v>
      </c>
      <c r="F961">
        <f>ventas_libreria[[#This Row],[precio_eur]]/100</f>
        <v>1.49</v>
      </c>
      <c r="G961">
        <v>149</v>
      </c>
      <c r="H961">
        <v>1</v>
      </c>
      <c r="I961">
        <f>ventas_libreria[[#This Row],[precio]]*ventas_libreria[[#This Row],[cantidad]]</f>
        <v>1.49</v>
      </c>
      <c r="J961">
        <v>31</v>
      </c>
      <c r="K961" t="s">
        <v>20</v>
      </c>
      <c r="L961" s="1">
        <v>45896</v>
      </c>
      <c r="M961" t="s">
        <v>43</v>
      </c>
      <c r="N961" t="s">
        <v>32</v>
      </c>
      <c r="O961" t="s">
        <v>33</v>
      </c>
      <c r="P961" t="s">
        <v>56</v>
      </c>
      <c r="Q961">
        <v>4</v>
      </c>
      <c r="R961">
        <f>IF(ventas_libreria[[#This Row],[valoracion_cliente]]="","Sin valoración",ventas_libreria[[#This Row],[valoracion_cliente]])</f>
        <v>4</v>
      </c>
    </row>
    <row r="962" spans="1:18" x14ac:dyDescent="0.25">
      <c r="A962" t="s">
        <v>1238</v>
      </c>
      <c r="B962" t="s">
        <v>129</v>
      </c>
      <c r="C962" t="s">
        <v>130</v>
      </c>
      <c r="D962" t="s">
        <v>131</v>
      </c>
      <c r="E962" t="s">
        <v>107</v>
      </c>
      <c r="F962">
        <f>ventas_libreria[[#This Row],[precio_eur]]/100</f>
        <v>17.489999999999998</v>
      </c>
      <c r="G962">
        <v>1749</v>
      </c>
      <c r="H962">
        <v>2</v>
      </c>
      <c r="I962">
        <f>ventas_libreria[[#This Row],[precio]]*ventas_libreria[[#This Row],[cantidad]]</f>
        <v>34.979999999999997</v>
      </c>
      <c r="J962">
        <v>16</v>
      </c>
      <c r="K962" t="s">
        <v>20</v>
      </c>
      <c r="L962" s="1">
        <v>45035</v>
      </c>
      <c r="M962" t="s">
        <v>31</v>
      </c>
      <c r="N962" t="s">
        <v>32</v>
      </c>
      <c r="O962" t="s">
        <v>33</v>
      </c>
      <c r="P962" t="s">
        <v>56</v>
      </c>
      <c r="Q962">
        <v>4</v>
      </c>
      <c r="R962">
        <f>IF(ventas_libreria[[#This Row],[valoracion_cliente]]="","Sin valoración",ventas_libreria[[#This Row],[valoracion_cliente]])</f>
        <v>4</v>
      </c>
    </row>
    <row r="963" spans="1:18" x14ac:dyDescent="0.25">
      <c r="A963" t="s">
        <v>1239</v>
      </c>
      <c r="B963" t="s">
        <v>129</v>
      </c>
      <c r="C963" t="s">
        <v>130</v>
      </c>
      <c r="D963" t="s">
        <v>131</v>
      </c>
      <c r="E963" t="s">
        <v>107</v>
      </c>
      <c r="F963">
        <f>ventas_libreria[[#This Row],[precio_eur]]/100</f>
        <v>1.59</v>
      </c>
      <c r="G963">
        <v>159</v>
      </c>
      <c r="H963">
        <v>1</v>
      </c>
      <c r="I963">
        <f>ventas_libreria[[#This Row],[precio]]*ventas_libreria[[#This Row],[cantidad]]</f>
        <v>1.59</v>
      </c>
      <c r="J963">
        <v>15</v>
      </c>
      <c r="K963" t="s">
        <v>30</v>
      </c>
      <c r="L963" s="1">
        <v>45629</v>
      </c>
      <c r="M963" t="s">
        <v>31</v>
      </c>
      <c r="N963" t="s">
        <v>32</v>
      </c>
      <c r="O963" t="s">
        <v>33</v>
      </c>
      <c r="P963" t="s">
        <v>50</v>
      </c>
      <c r="Q963">
        <v>3</v>
      </c>
      <c r="R963">
        <f>IF(ventas_libreria[[#This Row],[valoracion_cliente]]="","Sin valoración",ventas_libreria[[#This Row],[valoracion_cliente]])</f>
        <v>3</v>
      </c>
    </row>
    <row r="964" spans="1:18" x14ac:dyDescent="0.25">
      <c r="A964" t="s">
        <v>1240</v>
      </c>
      <c r="B964" t="s">
        <v>268</v>
      </c>
      <c r="C964" t="s">
        <v>269</v>
      </c>
      <c r="D964" t="s">
        <v>270</v>
      </c>
      <c r="E964" t="s">
        <v>83</v>
      </c>
      <c r="F964">
        <f>ventas_libreria[[#This Row],[precio_eur]]/100</f>
        <v>11.99</v>
      </c>
      <c r="G964">
        <v>1199</v>
      </c>
      <c r="H964">
        <v>1</v>
      </c>
      <c r="I964">
        <f>ventas_libreria[[#This Row],[precio]]*ventas_libreria[[#This Row],[cantidad]]</f>
        <v>11.99</v>
      </c>
      <c r="J964">
        <v>58</v>
      </c>
      <c r="K964" t="s">
        <v>38</v>
      </c>
      <c r="L964" s="1">
        <v>45608</v>
      </c>
      <c r="M964" t="s">
        <v>31</v>
      </c>
      <c r="N964" t="s">
        <v>32</v>
      </c>
      <c r="O964" t="s">
        <v>33</v>
      </c>
      <c r="P964" t="s">
        <v>84</v>
      </c>
      <c r="Q964">
        <v>5</v>
      </c>
      <c r="R964">
        <f>IF(ventas_libreria[[#This Row],[valoracion_cliente]]="","Sin valoración",ventas_libreria[[#This Row],[valoracion_cliente]])</f>
        <v>5</v>
      </c>
    </row>
    <row r="965" spans="1:18" x14ac:dyDescent="0.25">
      <c r="A965" t="s">
        <v>1241</v>
      </c>
      <c r="B965" t="s">
        <v>353</v>
      </c>
      <c r="C965" t="s">
        <v>354</v>
      </c>
      <c r="D965" t="s">
        <v>226</v>
      </c>
      <c r="E965" t="s">
        <v>116</v>
      </c>
      <c r="F965">
        <f>ventas_libreria[[#This Row],[precio_eur]]/100</f>
        <v>1.69</v>
      </c>
      <c r="G965">
        <v>169</v>
      </c>
      <c r="H965">
        <v>3</v>
      </c>
      <c r="I965">
        <f>ventas_libreria[[#This Row],[precio]]*ventas_libreria[[#This Row],[cantidad]]</f>
        <v>5.07</v>
      </c>
      <c r="J965">
        <v>47</v>
      </c>
      <c r="K965" t="s">
        <v>62</v>
      </c>
      <c r="L965" s="1">
        <v>45605</v>
      </c>
      <c r="M965" t="s">
        <v>31</v>
      </c>
      <c r="N965" t="s">
        <v>22</v>
      </c>
      <c r="O965" t="s">
        <v>23</v>
      </c>
      <c r="P965" t="s">
        <v>84</v>
      </c>
      <c r="Q965">
        <v>4</v>
      </c>
      <c r="R965">
        <f>IF(ventas_libreria[[#This Row],[valoracion_cliente]]="","Sin valoración",ventas_libreria[[#This Row],[valoracion_cliente]])</f>
        <v>4</v>
      </c>
    </row>
    <row r="966" spans="1:18" x14ac:dyDescent="0.25">
      <c r="A966" t="s">
        <v>1242</v>
      </c>
      <c r="B966" t="s">
        <v>109</v>
      </c>
      <c r="C966" t="s">
        <v>110</v>
      </c>
      <c r="D966" t="s">
        <v>111</v>
      </c>
      <c r="E966" t="s">
        <v>55</v>
      </c>
      <c r="F966">
        <f>ventas_libreria[[#This Row],[precio_eur]]/100</f>
        <v>16.91</v>
      </c>
      <c r="G966">
        <v>1691</v>
      </c>
      <c r="H966">
        <v>1</v>
      </c>
      <c r="I966">
        <f>ventas_libreria[[#This Row],[precio]]*ventas_libreria[[#This Row],[cantidad]]</f>
        <v>16.91</v>
      </c>
      <c r="J966">
        <v>60</v>
      </c>
      <c r="K966" t="s">
        <v>30</v>
      </c>
      <c r="L966" s="1">
        <v>44971</v>
      </c>
      <c r="M966" t="s">
        <v>43</v>
      </c>
      <c r="N966" t="s">
        <v>32</v>
      </c>
      <c r="O966" t="s">
        <v>33</v>
      </c>
      <c r="P966" t="s">
        <v>34</v>
      </c>
      <c r="Q966">
        <v>5</v>
      </c>
      <c r="R966">
        <f>IF(ventas_libreria[[#This Row],[valoracion_cliente]]="","Sin valoración",ventas_libreria[[#This Row],[valoracion_cliente]])</f>
        <v>5</v>
      </c>
    </row>
    <row r="967" spans="1:18" x14ac:dyDescent="0.25">
      <c r="A967" t="s">
        <v>1243</v>
      </c>
      <c r="B967" t="s">
        <v>424</v>
      </c>
      <c r="C967" t="s">
        <v>425</v>
      </c>
      <c r="D967" t="s">
        <v>426</v>
      </c>
      <c r="E967" t="s">
        <v>55</v>
      </c>
      <c r="F967">
        <f>ventas_libreria[[#This Row],[precio_eur]]/100</f>
        <v>16.059999999999999</v>
      </c>
      <c r="G967">
        <v>1606</v>
      </c>
      <c r="H967">
        <v>1</v>
      </c>
      <c r="I967">
        <f>ventas_libreria[[#This Row],[precio]]*ventas_libreria[[#This Row],[cantidad]]</f>
        <v>16.059999999999999</v>
      </c>
      <c r="J967">
        <v>48</v>
      </c>
      <c r="K967" t="s">
        <v>62</v>
      </c>
      <c r="L967" s="1">
        <v>45334</v>
      </c>
      <c r="M967" t="s">
        <v>21</v>
      </c>
      <c r="N967" t="s">
        <v>22</v>
      </c>
      <c r="O967" t="s">
        <v>132</v>
      </c>
      <c r="P967" t="s">
        <v>84</v>
      </c>
      <c r="Q967">
        <v>4</v>
      </c>
      <c r="R967">
        <f>IF(ventas_libreria[[#This Row],[valoracion_cliente]]="","Sin valoración",ventas_libreria[[#This Row],[valoracion_cliente]])</f>
        <v>4</v>
      </c>
    </row>
    <row r="968" spans="1:18" x14ac:dyDescent="0.25">
      <c r="A968" t="s">
        <v>1244</v>
      </c>
      <c r="B968" t="s">
        <v>446</v>
      </c>
      <c r="C968" t="s">
        <v>447</v>
      </c>
      <c r="D968" t="s">
        <v>262</v>
      </c>
      <c r="E968" t="s">
        <v>263</v>
      </c>
      <c r="F968">
        <f>ventas_libreria[[#This Row],[precio_eur]]/100</f>
        <v>1.99</v>
      </c>
      <c r="G968">
        <v>199</v>
      </c>
      <c r="H968">
        <v>2</v>
      </c>
      <c r="I968">
        <f>ventas_libreria[[#This Row],[precio]]*ventas_libreria[[#This Row],[cantidad]]</f>
        <v>3.98</v>
      </c>
      <c r="J968">
        <v>50</v>
      </c>
      <c r="K968" t="s">
        <v>30</v>
      </c>
      <c r="L968" s="1">
        <v>45221</v>
      </c>
      <c r="M968" t="s">
        <v>21</v>
      </c>
      <c r="N968" t="s">
        <v>32</v>
      </c>
      <c r="O968" t="s">
        <v>33</v>
      </c>
      <c r="P968" t="s">
        <v>34</v>
      </c>
      <c r="Q968">
        <v>4</v>
      </c>
      <c r="R968">
        <f>IF(ventas_libreria[[#This Row],[valoracion_cliente]]="","Sin valoración",ventas_libreria[[#This Row],[valoracion_cliente]])</f>
        <v>4</v>
      </c>
    </row>
    <row r="969" spans="1:18" x14ac:dyDescent="0.25">
      <c r="A969" t="s">
        <v>1245</v>
      </c>
      <c r="B969" t="s">
        <v>118</v>
      </c>
      <c r="C969" t="s">
        <v>119</v>
      </c>
      <c r="D969" t="s">
        <v>47</v>
      </c>
      <c r="E969" t="s">
        <v>48</v>
      </c>
      <c r="F969">
        <f>ventas_libreria[[#This Row],[precio_eur]]/100</f>
        <v>1.67</v>
      </c>
      <c r="G969">
        <v>167</v>
      </c>
      <c r="H969">
        <v>1</v>
      </c>
      <c r="I969">
        <f>ventas_libreria[[#This Row],[precio]]*ventas_libreria[[#This Row],[cantidad]]</f>
        <v>1.67</v>
      </c>
      <c r="J969">
        <v>52</v>
      </c>
      <c r="K969" t="s">
        <v>30</v>
      </c>
      <c r="L969" s="1">
        <v>45259</v>
      </c>
      <c r="M969" t="s">
        <v>43</v>
      </c>
      <c r="N969" t="s">
        <v>32</v>
      </c>
      <c r="O969" t="s">
        <v>33</v>
      </c>
      <c r="P969" t="s">
        <v>56</v>
      </c>
      <c r="Q969">
        <v>1</v>
      </c>
      <c r="R969">
        <f>IF(ventas_libreria[[#This Row],[valoracion_cliente]]="","Sin valoración",ventas_libreria[[#This Row],[valoracion_cliente]])</f>
        <v>1</v>
      </c>
    </row>
    <row r="970" spans="1:18" x14ac:dyDescent="0.25">
      <c r="A970" t="s">
        <v>1246</v>
      </c>
      <c r="B970" t="s">
        <v>276</v>
      </c>
      <c r="C970" t="s">
        <v>277</v>
      </c>
      <c r="D970" t="s">
        <v>278</v>
      </c>
      <c r="E970" t="s">
        <v>189</v>
      </c>
      <c r="F970">
        <f>ventas_libreria[[#This Row],[precio_eur]]/100</f>
        <v>1.79</v>
      </c>
      <c r="G970">
        <v>179</v>
      </c>
      <c r="H970">
        <v>1</v>
      </c>
      <c r="I970">
        <f>ventas_libreria[[#This Row],[precio]]*ventas_libreria[[#This Row],[cantidad]]</f>
        <v>1.79</v>
      </c>
      <c r="J970">
        <v>25</v>
      </c>
      <c r="K970" t="s">
        <v>62</v>
      </c>
      <c r="L970" s="1">
        <v>45026</v>
      </c>
      <c r="M970" t="s">
        <v>31</v>
      </c>
      <c r="N970" t="s">
        <v>22</v>
      </c>
      <c r="O970" t="s">
        <v>23</v>
      </c>
      <c r="P970" t="s">
        <v>56</v>
      </c>
      <c r="Q970">
        <v>5</v>
      </c>
      <c r="R970">
        <f>IF(ventas_libreria[[#This Row],[valoracion_cliente]]="","Sin valoración",ventas_libreria[[#This Row],[valoracion_cliente]])</f>
        <v>5</v>
      </c>
    </row>
    <row r="971" spans="1:18" x14ac:dyDescent="0.25">
      <c r="A971" t="s">
        <v>1247</v>
      </c>
      <c r="B971" t="s">
        <v>151</v>
      </c>
      <c r="C971" t="s">
        <v>152</v>
      </c>
      <c r="D971" t="s">
        <v>153</v>
      </c>
      <c r="E971" t="s">
        <v>154</v>
      </c>
      <c r="F971">
        <f>ventas_libreria[[#This Row],[precio_eur]]/100</f>
        <v>15.21</v>
      </c>
      <c r="G971">
        <v>1521</v>
      </c>
      <c r="H971">
        <v>1</v>
      </c>
      <c r="I971">
        <f>ventas_libreria[[#This Row],[precio]]*ventas_libreria[[#This Row],[cantidad]]</f>
        <v>15.21</v>
      </c>
      <c r="J971">
        <v>49</v>
      </c>
      <c r="K971" t="s">
        <v>30</v>
      </c>
      <c r="L971" s="1">
        <v>45510</v>
      </c>
      <c r="M971" t="s">
        <v>31</v>
      </c>
      <c r="N971" t="s">
        <v>32</v>
      </c>
      <c r="O971" t="s">
        <v>33</v>
      </c>
      <c r="P971" t="s">
        <v>34</v>
      </c>
      <c r="Q971">
        <v>5</v>
      </c>
      <c r="R971">
        <f>IF(ventas_libreria[[#This Row],[valoracion_cliente]]="","Sin valoración",ventas_libreria[[#This Row],[valoracion_cliente]])</f>
        <v>5</v>
      </c>
    </row>
    <row r="972" spans="1:18" x14ac:dyDescent="0.25">
      <c r="A972" t="s">
        <v>1248</v>
      </c>
      <c r="B972" t="s">
        <v>80</v>
      </c>
      <c r="C972" t="s">
        <v>81</v>
      </c>
      <c r="D972" t="s">
        <v>82</v>
      </c>
      <c r="E972" t="s">
        <v>83</v>
      </c>
      <c r="F972">
        <f>ventas_libreria[[#This Row],[precio_eur]]/100</f>
        <v>8.91</v>
      </c>
      <c r="G972">
        <v>891</v>
      </c>
      <c r="H972">
        <v>1</v>
      </c>
      <c r="I972">
        <f>ventas_libreria[[#This Row],[precio]]*ventas_libreria[[#This Row],[cantidad]]</f>
        <v>8.91</v>
      </c>
      <c r="J972">
        <v>64</v>
      </c>
      <c r="K972" t="s">
        <v>20</v>
      </c>
      <c r="L972" s="1">
        <v>45251</v>
      </c>
      <c r="M972" t="s">
        <v>31</v>
      </c>
      <c r="N972" t="s">
        <v>22</v>
      </c>
      <c r="O972" t="s">
        <v>23</v>
      </c>
      <c r="P972" t="s">
        <v>56</v>
      </c>
      <c r="Q972">
        <v>5</v>
      </c>
      <c r="R972">
        <f>IF(ventas_libreria[[#This Row],[valoracion_cliente]]="","Sin valoración",ventas_libreria[[#This Row],[valoracion_cliente]])</f>
        <v>5</v>
      </c>
    </row>
    <row r="973" spans="1:18" x14ac:dyDescent="0.25">
      <c r="A973" t="s">
        <v>1249</v>
      </c>
      <c r="B973" t="s">
        <v>64</v>
      </c>
      <c r="C973" t="s">
        <v>65</v>
      </c>
      <c r="D973" t="s">
        <v>66</v>
      </c>
      <c r="E973" t="s">
        <v>29</v>
      </c>
      <c r="F973">
        <f>ventas_libreria[[#This Row],[precio_eur]]/100</f>
        <v>1.65</v>
      </c>
      <c r="G973">
        <v>165</v>
      </c>
      <c r="H973">
        <v>1</v>
      </c>
      <c r="I973">
        <f>ventas_libreria[[#This Row],[precio]]*ventas_libreria[[#This Row],[cantidad]]</f>
        <v>1.65</v>
      </c>
      <c r="J973">
        <v>56</v>
      </c>
      <c r="K973" t="s">
        <v>38</v>
      </c>
      <c r="L973" s="1">
        <v>45993</v>
      </c>
      <c r="M973" t="s">
        <v>21</v>
      </c>
      <c r="N973" t="s">
        <v>32</v>
      </c>
      <c r="O973" t="s">
        <v>33</v>
      </c>
      <c r="P973" t="s">
        <v>34</v>
      </c>
      <c r="Q973">
        <v>5</v>
      </c>
      <c r="R973">
        <f>IF(ventas_libreria[[#This Row],[valoracion_cliente]]="","Sin valoración",ventas_libreria[[#This Row],[valoracion_cliente]])</f>
        <v>5</v>
      </c>
    </row>
    <row r="974" spans="1:18" x14ac:dyDescent="0.25">
      <c r="A974" t="s">
        <v>1250</v>
      </c>
      <c r="B974" t="s">
        <v>276</v>
      </c>
      <c r="C974" t="s">
        <v>277</v>
      </c>
      <c r="D974" t="s">
        <v>278</v>
      </c>
      <c r="E974" t="s">
        <v>189</v>
      </c>
      <c r="F974">
        <f>ventas_libreria[[#This Row],[precio_eur]]/100</f>
        <v>1.79</v>
      </c>
      <c r="G974">
        <v>179</v>
      </c>
      <c r="H974">
        <v>1</v>
      </c>
      <c r="I974">
        <f>ventas_libreria[[#This Row],[precio]]*ventas_libreria[[#This Row],[cantidad]]</f>
        <v>1.79</v>
      </c>
      <c r="J974">
        <v>25</v>
      </c>
      <c r="K974" t="s">
        <v>62</v>
      </c>
      <c r="L974" s="1">
        <v>45126</v>
      </c>
      <c r="M974" t="s">
        <v>43</v>
      </c>
      <c r="N974" t="s">
        <v>32</v>
      </c>
      <c r="O974" t="s">
        <v>33</v>
      </c>
      <c r="P974" t="s">
        <v>34</v>
      </c>
      <c r="R974" t="str">
        <f>IF(ventas_libreria[[#This Row],[valoracion_cliente]]="","Sin valoración",ventas_libreria[[#This Row],[valoracion_cliente]])</f>
        <v>Sin valoración</v>
      </c>
    </row>
    <row r="975" spans="1:18" x14ac:dyDescent="0.25">
      <c r="A975" t="s">
        <v>1251</v>
      </c>
      <c r="B975" t="s">
        <v>146</v>
      </c>
      <c r="C975" t="s">
        <v>147</v>
      </c>
      <c r="D975" t="s">
        <v>148</v>
      </c>
      <c r="E975" t="s">
        <v>149</v>
      </c>
      <c r="F975">
        <f>ventas_libreria[[#This Row],[precio_eur]]/100</f>
        <v>1.59</v>
      </c>
      <c r="G975">
        <v>159</v>
      </c>
      <c r="H975">
        <v>1</v>
      </c>
      <c r="I975">
        <f>ventas_libreria[[#This Row],[precio]]*ventas_libreria[[#This Row],[cantidad]]</f>
        <v>1.59</v>
      </c>
      <c r="J975">
        <v>54</v>
      </c>
      <c r="K975" t="s">
        <v>20</v>
      </c>
      <c r="L975" s="1">
        <v>45957</v>
      </c>
      <c r="M975" t="s">
        <v>21</v>
      </c>
      <c r="N975" t="s">
        <v>32</v>
      </c>
      <c r="O975" t="s">
        <v>33</v>
      </c>
      <c r="P975" t="s">
        <v>50</v>
      </c>
      <c r="Q975">
        <v>5</v>
      </c>
      <c r="R975">
        <f>IF(ventas_libreria[[#This Row],[valoracion_cliente]]="","Sin valoración",ventas_libreria[[#This Row],[valoracion_cliente]])</f>
        <v>5</v>
      </c>
    </row>
    <row r="976" spans="1:18" x14ac:dyDescent="0.25">
      <c r="A976" t="s">
        <v>1252</v>
      </c>
      <c r="B976" t="s">
        <v>129</v>
      </c>
      <c r="C976" t="s">
        <v>130</v>
      </c>
      <c r="D976" t="s">
        <v>131</v>
      </c>
      <c r="E976" t="s">
        <v>107</v>
      </c>
      <c r="F976">
        <f>ventas_libreria[[#This Row],[precio_eur]]/100</f>
        <v>17.489999999999998</v>
      </c>
      <c r="G976">
        <v>1749</v>
      </c>
      <c r="H976">
        <v>1</v>
      </c>
      <c r="I976">
        <f>ventas_libreria[[#This Row],[precio]]*ventas_libreria[[#This Row],[cantidad]]</f>
        <v>17.489999999999998</v>
      </c>
      <c r="J976">
        <v>11</v>
      </c>
      <c r="K976" t="s">
        <v>20</v>
      </c>
      <c r="L976" s="1">
        <v>45947</v>
      </c>
      <c r="M976" t="s">
        <v>43</v>
      </c>
      <c r="N976" t="s">
        <v>32</v>
      </c>
      <c r="O976" t="s">
        <v>33</v>
      </c>
      <c r="P976" t="s">
        <v>34</v>
      </c>
      <c r="Q976">
        <v>4</v>
      </c>
      <c r="R976">
        <f>IF(ventas_libreria[[#This Row],[valoracion_cliente]]="","Sin valoración",ventas_libreria[[#This Row],[valoracion_cliente]])</f>
        <v>4</v>
      </c>
    </row>
    <row r="977" spans="1:18" x14ac:dyDescent="0.25">
      <c r="A977" t="s">
        <v>1253</v>
      </c>
      <c r="B977" t="s">
        <v>291</v>
      </c>
      <c r="C977" t="s">
        <v>292</v>
      </c>
      <c r="D977" t="s">
        <v>76</v>
      </c>
      <c r="E977" t="s">
        <v>77</v>
      </c>
      <c r="F977">
        <f>ventas_libreria[[#This Row],[precio_eur]]/100</f>
        <v>0.99</v>
      </c>
      <c r="G977">
        <v>99</v>
      </c>
      <c r="H977">
        <v>1</v>
      </c>
      <c r="I977">
        <f>ventas_libreria[[#This Row],[precio]]*ventas_libreria[[#This Row],[cantidad]]</f>
        <v>0.99</v>
      </c>
      <c r="J977">
        <v>7</v>
      </c>
      <c r="K977" t="s">
        <v>38</v>
      </c>
      <c r="L977" s="1">
        <v>45458</v>
      </c>
      <c r="M977" t="s">
        <v>21</v>
      </c>
      <c r="N977" t="s">
        <v>22</v>
      </c>
      <c r="O977" t="s">
        <v>98</v>
      </c>
      <c r="P977" t="s">
        <v>24</v>
      </c>
      <c r="Q977">
        <v>5</v>
      </c>
      <c r="R977">
        <f>IF(ventas_libreria[[#This Row],[valoracion_cliente]]="","Sin valoración",ventas_libreria[[#This Row],[valoracion_cliente]])</f>
        <v>5</v>
      </c>
    </row>
    <row r="978" spans="1:18" x14ac:dyDescent="0.25">
      <c r="A978" t="s">
        <v>1254</v>
      </c>
      <c r="B978" t="s">
        <v>314</v>
      </c>
      <c r="C978" t="s">
        <v>315</v>
      </c>
      <c r="D978" t="s">
        <v>217</v>
      </c>
      <c r="E978" t="s">
        <v>55</v>
      </c>
      <c r="F978">
        <f>ventas_libreria[[#This Row],[precio_eur]]/100</f>
        <v>1.85</v>
      </c>
      <c r="G978">
        <v>185</v>
      </c>
      <c r="H978">
        <v>1</v>
      </c>
      <c r="I978">
        <f>ventas_libreria[[#This Row],[precio]]*ventas_libreria[[#This Row],[cantidad]]</f>
        <v>1.85</v>
      </c>
      <c r="J978">
        <v>52</v>
      </c>
      <c r="K978" t="s">
        <v>62</v>
      </c>
      <c r="L978" s="1">
        <v>45018</v>
      </c>
      <c r="M978" t="s">
        <v>31</v>
      </c>
      <c r="N978" t="s">
        <v>32</v>
      </c>
      <c r="O978" t="s">
        <v>33</v>
      </c>
      <c r="P978" t="s">
        <v>84</v>
      </c>
      <c r="Q978">
        <v>5</v>
      </c>
      <c r="R978">
        <f>IF(ventas_libreria[[#This Row],[valoracion_cliente]]="","Sin valoración",ventas_libreria[[#This Row],[valoracion_cliente]])</f>
        <v>5</v>
      </c>
    </row>
    <row r="979" spans="1:18" x14ac:dyDescent="0.25">
      <c r="A979" t="s">
        <v>1255</v>
      </c>
      <c r="B979" t="s">
        <v>151</v>
      </c>
      <c r="C979" t="s">
        <v>152</v>
      </c>
      <c r="D979" t="s">
        <v>153</v>
      </c>
      <c r="E979" t="s">
        <v>154</v>
      </c>
      <c r="F979">
        <f>ventas_libreria[[#This Row],[precio_eur]]/100</f>
        <v>1.69</v>
      </c>
      <c r="G979">
        <v>169</v>
      </c>
      <c r="H979">
        <v>2</v>
      </c>
      <c r="I979">
        <f>ventas_libreria[[#This Row],[precio]]*ventas_libreria[[#This Row],[cantidad]]</f>
        <v>3.38</v>
      </c>
      <c r="J979">
        <v>65</v>
      </c>
      <c r="K979" t="s">
        <v>30</v>
      </c>
      <c r="L979" s="1">
        <v>45200</v>
      </c>
      <c r="M979" t="s">
        <v>21</v>
      </c>
      <c r="N979" t="s">
        <v>32</v>
      </c>
      <c r="O979" t="s">
        <v>33</v>
      </c>
      <c r="P979" t="s">
        <v>56</v>
      </c>
      <c r="Q979">
        <v>5</v>
      </c>
      <c r="R979">
        <f>IF(ventas_libreria[[#This Row],[valoracion_cliente]]="","Sin valoración",ventas_libreria[[#This Row],[valoracion_cliente]])</f>
        <v>5</v>
      </c>
    </row>
    <row r="980" spans="1:18" x14ac:dyDescent="0.25">
      <c r="A980" t="s">
        <v>1256</v>
      </c>
      <c r="B980" t="s">
        <v>260</v>
      </c>
      <c r="C980" t="s">
        <v>261</v>
      </c>
      <c r="D980" t="s">
        <v>262</v>
      </c>
      <c r="E980" t="s">
        <v>263</v>
      </c>
      <c r="F980">
        <f>ventas_libreria[[#This Row],[precio_eur]]/100</f>
        <v>2.2999999999999998</v>
      </c>
      <c r="G980">
        <v>230</v>
      </c>
      <c r="H980">
        <v>2</v>
      </c>
      <c r="I980">
        <f>ventas_libreria[[#This Row],[precio]]*ventas_libreria[[#This Row],[cantidad]]</f>
        <v>4.5999999999999996</v>
      </c>
      <c r="J980">
        <v>25</v>
      </c>
      <c r="K980" t="s">
        <v>38</v>
      </c>
      <c r="L980" s="1">
        <v>44950</v>
      </c>
      <c r="M980" t="s">
        <v>31</v>
      </c>
      <c r="N980" t="s">
        <v>32</v>
      </c>
      <c r="O980" t="s">
        <v>33</v>
      </c>
      <c r="P980" t="s">
        <v>50</v>
      </c>
      <c r="Q980">
        <v>5</v>
      </c>
      <c r="R980">
        <f>IF(ventas_libreria[[#This Row],[valoracion_cliente]]="","Sin valoración",ventas_libreria[[#This Row],[valoracion_cliente]])</f>
        <v>5</v>
      </c>
    </row>
    <row r="981" spans="1:18" x14ac:dyDescent="0.25">
      <c r="A981" t="s">
        <v>1257</v>
      </c>
      <c r="B981" t="s">
        <v>384</v>
      </c>
      <c r="C981" t="s">
        <v>385</v>
      </c>
      <c r="D981" t="s">
        <v>158</v>
      </c>
      <c r="E981" t="s">
        <v>149</v>
      </c>
      <c r="F981">
        <f>ventas_libreria[[#This Row],[precio_eur]]/100</f>
        <v>17.52</v>
      </c>
      <c r="G981">
        <v>1752</v>
      </c>
      <c r="H981">
        <v>2</v>
      </c>
      <c r="I981">
        <f>ventas_libreria[[#This Row],[precio]]*ventas_libreria[[#This Row],[cantidad]]</f>
        <v>35.04</v>
      </c>
      <c r="J981">
        <v>31</v>
      </c>
      <c r="K981" t="s">
        <v>38</v>
      </c>
      <c r="L981" s="1">
        <v>45228</v>
      </c>
      <c r="M981" t="s">
        <v>31</v>
      </c>
      <c r="N981" t="s">
        <v>22</v>
      </c>
      <c r="O981" t="s">
        <v>98</v>
      </c>
      <c r="P981" t="s">
        <v>34</v>
      </c>
      <c r="Q981">
        <v>5</v>
      </c>
      <c r="R981">
        <f>IF(ventas_libreria[[#This Row],[valoracion_cliente]]="","Sin valoración",ventas_libreria[[#This Row],[valoracion_cliente]])</f>
        <v>5</v>
      </c>
    </row>
    <row r="982" spans="1:18" x14ac:dyDescent="0.25">
      <c r="A982" t="s">
        <v>1258</v>
      </c>
      <c r="B982" t="s">
        <v>201</v>
      </c>
      <c r="C982" t="s">
        <v>202</v>
      </c>
      <c r="D982" t="s">
        <v>47</v>
      </c>
      <c r="E982" t="s">
        <v>107</v>
      </c>
      <c r="F982">
        <f>ventas_libreria[[#This Row],[precio_eur]]/100</f>
        <v>15.29</v>
      </c>
      <c r="G982">
        <v>1529</v>
      </c>
      <c r="H982">
        <v>1</v>
      </c>
      <c r="I982">
        <f>ventas_libreria[[#This Row],[precio]]*ventas_libreria[[#This Row],[cantidad]]</f>
        <v>15.29</v>
      </c>
      <c r="J982">
        <v>15</v>
      </c>
      <c r="K982" t="s">
        <v>62</v>
      </c>
      <c r="L982" s="1">
        <v>45174</v>
      </c>
      <c r="M982" t="s">
        <v>31</v>
      </c>
      <c r="N982" t="s">
        <v>22</v>
      </c>
      <c r="O982" t="s">
        <v>49</v>
      </c>
      <c r="P982" t="s">
        <v>50</v>
      </c>
      <c r="Q982">
        <v>4</v>
      </c>
      <c r="R982">
        <f>IF(ventas_libreria[[#This Row],[valoracion_cliente]]="","Sin valoración",ventas_libreria[[#This Row],[valoracion_cliente]])</f>
        <v>4</v>
      </c>
    </row>
    <row r="983" spans="1:18" x14ac:dyDescent="0.25">
      <c r="A983" t="s">
        <v>1259</v>
      </c>
      <c r="B983" t="s">
        <v>109</v>
      </c>
      <c r="C983" t="s">
        <v>110</v>
      </c>
      <c r="D983" t="s">
        <v>111</v>
      </c>
      <c r="E983" t="s">
        <v>55</v>
      </c>
      <c r="F983">
        <f>ventas_libreria[[#This Row],[precio_eur]]/100</f>
        <v>20.89</v>
      </c>
      <c r="G983">
        <v>2089</v>
      </c>
      <c r="H983">
        <v>1</v>
      </c>
      <c r="I983">
        <f>ventas_libreria[[#This Row],[precio]]*ventas_libreria[[#This Row],[cantidad]]</f>
        <v>20.89</v>
      </c>
      <c r="J983">
        <v>67</v>
      </c>
      <c r="K983" t="s">
        <v>62</v>
      </c>
      <c r="L983" s="1">
        <v>45707</v>
      </c>
      <c r="M983" t="s">
        <v>43</v>
      </c>
      <c r="N983" t="s">
        <v>32</v>
      </c>
      <c r="O983" t="s">
        <v>33</v>
      </c>
      <c r="P983" t="s">
        <v>34</v>
      </c>
      <c r="Q983">
        <v>4</v>
      </c>
      <c r="R983">
        <f>IF(ventas_libreria[[#This Row],[valoracion_cliente]]="","Sin valoración",ventas_libreria[[#This Row],[valoracion_cliente]])</f>
        <v>4</v>
      </c>
    </row>
    <row r="984" spans="1:18" x14ac:dyDescent="0.25">
      <c r="A984" t="s">
        <v>1260</v>
      </c>
      <c r="B984" t="s">
        <v>134</v>
      </c>
      <c r="C984" t="s">
        <v>135</v>
      </c>
      <c r="D984" t="s">
        <v>106</v>
      </c>
      <c r="E984" t="s">
        <v>107</v>
      </c>
      <c r="F984">
        <f>ventas_libreria[[#This Row],[precio_eur]]/100</f>
        <v>13.41</v>
      </c>
      <c r="G984">
        <v>1341</v>
      </c>
      <c r="H984">
        <v>1</v>
      </c>
      <c r="I984">
        <f>ventas_libreria[[#This Row],[precio]]*ventas_libreria[[#This Row],[cantidad]]</f>
        <v>13.41</v>
      </c>
      <c r="J984">
        <v>21</v>
      </c>
      <c r="K984" t="s">
        <v>38</v>
      </c>
      <c r="L984" s="1">
        <v>45960</v>
      </c>
      <c r="M984" t="s">
        <v>21</v>
      </c>
      <c r="N984" t="s">
        <v>32</v>
      </c>
      <c r="O984" t="s">
        <v>33</v>
      </c>
      <c r="P984" t="s">
        <v>24</v>
      </c>
      <c r="Q984">
        <v>5</v>
      </c>
      <c r="R984">
        <f>IF(ventas_libreria[[#This Row],[valoracion_cliente]]="","Sin valoración",ventas_libreria[[#This Row],[valoracion_cliente]])</f>
        <v>5</v>
      </c>
    </row>
    <row r="985" spans="1:18" x14ac:dyDescent="0.25">
      <c r="A985" t="s">
        <v>1261</v>
      </c>
      <c r="B985" t="s">
        <v>16</v>
      </c>
      <c r="C985" t="s">
        <v>17</v>
      </c>
      <c r="D985" t="s">
        <v>18</v>
      </c>
      <c r="E985" t="s">
        <v>19</v>
      </c>
      <c r="F985">
        <f>ventas_libreria[[#This Row],[precio_eur]]/100</f>
        <v>16.39</v>
      </c>
      <c r="G985">
        <v>1639</v>
      </c>
      <c r="H985">
        <v>2</v>
      </c>
      <c r="I985">
        <f>ventas_libreria[[#This Row],[precio]]*ventas_libreria[[#This Row],[cantidad]]</f>
        <v>32.78</v>
      </c>
      <c r="J985">
        <v>21</v>
      </c>
      <c r="K985" t="s">
        <v>30</v>
      </c>
      <c r="L985" s="1">
        <v>45578</v>
      </c>
      <c r="M985" t="s">
        <v>21</v>
      </c>
      <c r="N985" t="s">
        <v>32</v>
      </c>
      <c r="O985" t="s">
        <v>33</v>
      </c>
      <c r="P985" t="s">
        <v>34</v>
      </c>
      <c r="Q985">
        <v>3</v>
      </c>
      <c r="R985">
        <f>IF(ventas_libreria[[#This Row],[valoracion_cliente]]="","Sin valoración",ventas_libreria[[#This Row],[valoracion_cliente]])</f>
        <v>3</v>
      </c>
    </row>
    <row r="986" spans="1:18" x14ac:dyDescent="0.25">
      <c r="A986" t="s">
        <v>1262</v>
      </c>
      <c r="B986" t="s">
        <v>121</v>
      </c>
      <c r="C986" t="s">
        <v>122</v>
      </c>
      <c r="D986" t="s">
        <v>123</v>
      </c>
      <c r="E986" t="s">
        <v>48</v>
      </c>
      <c r="F986">
        <f>ventas_libreria[[#This Row],[precio_eur]]/100</f>
        <v>1.69</v>
      </c>
      <c r="G986">
        <v>169</v>
      </c>
      <c r="H986">
        <v>1</v>
      </c>
      <c r="I986">
        <f>ventas_libreria[[#This Row],[precio]]*ventas_libreria[[#This Row],[cantidad]]</f>
        <v>1.69</v>
      </c>
      <c r="J986">
        <v>20</v>
      </c>
      <c r="K986" t="s">
        <v>20</v>
      </c>
      <c r="L986" s="1">
        <v>45118</v>
      </c>
      <c r="M986" t="s">
        <v>21</v>
      </c>
      <c r="N986" t="s">
        <v>32</v>
      </c>
      <c r="O986" t="s">
        <v>33</v>
      </c>
      <c r="P986" t="s">
        <v>34</v>
      </c>
      <c r="Q986">
        <v>4</v>
      </c>
      <c r="R986">
        <f>IF(ventas_libreria[[#This Row],[valoracion_cliente]]="","Sin valoración",ventas_libreria[[#This Row],[valoracion_cliente]])</f>
        <v>4</v>
      </c>
    </row>
    <row r="987" spans="1:18" x14ac:dyDescent="0.25">
      <c r="A987" t="s">
        <v>1263</v>
      </c>
      <c r="B987" t="s">
        <v>243</v>
      </c>
      <c r="C987" t="s">
        <v>244</v>
      </c>
      <c r="D987" t="s">
        <v>245</v>
      </c>
      <c r="E987" t="s">
        <v>48</v>
      </c>
      <c r="F987">
        <f>ventas_libreria[[#This Row],[precio_eur]]/100</f>
        <v>19.71</v>
      </c>
      <c r="G987">
        <v>1971</v>
      </c>
      <c r="H987">
        <v>1</v>
      </c>
      <c r="I987">
        <f>ventas_libreria[[#This Row],[precio]]*ventas_libreria[[#This Row],[cantidad]]</f>
        <v>19.71</v>
      </c>
      <c r="J987">
        <v>39</v>
      </c>
      <c r="K987" t="s">
        <v>62</v>
      </c>
      <c r="L987" s="1">
        <v>45741</v>
      </c>
      <c r="M987" t="s">
        <v>43</v>
      </c>
      <c r="N987" t="s">
        <v>32</v>
      </c>
      <c r="O987" t="s">
        <v>33</v>
      </c>
      <c r="P987" t="s">
        <v>24</v>
      </c>
      <c r="Q987">
        <v>5</v>
      </c>
      <c r="R987">
        <f>IF(ventas_libreria[[#This Row],[valoracion_cliente]]="","Sin valoración",ventas_libreria[[#This Row],[valoracion_cliente]])</f>
        <v>5</v>
      </c>
    </row>
    <row r="988" spans="1:18" x14ac:dyDescent="0.25">
      <c r="A988" t="s">
        <v>1264</v>
      </c>
      <c r="B988" t="s">
        <v>508</v>
      </c>
      <c r="C988" t="s">
        <v>509</v>
      </c>
      <c r="D988" t="s">
        <v>199</v>
      </c>
      <c r="E988" t="s">
        <v>55</v>
      </c>
      <c r="F988">
        <f>ventas_libreria[[#This Row],[precio_eur]]/100</f>
        <v>1.89</v>
      </c>
      <c r="G988">
        <v>189</v>
      </c>
      <c r="H988">
        <v>4</v>
      </c>
      <c r="I988">
        <f>ventas_libreria[[#This Row],[precio]]*ventas_libreria[[#This Row],[cantidad]]</f>
        <v>7.56</v>
      </c>
      <c r="J988">
        <v>22</v>
      </c>
      <c r="K988" t="s">
        <v>20</v>
      </c>
      <c r="L988" s="1">
        <v>45996</v>
      </c>
      <c r="M988" t="s">
        <v>43</v>
      </c>
      <c r="N988" t="s">
        <v>32</v>
      </c>
      <c r="O988" t="s">
        <v>33</v>
      </c>
      <c r="P988" t="s">
        <v>84</v>
      </c>
      <c r="Q988">
        <v>5</v>
      </c>
      <c r="R988">
        <f>IF(ventas_libreria[[#This Row],[valoracion_cliente]]="","Sin valoración",ventas_libreria[[#This Row],[valoracion_cliente]])</f>
        <v>5</v>
      </c>
    </row>
    <row r="989" spans="1:18" x14ac:dyDescent="0.25">
      <c r="A989" t="s">
        <v>1265</v>
      </c>
      <c r="B989" t="s">
        <v>26</v>
      </c>
      <c r="C989" t="s">
        <v>27</v>
      </c>
      <c r="D989" t="s">
        <v>28</v>
      </c>
      <c r="E989" t="s">
        <v>29</v>
      </c>
      <c r="F989">
        <f>ventas_libreria[[#This Row],[precio_eur]]/100</f>
        <v>1.89</v>
      </c>
      <c r="G989">
        <v>189</v>
      </c>
      <c r="H989">
        <v>1</v>
      </c>
      <c r="I989">
        <f>ventas_libreria[[#This Row],[precio]]*ventas_libreria[[#This Row],[cantidad]]</f>
        <v>1.89</v>
      </c>
      <c r="J989">
        <v>46</v>
      </c>
      <c r="K989" t="s">
        <v>62</v>
      </c>
      <c r="L989" s="1">
        <v>45075</v>
      </c>
      <c r="M989" t="s">
        <v>31</v>
      </c>
      <c r="N989" t="s">
        <v>32</v>
      </c>
      <c r="O989" t="s">
        <v>33</v>
      </c>
      <c r="P989" t="s">
        <v>84</v>
      </c>
      <c r="Q989">
        <v>4</v>
      </c>
      <c r="R989">
        <f>IF(ventas_libreria[[#This Row],[valoracion_cliente]]="","Sin valoración",ventas_libreria[[#This Row],[valoracion_cliente]])</f>
        <v>4</v>
      </c>
    </row>
    <row r="990" spans="1:18" x14ac:dyDescent="0.25">
      <c r="A990" t="s">
        <v>1266</v>
      </c>
      <c r="B990" t="s">
        <v>52</v>
      </c>
      <c r="C990" t="s">
        <v>53</v>
      </c>
      <c r="D990" t="s">
        <v>54</v>
      </c>
      <c r="E990" t="s">
        <v>55</v>
      </c>
      <c r="F990">
        <f>ventas_libreria[[#This Row],[precio_eur]]/100</f>
        <v>1</v>
      </c>
      <c r="G990">
        <v>100</v>
      </c>
      <c r="H990">
        <v>2</v>
      </c>
      <c r="I990">
        <f>ventas_libreria[[#This Row],[precio]]*ventas_libreria[[#This Row],[cantidad]]</f>
        <v>2</v>
      </c>
      <c r="J990">
        <v>72</v>
      </c>
      <c r="K990" t="s">
        <v>62</v>
      </c>
      <c r="L990" s="1">
        <v>45769</v>
      </c>
      <c r="M990" t="s">
        <v>31</v>
      </c>
      <c r="N990" t="s">
        <v>22</v>
      </c>
      <c r="O990" t="s">
        <v>67</v>
      </c>
      <c r="P990" t="s">
        <v>56</v>
      </c>
      <c r="Q990">
        <v>3</v>
      </c>
      <c r="R990">
        <f>IF(ventas_libreria[[#This Row],[valoracion_cliente]]="","Sin valoración",ventas_libreria[[#This Row],[valoracion_cliente]])</f>
        <v>3</v>
      </c>
    </row>
    <row r="991" spans="1:18" x14ac:dyDescent="0.25">
      <c r="A991" t="s">
        <v>1267</v>
      </c>
      <c r="B991" t="s">
        <v>403</v>
      </c>
      <c r="C991" t="s">
        <v>404</v>
      </c>
      <c r="D991" t="s">
        <v>123</v>
      </c>
      <c r="E991" t="s">
        <v>48</v>
      </c>
      <c r="F991">
        <f>ventas_libreria[[#This Row],[precio_eur]]/100</f>
        <v>23.92</v>
      </c>
      <c r="G991">
        <v>2392</v>
      </c>
      <c r="H991">
        <v>1</v>
      </c>
      <c r="I991">
        <f>ventas_libreria[[#This Row],[precio]]*ventas_libreria[[#This Row],[cantidad]]</f>
        <v>23.92</v>
      </c>
      <c r="J991">
        <v>17</v>
      </c>
      <c r="K991" t="s">
        <v>30</v>
      </c>
      <c r="L991" s="1">
        <v>45176</v>
      </c>
      <c r="M991" t="s">
        <v>31</v>
      </c>
      <c r="N991" t="s">
        <v>22</v>
      </c>
      <c r="O991" t="s">
        <v>23</v>
      </c>
      <c r="P991" t="s">
        <v>34</v>
      </c>
      <c r="Q991">
        <v>3</v>
      </c>
      <c r="R991">
        <f>IF(ventas_libreria[[#This Row],[valoracion_cliente]]="","Sin valoración",ventas_libreria[[#This Row],[valoracion_cliente]])</f>
        <v>3</v>
      </c>
    </row>
    <row r="992" spans="1:18" x14ac:dyDescent="0.25">
      <c r="A992" t="s">
        <v>1268</v>
      </c>
      <c r="B992" t="s">
        <v>236</v>
      </c>
      <c r="C992" t="s">
        <v>237</v>
      </c>
      <c r="D992" t="s">
        <v>238</v>
      </c>
      <c r="E992" t="s">
        <v>29</v>
      </c>
      <c r="F992">
        <f>ventas_libreria[[#This Row],[precio_eur]]/100</f>
        <v>14.32</v>
      </c>
      <c r="G992">
        <v>1432</v>
      </c>
      <c r="H992">
        <v>1</v>
      </c>
      <c r="I992">
        <f>ventas_libreria[[#This Row],[precio]]*ventas_libreria[[#This Row],[cantidad]]</f>
        <v>14.32</v>
      </c>
      <c r="J992">
        <v>30</v>
      </c>
      <c r="K992" t="s">
        <v>20</v>
      </c>
      <c r="L992" s="1">
        <v>45964</v>
      </c>
      <c r="M992" t="s">
        <v>43</v>
      </c>
      <c r="N992" t="s">
        <v>32</v>
      </c>
      <c r="O992" t="s">
        <v>33</v>
      </c>
      <c r="P992" t="s">
        <v>56</v>
      </c>
      <c r="Q992">
        <v>5</v>
      </c>
      <c r="R992">
        <f>IF(ventas_libreria[[#This Row],[valoracion_cliente]]="","Sin valoración",ventas_libreria[[#This Row],[valoracion_cliente]])</f>
        <v>5</v>
      </c>
    </row>
    <row r="993" spans="1:18" x14ac:dyDescent="0.25">
      <c r="A993" t="s">
        <v>1269</v>
      </c>
      <c r="B993" t="s">
        <v>375</v>
      </c>
      <c r="C993" t="s">
        <v>376</v>
      </c>
      <c r="D993" t="s">
        <v>377</v>
      </c>
      <c r="E993" t="s">
        <v>29</v>
      </c>
      <c r="F993">
        <f>ventas_libreria[[#This Row],[precio_eur]]/100</f>
        <v>1.59</v>
      </c>
      <c r="G993">
        <v>159</v>
      </c>
      <c r="H993">
        <v>2</v>
      </c>
      <c r="I993">
        <f>ventas_libreria[[#This Row],[precio]]*ventas_libreria[[#This Row],[cantidad]]</f>
        <v>3.18</v>
      </c>
      <c r="J993">
        <v>58</v>
      </c>
      <c r="K993" t="s">
        <v>62</v>
      </c>
      <c r="L993" s="1">
        <v>45442</v>
      </c>
      <c r="M993" t="s">
        <v>31</v>
      </c>
      <c r="N993" t="s">
        <v>22</v>
      </c>
      <c r="O993" t="s">
        <v>49</v>
      </c>
      <c r="P993" t="s">
        <v>24</v>
      </c>
      <c r="Q993">
        <v>4</v>
      </c>
      <c r="R993">
        <f>IF(ventas_libreria[[#This Row],[valoracion_cliente]]="","Sin valoración",ventas_libreria[[#This Row],[valoracion_cliente]])</f>
        <v>4</v>
      </c>
    </row>
    <row r="994" spans="1:18" x14ac:dyDescent="0.25">
      <c r="A994" t="s">
        <v>1270</v>
      </c>
      <c r="B994" t="s">
        <v>403</v>
      </c>
      <c r="C994" t="s">
        <v>404</v>
      </c>
      <c r="D994" t="s">
        <v>123</v>
      </c>
      <c r="E994" t="s">
        <v>48</v>
      </c>
      <c r="F994">
        <f>ventas_libreria[[#This Row],[precio_eur]]/100</f>
        <v>2.99</v>
      </c>
      <c r="G994">
        <v>299</v>
      </c>
      <c r="H994">
        <v>1</v>
      </c>
      <c r="I994">
        <f>ventas_libreria[[#This Row],[precio]]*ventas_libreria[[#This Row],[cantidad]]</f>
        <v>2.99</v>
      </c>
      <c r="J994">
        <v>50</v>
      </c>
      <c r="K994" t="s">
        <v>30</v>
      </c>
      <c r="L994" s="1">
        <v>45574</v>
      </c>
      <c r="M994" t="s">
        <v>43</v>
      </c>
      <c r="N994" t="s">
        <v>32</v>
      </c>
      <c r="O994" t="s">
        <v>33</v>
      </c>
      <c r="P994" t="s">
        <v>34</v>
      </c>
      <c r="Q994">
        <v>5</v>
      </c>
      <c r="R994">
        <f>IF(ventas_libreria[[#This Row],[valoracion_cliente]]="","Sin valoración",ventas_libreria[[#This Row],[valoracion_cliente]])</f>
        <v>5</v>
      </c>
    </row>
    <row r="995" spans="1:18" x14ac:dyDescent="0.25">
      <c r="A995" t="s">
        <v>1271</v>
      </c>
      <c r="B995" t="s">
        <v>220</v>
      </c>
      <c r="C995" t="s">
        <v>221</v>
      </c>
      <c r="D995" t="s">
        <v>222</v>
      </c>
      <c r="E995" t="s">
        <v>116</v>
      </c>
      <c r="F995">
        <f>ventas_libreria[[#This Row],[precio_eur]]/100</f>
        <v>10.32</v>
      </c>
      <c r="G995">
        <v>1032</v>
      </c>
      <c r="H995">
        <v>1</v>
      </c>
      <c r="I995">
        <f>ventas_libreria[[#This Row],[precio]]*ventas_libreria[[#This Row],[cantidad]]</f>
        <v>10.32</v>
      </c>
      <c r="J995">
        <v>49</v>
      </c>
      <c r="K995" t="s">
        <v>38</v>
      </c>
      <c r="L995" s="1">
        <v>45380</v>
      </c>
      <c r="M995" t="s">
        <v>21</v>
      </c>
      <c r="N995" t="s">
        <v>22</v>
      </c>
      <c r="O995" t="s">
        <v>98</v>
      </c>
      <c r="P995" t="s">
        <v>84</v>
      </c>
      <c r="Q995">
        <v>5</v>
      </c>
      <c r="R995">
        <f>IF(ventas_libreria[[#This Row],[valoracion_cliente]]="","Sin valoración",ventas_libreria[[#This Row],[valoracion_cliente]])</f>
        <v>5</v>
      </c>
    </row>
    <row r="996" spans="1:18" x14ac:dyDescent="0.25">
      <c r="A996" t="s">
        <v>1272</v>
      </c>
      <c r="B996" t="s">
        <v>365</v>
      </c>
      <c r="C996" t="s">
        <v>366</v>
      </c>
      <c r="D996" t="s">
        <v>367</v>
      </c>
      <c r="E996" t="s">
        <v>19</v>
      </c>
      <c r="F996">
        <f>ventas_libreria[[#This Row],[precio_eur]]/100</f>
        <v>19.84</v>
      </c>
      <c r="G996">
        <v>1984</v>
      </c>
      <c r="H996">
        <v>2</v>
      </c>
      <c r="I996">
        <f>ventas_libreria[[#This Row],[precio]]*ventas_libreria[[#This Row],[cantidad]]</f>
        <v>39.68</v>
      </c>
      <c r="J996">
        <v>31</v>
      </c>
      <c r="K996" t="s">
        <v>20</v>
      </c>
      <c r="L996" s="1">
        <v>45597</v>
      </c>
      <c r="M996" t="s">
        <v>43</v>
      </c>
      <c r="N996" t="s">
        <v>32</v>
      </c>
      <c r="O996" t="s">
        <v>33</v>
      </c>
      <c r="P996" t="s">
        <v>56</v>
      </c>
      <c r="Q996">
        <v>4</v>
      </c>
      <c r="R996">
        <f>IF(ventas_libreria[[#This Row],[valoracion_cliente]]="","Sin valoración",ventas_libreria[[#This Row],[valoracion_cliente]])</f>
        <v>4</v>
      </c>
    </row>
    <row r="997" spans="1:18" x14ac:dyDescent="0.25">
      <c r="A997" t="s">
        <v>1273</v>
      </c>
      <c r="B997" t="s">
        <v>314</v>
      </c>
      <c r="C997" t="s">
        <v>315</v>
      </c>
      <c r="D997" t="s">
        <v>217</v>
      </c>
      <c r="E997" t="s">
        <v>55</v>
      </c>
      <c r="F997">
        <f>ventas_libreria[[#This Row],[precio_eur]]/100</f>
        <v>1.85</v>
      </c>
      <c r="G997">
        <v>185</v>
      </c>
      <c r="H997">
        <v>1</v>
      </c>
      <c r="I997">
        <f>ventas_libreria[[#This Row],[precio]]*ventas_libreria[[#This Row],[cantidad]]</f>
        <v>1.85</v>
      </c>
      <c r="J997">
        <v>17</v>
      </c>
      <c r="K997" t="s">
        <v>62</v>
      </c>
      <c r="L997" s="1">
        <v>45894</v>
      </c>
      <c r="M997" t="s">
        <v>21</v>
      </c>
      <c r="N997" t="s">
        <v>32</v>
      </c>
      <c r="O997" t="s">
        <v>33</v>
      </c>
      <c r="P997" t="s">
        <v>24</v>
      </c>
      <c r="Q997">
        <v>3</v>
      </c>
      <c r="R997">
        <f>IF(ventas_libreria[[#This Row],[valoracion_cliente]]="","Sin valoración",ventas_libreria[[#This Row],[valoracion_cliente]])</f>
        <v>3</v>
      </c>
    </row>
    <row r="998" spans="1:18" x14ac:dyDescent="0.25">
      <c r="A998" t="s">
        <v>1274</v>
      </c>
      <c r="B998" t="s">
        <v>353</v>
      </c>
      <c r="C998" t="s">
        <v>354</v>
      </c>
      <c r="D998" t="s">
        <v>226</v>
      </c>
      <c r="E998" t="s">
        <v>116</v>
      </c>
      <c r="F998">
        <f>ventas_libreria[[#This Row],[precio_eur]]/100</f>
        <v>1.69</v>
      </c>
      <c r="G998">
        <v>169</v>
      </c>
      <c r="H998">
        <v>1</v>
      </c>
      <c r="I998">
        <f>ventas_libreria[[#This Row],[precio]]*ventas_libreria[[#This Row],[cantidad]]</f>
        <v>1.69</v>
      </c>
      <c r="J998">
        <v>61</v>
      </c>
      <c r="K998" t="s">
        <v>30</v>
      </c>
      <c r="L998" s="1">
        <v>45300</v>
      </c>
      <c r="M998" t="s">
        <v>43</v>
      </c>
      <c r="N998" t="s">
        <v>32</v>
      </c>
      <c r="O998" t="s">
        <v>33</v>
      </c>
      <c r="P998" t="s">
        <v>56</v>
      </c>
      <c r="Q998">
        <v>3</v>
      </c>
      <c r="R998">
        <f>IF(ventas_libreria[[#This Row],[valoracion_cliente]]="","Sin valoración",ventas_libreria[[#This Row],[valoracion_cliente]])</f>
        <v>3</v>
      </c>
    </row>
    <row r="999" spans="1:18" x14ac:dyDescent="0.25">
      <c r="A999" t="s">
        <v>1275</v>
      </c>
      <c r="B999" t="s">
        <v>318</v>
      </c>
      <c r="C999" t="s">
        <v>319</v>
      </c>
      <c r="D999" t="s">
        <v>167</v>
      </c>
      <c r="E999" t="s">
        <v>61</v>
      </c>
      <c r="F999">
        <f>ventas_libreria[[#This Row],[precio_eur]]/100</f>
        <v>19.84</v>
      </c>
      <c r="G999">
        <v>1984</v>
      </c>
      <c r="H999">
        <v>1</v>
      </c>
      <c r="I999">
        <f>ventas_libreria[[#This Row],[precio]]*ventas_libreria[[#This Row],[cantidad]]</f>
        <v>19.84</v>
      </c>
      <c r="J999">
        <v>71</v>
      </c>
      <c r="K999" t="s">
        <v>30</v>
      </c>
      <c r="L999" s="1">
        <v>45901</v>
      </c>
      <c r="M999" t="s">
        <v>43</v>
      </c>
      <c r="N999" t="s">
        <v>32</v>
      </c>
      <c r="O999" t="s">
        <v>33</v>
      </c>
      <c r="P999" t="s">
        <v>34</v>
      </c>
      <c r="Q999">
        <v>5</v>
      </c>
      <c r="R999">
        <f>IF(ventas_libreria[[#This Row],[valoracion_cliente]]="","Sin valoración",ventas_libreria[[#This Row],[valoracion_cliente]])</f>
        <v>5</v>
      </c>
    </row>
    <row r="1000" spans="1:18" x14ac:dyDescent="0.25">
      <c r="A1000" t="s">
        <v>1276</v>
      </c>
      <c r="B1000" t="s">
        <v>169</v>
      </c>
      <c r="C1000" t="s">
        <v>170</v>
      </c>
      <c r="D1000" t="s">
        <v>171</v>
      </c>
      <c r="E1000" t="s">
        <v>172</v>
      </c>
      <c r="F1000">
        <f>ventas_libreria[[#This Row],[precio_eur]]/100</f>
        <v>25.19</v>
      </c>
      <c r="G1000">
        <v>2519</v>
      </c>
      <c r="H1000">
        <v>1</v>
      </c>
      <c r="I1000">
        <f>ventas_libreria[[#This Row],[precio]]*ventas_libreria[[#This Row],[cantidad]]</f>
        <v>25.19</v>
      </c>
      <c r="J1000">
        <v>69</v>
      </c>
      <c r="K1000" t="s">
        <v>30</v>
      </c>
      <c r="L1000" s="1">
        <v>45398</v>
      </c>
      <c r="M1000" t="s">
        <v>31</v>
      </c>
      <c r="N1000" t="s">
        <v>32</v>
      </c>
      <c r="O1000" t="s">
        <v>33</v>
      </c>
      <c r="P1000" t="s">
        <v>56</v>
      </c>
      <c r="Q1000">
        <v>5</v>
      </c>
      <c r="R1000">
        <f>IF(ventas_libreria[[#This Row],[valoracion_cliente]]="","Sin valoración",ventas_libreria[[#This Row],[valoracion_cliente]])</f>
        <v>5</v>
      </c>
    </row>
    <row r="1001" spans="1:18" x14ac:dyDescent="0.25">
      <c r="A1001" t="s">
        <v>1277</v>
      </c>
      <c r="B1001" t="s">
        <v>671</v>
      </c>
      <c r="C1001" t="s">
        <v>672</v>
      </c>
      <c r="D1001" t="s">
        <v>673</v>
      </c>
      <c r="E1001" t="s">
        <v>116</v>
      </c>
      <c r="F1001">
        <f>ventas_libreria[[#This Row],[precio_eur]]/100</f>
        <v>10.96</v>
      </c>
      <c r="G1001">
        <v>1096</v>
      </c>
      <c r="H1001">
        <v>1</v>
      </c>
      <c r="I1001">
        <f>ventas_libreria[[#This Row],[precio]]*ventas_libreria[[#This Row],[cantidad]]</f>
        <v>10.96</v>
      </c>
      <c r="J1001">
        <v>25</v>
      </c>
      <c r="K1001" t="s">
        <v>38</v>
      </c>
      <c r="L1001" s="1">
        <v>45680</v>
      </c>
      <c r="M1001" t="s">
        <v>21</v>
      </c>
      <c r="N1001" t="s">
        <v>22</v>
      </c>
      <c r="O1001" t="s">
        <v>23</v>
      </c>
      <c r="P1001" t="s">
        <v>84</v>
      </c>
      <c r="R1001" t="str">
        <f>IF(ventas_libreria[[#This Row],[valoracion_cliente]]="","Sin valoración",ventas_libreria[[#This Row],[valoracion_cliente]])</f>
        <v>Sin valoración</v>
      </c>
    </row>
    <row r="1002" spans="1:18" x14ac:dyDescent="0.25">
      <c r="A1002" t="s">
        <v>1278</v>
      </c>
      <c r="B1002" t="s">
        <v>201</v>
      </c>
      <c r="C1002" t="s">
        <v>202</v>
      </c>
      <c r="D1002" t="s">
        <v>47</v>
      </c>
      <c r="E1002" t="s">
        <v>107</v>
      </c>
      <c r="F1002">
        <f>ventas_libreria[[#This Row],[precio_eur]]/100</f>
        <v>11.81</v>
      </c>
      <c r="G1002">
        <v>1181</v>
      </c>
      <c r="H1002">
        <v>1</v>
      </c>
      <c r="I1002">
        <f>ventas_libreria[[#This Row],[precio]]*ventas_libreria[[#This Row],[cantidad]]</f>
        <v>11.81</v>
      </c>
      <c r="J1002">
        <v>20</v>
      </c>
      <c r="K1002" t="s">
        <v>20</v>
      </c>
      <c r="L1002" s="1">
        <v>45167</v>
      </c>
      <c r="M1002" t="s">
        <v>43</v>
      </c>
      <c r="N1002" t="s">
        <v>32</v>
      </c>
      <c r="O1002" t="s">
        <v>33</v>
      </c>
      <c r="P1002" t="s">
        <v>24</v>
      </c>
      <c r="Q1002">
        <v>4</v>
      </c>
      <c r="R1002">
        <f>IF(ventas_libreria[[#This Row],[valoracion_cliente]]="","Sin valoración",ventas_libreria[[#This Row],[valoracion_cliente]])</f>
        <v>4</v>
      </c>
    </row>
    <row r="1003" spans="1:18" x14ac:dyDescent="0.25">
      <c r="A1003" t="s">
        <v>1279</v>
      </c>
      <c r="B1003" t="s">
        <v>40</v>
      </c>
      <c r="C1003" t="s">
        <v>41</v>
      </c>
      <c r="D1003" t="s">
        <v>42</v>
      </c>
      <c r="E1003" t="s">
        <v>19</v>
      </c>
      <c r="F1003">
        <f>ventas_libreria[[#This Row],[precio_eur]]/100</f>
        <v>10.32</v>
      </c>
      <c r="G1003">
        <v>1032</v>
      </c>
      <c r="H1003">
        <v>2</v>
      </c>
      <c r="I1003">
        <f>ventas_libreria[[#This Row],[precio]]*ventas_libreria[[#This Row],[cantidad]]</f>
        <v>20.64</v>
      </c>
      <c r="J1003">
        <v>27</v>
      </c>
      <c r="K1003" t="s">
        <v>62</v>
      </c>
      <c r="L1003" s="1">
        <v>45018</v>
      </c>
      <c r="M1003" t="s">
        <v>21</v>
      </c>
      <c r="N1003" t="s">
        <v>32</v>
      </c>
      <c r="O1003" t="s">
        <v>33</v>
      </c>
      <c r="P1003" t="s">
        <v>56</v>
      </c>
      <c r="Q1003">
        <v>5</v>
      </c>
      <c r="R1003">
        <f>IF(ventas_libreria[[#This Row],[valoracion_cliente]]="","Sin valoración",ventas_libreria[[#This Row],[valoracion_cliente]])</f>
        <v>5</v>
      </c>
    </row>
    <row r="1004" spans="1:18" x14ac:dyDescent="0.25">
      <c r="A1004" t="s">
        <v>1280</v>
      </c>
      <c r="B1004" t="s">
        <v>220</v>
      </c>
      <c r="C1004" t="s">
        <v>221</v>
      </c>
      <c r="D1004" t="s">
        <v>222</v>
      </c>
      <c r="E1004" t="s">
        <v>116</v>
      </c>
      <c r="F1004">
        <f>ventas_libreria[[#This Row],[precio_eur]]/100</f>
        <v>1.29</v>
      </c>
      <c r="G1004">
        <v>129</v>
      </c>
      <c r="H1004">
        <v>1</v>
      </c>
      <c r="I1004">
        <f>ventas_libreria[[#This Row],[precio]]*ventas_libreria[[#This Row],[cantidad]]</f>
        <v>1.29</v>
      </c>
      <c r="J1004">
        <v>28</v>
      </c>
      <c r="K1004" t="s">
        <v>30</v>
      </c>
      <c r="L1004" s="1">
        <v>45731</v>
      </c>
      <c r="M1004" t="s">
        <v>21</v>
      </c>
      <c r="N1004" t="s">
        <v>22</v>
      </c>
      <c r="O1004" t="s">
        <v>98</v>
      </c>
      <c r="P1004" t="s">
        <v>34</v>
      </c>
      <c r="Q1004">
        <v>4</v>
      </c>
      <c r="R1004">
        <f>IF(ventas_libreria[[#This Row],[valoracion_cliente]]="","Sin valoración",ventas_libreria[[#This Row],[valoracion_cliente]])</f>
        <v>4</v>
      </c>
    </row>
    <row r="1005" spans="1:18" x14ac:dyDescent="0.25">
      <c r="A1005" t="s">
        <v>1281</v>
      </c>
      <c r="B1005" t="s">
        <v>104</v>
      </c>
      <c r="C1005" t="s">
        <v>105</v>
      </c>
      <c r="D1005" t="s">
        <v>106</v>
      </c>
      <c r="E1005" t="s">
        <v>107</v>
      </c>
      <c r="F1005">
        <f>ventas_libreria[[#This Row],[precio_eur]]/100</f>
        <v>12.66</v>
      </c>
      <c r="G1005">
        <v>1266</v>
      </c>
      <c r="H1005">
        <v>1</v>
      </c>
      <c r="I1005">
        <f>ventas_libreria[[#This Row],[precio]]*ventas_libreria[[#This Row],[cantidad]]</f>
        <v>12.66</v>
      </c>
      <c r="J1005">
        <v>10</v>
      </c>
      <c r="K1005" t="s">
        <v>62</v>
      </c>
      <c r="L1005" s="1">
        <v>45607</v>
      </c>
      <c r="M1005" t="s">
        <v>43</v>
      </c>
      <c r="N1005" t="s">
        <v>32</v>
      </c>
      <c r="O1005" t="s">
        <v>33</v>
      </c>
      <c r="P1005" t="s">
        <v>34</v>
      </c>
      <c r="Q1005">
        <v>4</v>
      </c>
      <c r="R1005">
        <f>IF(ventas_libreria[[#This Row],[valoracion_cliente]]="","Sin valoración",ventas_libreria[[#This Row],[valoracion_cliente]])</f>
        <v>4</v>
      </c>
    </row>
    <row r="1006" spans="1:18" x14ac:dyDescent="0.25">
      <c r="A1006" t="s">
        <v>1282</v>
      </c>
      <c r="B1006" t="s">
        <v>74</v>
      </c>
      <c r="C1006" t="s">
        <v>75</v>
      </c>
      <c r="D1006" t="s">
        <v>76</v>
      </c>
      <c r="E1006" t="s">
        <v>77</v>
      </c>
      <c r="F1006">
        <f>ventas_libreria[[#This Row],[precio_eur]]/100</f>
        <v>1.59</v>
      </c>
      <c r="G1006">
        <v>159</v>
      </c>
      <c r="H1006">
        <v>2</v>
      </c>
      <c r="I1006">
        <f>ventas_libreria[[#This Row],[precio]]*ventas_libreria[[#This Row],[cantidad]]</f>
        <v>3.18</v>
      </c>
      <c r="J1006">
        <v>10</v>
      </c>
      <c r="K1006" t="s">
        <v>30</v>
      </c>
      <c r="L1006" s="1">
        <v>45059</v>
      </c>
      <c r="M1006" t="s">
        <v>31</v>
      </c>
      <c r="N1006" t="s">
        <v>32</v>
      </c>
      <c r="O1006" t="s">
        <v>33</v>
      </c>
      <c r="P1006" t="s">
        <v>34</v>
      </c>
      <c r="Q1006">
        <v>5</v>
      </c>
      <c r="R1006">
        <f>IF(ventas_libreria[[#This Row],[valoracion_cliente]]="","Sin valoración",ventas_libreria[[#This Row],[valoracion_cliente]])</f>
        <v>5</v>
      </c>
    </row>
    <row r="1007" spans="1:18" x14ac:dyDescent="0.25">
      <c r="A1007" t="s">
        <v>1283</v>
      </c>
      <c r="B1007" t="s">
        <v>314</v>
      </c>
      <c r="C1007" t="s">
        <v>315</v>
      </c>
      <c r="D1007" t="s">
        <v>217</v>
      </c>
      <c r="E1007" t="s">
        <v>55</v>
      </c>
      <c r="F1007">
        <f>ventas_libreria[[#This Row],[precio_eur]]/100</f>
        <v>1.48</v>
      </c>
      <c r="G1007">
        <v>148</v>
      </c>
      <c r="H1007">
        <v>1</v>
      </c>
      <c r="I1007">
        <f>ventas_libreria[[#This Row],[precio]]*ventas_libreria[[#This Row],[cantidad]]</f>
        <v>1.48</v>
      </c>
      <c r="J1007">
        <v>38</v>
      </c>
      <c r="K1007" t="s">
        <v>62</v>
      </c>
      <c r="L1007" s="1">
        <v>45488</v>
      </c>
      <c r="M1007" t="s">
        <v>21</v>
      </c>
      <c r="N1007" t="s">
        <v>32</v>
      </c>
      <c r="O1007" t="s">
        <v>33</v>
      </c>
      <c r="P1007" t="s">
        <v>56</v>
      </c>
      <c r="Q1007">
        <v>5</v>
      </c>
      <c r="R1007">
        <f>IF(ventas_libreria[[#This Row],[valoracion_cliente]]="","Sin valoración",ventas_libreria[[#This Row],[valoracion_cliente]])</f>
        <v>5</v>
      </c>
    </row>
    <row r="1008" spans="1:18" x14ac:dyDescent="0.25">
      <c r="A1008" t="s">
        <v>1284</v>
      </c>
      <c r="B1008" t="s">
        <v>461</v>
      </c>
      <c r="C1008" t="s">
        <v>462</v>
      </c>
      <c r="D1008" t="s">
        <v>143</v>
      </c>
      <c r="E1008" t="s">
        <v>116</v>
      </c>
      <c r="F1008">
        <f>ventas_libreria[[#This Row],[precio_eur]]/100</f>
        <v>11.12</v>
      </c>
      <c r="G1008">
        <v>1112</v>
      </c>
      <c r="H1008">
        <v>1</v>
      </c>
      <c r="I1008">
        <f>ventas_libreria[[#This Row],[precio]]*ventas_libreria[[#This Row],[cantidad]]</f>
        <v>11.12</v>
      </c>
      <c r="J1008">
        <v>51</v>
      </c>
      <c r="K1008" t="s">
        <v>30</v>
      </c>
      <c r="L1008" s="1">
        <v>45584</v>
      </c>
      <c r="M1008" t="s">
        <v>31</v>
      </c>
      <c r="N1008" t="s">
        <v>32</v>
      </c>
      <c r="O1008" t="s">
        <v>33</v>
      </c>
      <c r="P1008" t="s">
        <v>84</v>
      </c>
      <c r="Q1008">
        <v>3</v>
      </c>
      <c r="R1008">
        <f>IF(ventas_libreria[[#This Row],[valoracion_cliente]]="","Sin valoración",ventas_libreria[[#This Row],[valoracion_cliente]])</f>
        <v>3</v>
      </c>
    </row>
    <row r="1009" spans="1:18" x14ac:dyDescent="0.25">
      <c r="A1009" t="s">
        <v>1285</v>
      </c>
      <c r="B1009" t="s">
        <v>80</v>
      </c>
      <c r="C1009" t="s">
        <v>81</v>
      </c>
      <c r="D1009" t="s">
        <v>82</v>
      </c>
      <c r="E1009" t="s">
        <v>83</v>
      </c>
      <c r="F1009">
        <f>ventas_libreria[[#This Row],[precio_eur]]/100</f>
        <v>0.99</v>
      </c>
      <c r="G1009">
        <v>99</v>
      </c>
      <c r="H1009">
        <v>2</v>
      </c>
      <c r="I1009">
        <f>ventas_libreria[[#This Row],[precio]]*ventas_libreria[[#This Row],[cantidad]]</f>
        <v>1.98</v>
      </c>
      <c r="J1009">
        <v>39</v>
      </c>
      <c r="K1009" t="s">
        <v>38</v>
      </c>
      <c r="L1009" s="1">
        <v>45897</v>
      </c>
      <c r="M1009" t="s">
        <v>21</v>
      </c>
      <c r="N1009" t="s">
        <v>22</v>
      </c>
      <c r="O1009" t="s">
        <v>67</v>
      </c>
      <c r="P1009" t="s">
        <v>34</v>
      </c>
      <c r="Q1009">
        <v>4</v>
      </c>
      <c r="R1009">
        <f>IF(ventas_libreria[[#This Row],[valoracion_cliente]]="","Sin valoración",ventas_libreria[[#This Row],[valoracion_cliente]])</f>
        <v>4</v>
      </c>
    </row>
    <row r="1010" spans="1:18" x14ac:dyDescent="0.25">
      <c r="A1010" t="s">
        <v>1286</v>
      </c>
      <c r="B1010" t="s">
        <v>40</v>
      </c>
      <c r="C1010" t="s">
        <v>41</v>
      </c>
      <c r="D1010" t="s">
        <v>42</v>
      </c>
      <c r="E1010" t="s">
        <v>19</v>
      </c>
      <c r="F1010">
        <f>ventas_libreria[[#This Row],[precio_eur]]/100</f>
        <v>1.29</v>
      </c>
      <c r="G1010">
        <v>129</v>
      </c>
      <c r="H1010">
        <v>4</v>
      </c>
      <c r="I1010">
        <f>ventas_libreria[[#This Row],[precio]]*ventas_libreria[[#This Row],[cantidad]]</f>
        <v>5.16</v>
      </c>
      <c r="J1010">
        <v>26</v>
      </c>
      <c r="K1010" t="s">
        <v>38</v>
      </c>
      <c r="L1010" s="1">
        <v>44957</v>
      </c>
      <c r="M1010" t="s">
        <v>31</v>
      </c>
      <c r="N1010" t="s">
        <v>32</v>
      </c>
      <c r="O1010" t="s">
        <v>33</v>
      </c>
      <c r="P1010" t="s">
        <v>50</v>
      </c>
      <c r="Q1010">
        <v>3</v>
      </c>
      <c r="R1010">
        <f>IF(ventas_libreria[[#This Row],[valoracion_cliente]]="","Sin valoración",ventas_libreria[[#This Row],[valoracion_cliente]])</f>
        <v>3</v>
      </c>
    </row>
    <row r="1011" spans="1:18" x14ac:dyDescent="0.25">
      <c r="A1011" t="s">
        <v>1287</v>
      </c>
      <c r="B1011" t="s">
        <v>118</v>
      </c>
      <c r="C1011" t="s">
        <v>119</v>
      </c>
      <c r="D1011" t="s">
        <v>47</v>
      </c>
      <c r="E1011" t="s">
        <v>48</v>
      </c>
      <c r="F1011">
        <f>ventas_libreria[[#This Row],[precio_eur]]/100</f>
        <v>1.59</v>
      </c>
      <c r="G1011">
        <v>159</v>
      </c>
      <c r="H1011">
        <v>3</v>
      </c>
      <c r="I1011">
        <f>ventas_libreria[[#This Row],[precio]]*ventas_libreria[[#This Row],[cantidad]]</f>
        <v>4.7700000000000005</v>
      </c>
      <c r="J1011">
        <v>21</v>
      </c>
      <c r="K1011" t="s">
        <v>20</v>
      </c>
      <c r="L1011" s="1">
        <v>45709</v>
      </c>
      <c r="M1011" t="s">
        <v>43</v>
      </c>
      <c r="N1011" t="s">
        <v>32</v>
      </c>
      <c r="O1011" t="s">
        <v>33</v>
      </c>
      <c r="P1011" t="s">
        <v>50</v>
      </c>
      <c r="R1011" t="str">
        <f>IF(ventas_libreria[[#This Row],[valoracion_cliente]]="","Sin valoración",ventas_libreria[[#This Row],[valoracion_cliente]])</f>
        <v>Sin valoración</v>
      </c>
    </row>
    <row r="1012" spans="1:18" x14ac:dyDescent="0.25">
      <c r="A1012" t="s">
        <v>1288</v>
      </c>
      <c r="B1012" t="s">
        <v>301</v>
      </c>
      <c r="C1012" t="s">
        <v>302</v>
      </c>
      <c r="D1012" t="s">
        <v>245</v>
      </c>
      <c r="E1012" t="s">
        <v>48</v>
      </c>
      <c r="F1012">
        <f>ventas_libreria[[#This Row],[precio_eur]]/100</f>
        <v>2.4900000000000002</v>
      </c>
      <c r="G1012">
        <v>249</v>
      </c>
      <c r="H1012">
        <v>1</v>
      </c>
      <c r="I1012">
        <f>ventas_libreria[[#This Row],[precio]]*ventas_libreria[[#This Row],[cantidad]]</f>
        <v>2.4900000000000002</v>
      </c>
      <c r="J1012">
        <v>25</v>
      </c>
      <c r="K1012" t="s">
        <v>20</v>
      </c>
      <c r="L1012" s="1">
        <v>45315</v>
      </c>
      <c r="M1012" t="s">
        <v>21</v>
      </c>
      <c r="N1012" t="s">
        <v>32</v>
      </c>
      <c r="O1012" t="s">
        <v>33</v>
      </c>
      <c r="P1012" t="s">
        <v>34</v>
      </c>
      <c r="Q1012">
        <v>4</v>
      </c>
      <c r="R1012">
        <f>IF(ventas_libreria[[#This Row],[valoracion_cliente]]="","Sin valoración",ventas_libreria[[#This Row],[valoracion_cliente]])</f>
        <v>4</v>
      </c>
    </row>
    <row r="1013" spans="1:18" x14ac:dyDescent="0.25">
      <c r="A1013" t="s">
        <v>1289</v>
      </c>
      <c r="B1013" t="s">
        <v>365</v>
      </c>
      <c r="C1013" t="s">
        <v>366</v>
      </c>
      <c r="D1013" t="s">
        <v>367</v>
      </c>
      <c r="E1013" t="s">
        <v>19</v>
      </c>
      <c r="F1013">
        <f>ventas_libreria[[#This Row],[precio_eur]]/100</f>
        <v>19.84</v>
      </c>
      <c r="G1013">
        <v>1984</v>
      </c>
      <c r="H1013">
        <v>1</v>
      </c>
      <c r="I1013">
        <f>ventas_libreria[[#This Row],[precio]]*ventas_libreria[[#This Row],[cantidad]]</f>
        <v>19.84</v>
      </c>
      <c r="J1013">
        <v>54</v>
      </c>
      <c r="K1013" t="s">
        <v>20</v>
      </c>
      <c r="L1013" s="1">
        <v>45712</v>
      </c>
      <c r="M1013" t="s">
        <v>31</v>
      </c>
      <c r="N1013" t="s">
        <v>32</v>
      </c>
      <c r="O1013" t="s">
        <v>33</v>
      </c>
      <c r="P1013" t="s">
        <v>84</v>
      </c>
      <c r="Q1013">
        <v>5</v>
      </c>
      <c r="R1013">
        <f>IF(ventas_libreria[[#This Row],[valoracion_cliente]]="","Sin valoración",ventas_libreria[[#This Row],[valoracion_cliente]])</f>
        <v>5</v>
      </c>
    </row>
    <row r="1014" spans="1:18" x14ac:dyDescent="0.25">
      <c r="A1014" t="s">
        <v>1290</v>
      </c>
      <c r="B1014" t="s">
        <v>530</v>
      </c>
      <c r="C1014" t="s">
        <v>531</v>
      </c>
      <c r="D1014" t="s">
        <v>195</v>
      </c>
      <c r="E1014" t="s">
        <v>48</v>
      </c>
      <c r="F1014">
        <f>ventas_libreria[[#This Row],[precio_eur]]/100</f>
        <v>21.89</v>
      </c>
      <c r="G1014">
        <v>2189</v>
      </c>
      <c r="H1014">
        <v>1</v>
      </c>
      <c r="I1014">
        <f>ventas_libreria[[#This Row],[precio]]*ventas_libreria[[#This Row],[cantidad]]</f>
        <v>21.89</v>
      </c>
      <c r="J1014">
        <v>70</v>
      </c>
      <c r="K1014" t="s">
        <v>30</v>
      </c>
      <c r="L1014" s="1">
        <v>45116</v>
      </c>
      <c r="M1014" t="s">
        <v>31</v>
      </c>
      <c r="N1014" t="s">
        <v>22</v>
      </c>
      <c r="O1014" t="s">
        <v>23</v>
      </c>
      <c r="P1014" t="s">
        <v>34</v>
      </c>
      <c r="Q1014">
        <v>5</v>
      </c>
      <c r="R1014">
        <f>IF(ventas_libreria[[#This Row],[valoracion_cliente]]="","Sin valoración",ventas_libreria[[#This Row],[valoracion_cliente]])</f>
        <v>5</v>
      </c>
    </row>
    <row r="1015" spans="1:18" x14ac:dyDescent="0.25">
      <c r="A1015" t="s">
        <v>1291</v>
      </c>
      <c r="B1015" t="s">
        <v>58</v>
      </c>
      <c r="C1015" t="s">
        <v>59</v>
      </c>
      <c r="D1015" t="s">
        <v>60</v>
      </c>
      <c r="E1015" t="s">
        <v>61</v>
      </c>
      <c r="F1015">
        <f>ventas_libreria[[#This Row],[precio_eur]]/100</f>
        <v>14.19</v>
      </c>
      <c r="G1015">
        <v>1419</v>
      </c>
      <c r="H1015">
        <v>2</v>
      </c>
      <c r="I1015">
        <f>ventas_libreria[[#This Row],[precio]]*ventas_libreria[[#This Row],[cantidad]]</f>
        <v>28.38</v>
      </c>
      <c r="J1015">
        <v>32</v>
      </c>
      <c r="K1015" t="s">
        <v>30</v>
      </c>
      <c r="L1015" s="1">
        <v>45947</v>
      </c>
      <c r="M1015" t="s">
        <v>21</v>
      </c>
      <c r="N1015" t="s">
        <v>32</v>
      </c>
      <c r="O1015" t="s">
        <v>33</v>
      </c>
      <c r="P1015" t="s">
        <v>56</v>
      </c>
      <c r="R1015" t="str">
        <f>IF(ventas_libreria[[#This Row],[valoracion_cliente]]="","Sin valoración",ventas_libreria[[#This Row],[valoracion_cliente]])</f>
        <v>Sin valoración</v>
      </c>
    </row>
    <row r="1016" spans="1:18" x14ac:dyDescent="0.25">
      <c r="A1016" t="s">
        <v>1292</v>
      </c>
      <c r="B1016" t="s">
        <v>26</v>
      </c>
      <c r="C1016" t="s">
        <v>27</v>
      </c>
      <c r="D1016" t="s">
        <v>28</v>
      </c>
      <c r="E1016" t="s">
        <v>29</v>
      </c>
      <c r="F1016">
        <f>ventas_libreria[[#This Row],[precio_eur]]/100</f>
        <v>16.059999999999999</v>
      </c>
      <c r="G1016">
        <v>1606</v>
      </c>
      <c r="H1016">
        <v>1</v>
      </c>
      <c r="I1016">
        <f>ventas_libreria[[#This Row],[precio]]*ventas_libreria[[#This Row],[cantidad]]</f>
        <v>16.059999999999999</v>
      </c>
      <c r="J1016">
        <v>38</v>
      </c>
      <c r="K1016" t="s">
        <v>38</v>
      </c>
      <c r="L1016" s="1">
        <v>45770</v>
      </c>
      <c r="M1016" t="s">
        <v>21</v>
      </c>
      <c r="N1016" t="s">
        <v>22</v>
      </c>
      <c r="O1016" t="s">
        <v>98</v>
      </c>
      <c r="P1016" t="s">
        <v>56</v>
      </c>
      <c r="Q1016">
        <v>5</v>
      </c>
      <c r="R1016">
        <f>IF(ventas_libreria[[#This Row],[valoracion_cliente]]="","Sin valoración",ventas_libreria[[#This Row],[valoracion_cliente]])</f>
        <v>5</v>
      </c>
    </row>
    <row r="1017" spans="1:18" x14ac:dyDescent="0.25">
      <c r="A1017" t="s">
        <v>1293</v>
      </c>
      <c r="B1017" t="s">
        <v>418</v>
      </c>
      <c r="C1017" t="s">
        <v>419</v>
      </c>
      <c r="D1017" t="s">
        <v>420</v>
      </c>
      <c r="E1017" t="s">
        <v>149</v>
      </c>
      <c r="F1017">
        <f>ventas_libreria[[#This Row],[precio_eur]]/100</f>
        <v>13.52</v>
      </c>
      <c r="G1017">
        <v>1352</v>
      </c>
      <c r="H1017">
        <v>1</v>
      </c>
      <c r="I1017">
        <f>ventas_libreria[[#This Row],[precio]]*ventas_libreria[[#This Row],[cantidad]]</f>
        <v>13.52</v>
      </c>
      <c r="J1017">
        <v>73</v>
      </c>
      <c r="K1017" t="s">
        <v>62</v>
      </c>
      <c r="L1017" s="1">
        <v>45763</v>
      </c>
      <c r="M1017" t="s">
        <v>31</v>
      </c>
      <c r="N1017" t="s">
        <v>32</v>
      </c>
      <c r="O1017" t="s">
        <v>33</v>
      </c>
      <c r="P1017" t="s">
        <v>50</v>
      </c>
      <c r="Q1017">
        <v>3</v>
      </c>
      <c r="R1017">
        <f>IF(ventas_libreria[[#This Row],[valoracion_cliente]]="","Sin valoración",ventas_libreria[[#This Row],[valoracion_cliente]])</f>
        <v>3</v>
      </c>
    </row>
    <row r="1018" spans="1:18" x14ac:dyDescent="0.25">
      <c r="A1018" t="s">
        <v>1294</v>
      </c>
      <c r="B1018" t="s">
        <v>446</v>
      </c>
      <c r="C1018" t="s">
        <v>447</v>
      </c>
      <c r="D1018" t="s">
        <v>262</v>
      </c>
      <c r="E1018" t="s">
        <v>263</v>
      </c>
      <c r="F1018">
        <f>ventas_libreria[[#This Row],[precio_eur]]/100</f>
        <v>1.99</v>
      </c>
      <c r="G1018">
        <v>199</v>
      </c>
      <c r="H1018">
        <v>1</v>
      </c>
      <c r="I1018">
        <f>ventas_libreria[[#This Row],[precio]]*ventas_libreria[[#This Row],[cantidad]]</f>
        <v>1.99</v>
      </c>
      <c r="J1018">
        <v>22</v>
      </c>
      <c r="K1018" t="s">
        <v>30</v>
      </c>
      <c r="L1018" s="1">
        <v>45610</v>
      </c>
      <c r="M1018" t="s">
        <v>31</v>
      </c>
      <c r="N1018" t="s">
        <v>32</v>
      </c>
      <c r="O1018" t="s">
        <v>33</v>
      </c>
      <c r="P1018" t="s">
        <v>84</v>
      </c>
      <c r="Q1018">
        <v>5</v>
      </c>
      <c r="R1018">
        <f>IF(ventas_libreria[[#This Row],[valoracion_cliente]]="","Sin valoración",ventas_libreria[[#This Row],[valoracion_cliente]])</f>
        <v>5</v>
      </c>
    </row>
    <row r="1019" spans="1:18" x14ac:dyDescent="0.25">
      <c r="A1019" t="s">
        <v>1295</v>
      </c>
      <c r="B1019" t="s">
        <v>671</v>
      </c>
      <c r="C1019" t="s">
        <v>672</v>
      </c>
      <c r="D1019" t="s">
        <v>673</v>
      </c>
      <c r="E1019" t="s">
        <v>116</v>
      </c>
      <c r="F1019">
        <f>ventas_libreria[[#This Row],[precio_eur]]/100</f>
        <v>14.19</v>
      </c>
      <c r="G1019">
        <v>1419</v>
      </c>
      <c r="H1019">
        <v>2</v>
      </c>
      <c r="I1019">
        <f>ventas_libreria[[#This Row],[precio]]*ventas_libreria[[#This Row],[cantidad]]</f>
        <v>28.38</v>
      </c>
      <c r="J1019">
        <v>34</v>
      </c>
      <c r="K1019" t="s">
        <v>62</v>
      </c>
      <c r="L1019" s="1">
        <v>45996</v>
      </c>
      <c r="M1019" t="s">
        <v>43</v>
      </c>
      <c r="N1019" t="s">
        <v>32</v>
      </c>
      <c r="O1019" t="s">
        <v>33</v>
      </c>
      <c r="P1019" t="s">
        <v>56</v>
      </c>
      <c r="Q1019">
        <v>4</v>
      </c>
      <c r="R1019">
        <f>IF(ventas_libreria[[#This Row],[valoracion_cliente]]="","Sin valoración",ventas_libreria[[#This Row],[valoracion_cliente]])</f>
        <v>4</v>
      </c>
    </row>
    <row r="1020" spans="1:18" x14ac:dyDescent="0.25">
      <c r="A1020" t="s">
        <v>1296</v>
      </c>
      <c r="B1020" t="s">
        <v>208</v>
      </c>
      <c r="C1020" t="s">
        <v>209</v>
      </c>
      <c r="D1020" t="s">
        <v>106</v>
      </c>
      <c r="E1020" t="s">
        <v>107</v>
      </c>
      <c r="F1020">
        <f>ventas_libreria[[#This Row],[precio_eur]]/100</f>
        <v>12.66</v>
      </c>
      <c r="G1020">
        <v>1266</v>
      </c>
      <c r="H1020">
        <v>1</v>
      </c>
      <c r="I1020">
        <f>ventas_libreria[[#This Row],[precio]]*ventas_libreria[[#This Row],[cantidad]]</f>
        <v>12.66</v>
      </c>
      <c r="J1020">
        <v>10</v>
      </c>
      <c r="K1020" t="s">
        <v>38</v>
      </c>
      <c r="L1020" s="1">
        <v>45970</v>
      </c>
      <c r="M1020" t="s">
        <v>21</v>
      </c>
      <c r="N1020" t="s">
        <v>32</v>
      </c>
      <c r="O1020" t="s">
        <v>33</v>
      </c>
      <c r="P1020" t="s">
        <v>24</v>
      </c>
      <c r="Q1020">
        <v>4</v>
      </c>
      <c r="R1020">
        <f>IF(ventas_libreria[[#This Row],[valoracion_cliente]]="","Sin valoración",ventas_libreria[[#This Row],[valoracion_cliente]])</f>
        <v>4</v>
      </c>
    </row>
    <row r="1021" spans="1:18" x14ac:dyDescent="0.25">
      <c r="A1021" t="s">
        <v>1297</v>
      </c>
      <c r="B1021" t="s">
        <v>134</v>
      </c>
      <c r="C1021" t="s">
        <v>135</v>
      </c>
      <c r="D1021" t="s">
        <v>106</v>
      </c>
      <c r="E1021" t="s">
        <v>107</v>
      </c>
      <c r="F1021">
        <f>ventas_libreria[[#This Row],[precio_eur]]/100</f>
        <v>15.65</v>
      </c>
      <c r="G1021">
        <v>1565</v>
      </c>
      <c r="H1021">
        <v>3</v>
      </c>
      <c r="I1021">
        <f>ventas_libreria[[#This Row],[precio]]*ventas_libreria[[#This Row],[cantidad]]</f>
        <v>46.95</v>
      </c>
      <c r="J1021">
        <v>19</v>
      </c>
      <c r="K1021" t="s">
        <v>62</v>
      </c>
      <c r="L1021" s="1">
        <v>45675</v>
      </c>
      <c r="M1021" t="s">
        <v>31</v>
      </c>
      <c r="N1021" t="s">
        <v>32</v>
      </c>
      <c r="O1021" t="s">
        <v>33</v>
      </c>
      <c r="P1021" t="s">
        <v>50</v>
      </c>
      <c r="Q1021">
        <v>5</v>
      </c>
      <c r="R1021">
        <f>IF(ventas_libreria[[#This Row],[valoracion_cliente]]="","Sin valoración",ventas_libreria[[#This Row],[valoracion_cliente]])</f>
        <v>5</v>
      </c>
    </row>
    <row r="1022" spans="1:18" x14ac:dyDescent="0.25">
      <c r="A1022" t="s">
        <v>1298</v>
      </c>
      <c r="B1022" t="s">
        <v>508</v>
      </c>
      <c r="C1022" t="s">
        <v>509</v>
      </c>
      <c r="D1022" t="s">
        <v>199</v>
      </c>
      <c r="E1022" t="s">
        <v>55</v>
      </c>
      <c r="F1022">
        <f>ventas_libreria[[#This Row],[precio_eur]]/100</f>
        <v>17.010000000000002</v>
      </c>
      <c r="G1022">
        <v>1701</v>
      </c>
      <c r="H1022">
        <v>1</v>
      </c>
      <c r="I1022">
        <f>ventas_libreria[[#This Row],[precio]]*ventas_libreria[[#This Row],[cantidad]]</f>
        <v>17.010000000000002</v>
      </c>
      <c r="J1022">
        <v>47</v>
      </c>
      <c r="K1022" t="s">
        <v>20</v>
      </c>
      <c r="L1022" s="1">
        <v>45132</v>
      </c>
      <c r="M1022" t="s">
        <v>43</v>
      </c>
      <c r="N1022" t="s">
        <v>32</v>
      </c>
      <c r="O1022" t="s">
        <v>33</v>
      </c>
      <c r="P1022" t="s">
        <v>84</v>
      </c>
      <c r="R1022" t="str">
        <f>IF(ventas_libreria[[#This Row],[valoracion_cliente]]="","Sin valoración",ventas_libreria[[#This Row],[valoracion_cliente]])</f>
        <v>Sin valoración</v>
      </c>
    </row>
    <row r="1023" spans="1:18" x14ac:dyDescent="0.25">
      <c r="A1023" t="s">
        <v>1299</v>
      </c>
      <c r="B1023" t="s">
        <v>160</v>
      </c>
      <c r="C1023" t="s">
        <v>161</v>
      </c>
      <c r="D1023" t="s">
        <v>162</v>
      </c>
      <c r="E1023" t="s">
        <v>29</v>
      </c>
      <c r="F1023">
        <f>ventas_libreria[[#This Row],[precio_eur]]/100</f>
        <v>1.69</v>
      </c>
      <c r="G1023">
        <v>169</v>
      </c>
      <c r="H1023">
        <v>1</v>
      </c>
      <c r="I1023">
        <f>ventas_libreria[[#This Row],[precio]]*ventas_libreria[[#This Row],[cantidad]]</f>
        <v>1.69</v>
      </c>
      <c r="J1023">
        <v>66</v>
      </c>
      <c r="K1023" t="s">
        <v>20</v>
      </c>
      <c r="L1023" s="1">
        <v>45397</v>
      </c>
      <c r="M1023" t="s">
        <v>21</v>
      </c>
      <c r="N1023" t="s">
        <v>22</v>
      </c>
      <c r="O1023" t="s">
        <v>132</v>
      </c>
      <c r="P1023" t="s">
        <v>56</v>
      </c>
      <c r="Q1023">
        <v>5</v>
      </c>
      <c r="R1023">
        <f>IF(ventas_libreria[[#This Row],[valoracion_cliente]]="","Sin valoración",ventas_libreria[[#This Row],[valoracion_cliente]])</f>
        <v>5</v>
      </c>
    </row>
    <row r="1024" spans="1:18" x14ac:dyDescent="0.25">
      <c r="A1024" t="s">
        <v>1300</v>
      </c>
      <c r="B1024" t="s">
        <v>437</v>
      </c>
      <c r="C1024" t="s">
        <v>438</v>
      </c>
      <c r="D1024" t="s">
        <v>178</v>
      </c>
      <c r="E1024" t="s">
        <v>55</v>
      </c>
      <c r="F1024">
        <f>ventas_libreria[[#This Row],[precio_eur]]/100</f>
        <v>16.11</v>
      </c>
      <c r="G1024">
        <v>1611</v>
      </c>
      <c r="H1024">
        <v>1</v>
      </c>
      <c r="I1024">
        <f>ventas_libreria[[#This Row],[precio]]*ventas_libreria[[#This Row],[cantidad]]</f>
        <v>16.11</v>
      </c>
      <c r="J1024">
        <v>21</v>
      </c>
      <c r="K1024" t="s">
        <v>30</v>
      </c>
      <c r="L1024" s="1">
        <v>45905</v>
      </c>
      <c r="M1024" t="s">
        <v>21</v>
      </c>
      <c r="N1024" t="s">
        <v>32</v>
      </c>
      <c r="O1024" t="s">
        <v>33</v>
      </c>
      <c r="P1024" t="s">
        <v>50</v>
      </c>
      <c r="Q1024">
        <v>4</v>
      </c>
      <c r="R1024">
        <f>IF(ventas_libreria[[#This Row],[valoracion_cliente]]="","Sin valoración",ventas_libreria[[#This Row],[valoracion_cliente]])</f>
        <v>4</v>
      </c>
    </row>
    <row r="1025" spans="1:18" x14ac:dyDescent="0.25">
      <c r="A1025" t="s">
        <v>1301</v>
      </c>
      <c r="B1025" t="s">
        <v>466</v>
      </c>
      <c r="C1025" t="s">
        <v>467</v>
      </c>
      <c r="D1025" t="s">
        <v>468</v>
      </c>
      <c r="E1025" t="s">
        <v>154</v>
      </c>
      <c r="F1025">
        <f>ventas_libreria[[#This Row],[precio_eur]]/100</f>
        <v>20.79</v>
      </c>
      <c r="G1025">
        <v>2079</v>
      </c>
      <c r="H1025">
        <v>3</v>
      </c>
      <c r="I1025">
        <f>ventas_libreria[[#This Row],[precio]]*ventas_libreria[[#This Row],[cantidad]]</f>
        <v>62.37</v>
      </c>
      <c r="J1025">
        <v>51</v>
      </c>
      <c r="K1025" t="s">
        <v>38</v>
      </c>
      <c r="L1025" s="1">
        <v>45161</v>
      </c>
      <c r="M1025" t="s">
        <v>43</v>
      </c>
      <c r="N1025" t="s">
        <v>32</v>
      </c>
      <c r="O1025" t="s">
        <v>33</v>
      </c>
      <c r="P1025" t="s">
        <v>84</v>
      </c>
      <c r="Q1025">
        <v>4</v>
      </c>
      <c r="R1025">
        <f>IF(ventas_libreria[[#This Row],[valoracion_cliente]]="","Sin valoración",ventas_libreria[[#This Row],[valoracion_cliente]])</f>
        <v>4</v>
      </c>
    </row>
    <row r="1026" spans="1:18" x14ac:dyDescent="0.25">
      <c r="A1026" t="s">
        <v>1302</v>
      </c>
      <c r="B1026" t="s">
        <v>74</v>
      </c>
      <c r="C1026" t="s">
        <v>75</v>
      </c>
      <c r="D1026" t="s">
        <v>76</v>
      </c>
      <c r="E1026" t="s">
        <v>77</v>
      </c>
      <c r="F1026">
        <f>ventas_libreria[[#This Row],[precio_eur]]/100</f>
        <v>13.52</v>
      </c>
      <c r="G1026">
        <v>1352</v>
      </c>
      <c r="H1026">
        <v>1</v>
      </c>
      <c r="I1026">
        <f>ventas_libreria[[#This Row],[precio]]*ventas_libreria[[#This Row],[cantidad]]</f>
        <v>13.52</v>
      </c>
      <c r="J1026">
        <v>11</v>
      </c>
      <c r="K1026" t="s">
        <v>20</v>
      </c>
      <c r="L1026" s="1">
        <v>44940</v>
      </c>
      <c r="M1026" t="s">
        <v>21</v>
      </c>
      <c r="N1026" t="s">
        <v>22</v>
      </c>
      <c r="O1026" t="s">
        <v>49</v>
      </c>
      <c r="P1026" t="s">
        <v>34</v>
      </c>
      <c r="R1026" t="str">
        <f>IF(ventas_libreria[[#This Row],[valoracion_cliente]]="","Sin valoración",ventas_libreria[[#This Row],[valoracion_cliente]])</f>
        <v>Sin valoración</v>
      </c>
    </row>
    <row r="1027" spans="1:18" x14ac:dyDescent="0.25">
      <c r="A1027" t="s">
        <v>1303</v>
      </c>
      <c r="B1027" t="s">
        <v>602</v>
      </c>
      <c r="C1027" t="s">
        <v>603</v>
      </c>
      <c r="D1027" t="s">
        <v>217</v>
      </c>
      <c r="E1027" t="s">
        <v>55</v>
      </c>
      <c r="F1027">
        <f>ventas_libreria[[#This Row],[precio_eur]]/100</f>
        <v>1.79</v>
      </c>
      <c r="G1027">
        <v>179</v>
      </c>
      <c r="H1027">
        <v>1</v>
      </c>
      <c r="I1027">
        <f>ventas_libreria[[#This Row],[precio]]*ventas_libreria[[#This Row],[cantidad]]</f>
        <v>1.79</v>
      </c>
      <c r="J1027">
        <v>28</v>
      </c>
      <c r="K1027" t="s">
        <v>62</v>
      </c>
      <c r="L1027" s="1">
        <v>45689</v>
      </c>
      <c r="M1027" t="s">
        <v>43</v>
      </c>
      <c r="N1027" t="s">
        <v>32</v>
      </c>
      <c r="O1027" t="s">
        <v>33</v>
      </c>
      <c r="P1027" t="s">
        <v>24</v>
      </c>
      <c r="Q1027">
        <v>4</v>
      </c>
      <c r="R1027">
        <f>IF(ventas_libreria[[#This Row],[valoracion_cliente]]="","Sin valoración",ventas_libreria[[#This Row],[valoracion_cliente]])</f>
        <v>4</v>
      </c>
    </row>
    <row r="1028" spans="1:18" x14ac:dyDescent="0.25">
      <c r="A1028" t="s">
        <v>1304</v>
      </c>
      <c r="B1028" t="s">
        <v>26</v>
      </c>
      <c r="C1028" t="s">
        <v>27</v>
      </c>
      <c r="D1028" t="s">
        <v>28</v>
      </c>
      <c r="E1028" t="s">
        <v>29</v>
      </c>
      <c r="F1028">
        <f>ventas_libreria[[#This Row],[precio_eur]]/100</f>
        <v>1.89</v>
      </c>
      <c r="G1028">
        <v>189</v>
      </c>
      <c r="H1028">
        <v>1</v>
      </c>
      <c r="I1028">
        <f>ventas_libreria[[#This Row],[precio]]*ventas_libreria[[#This Row],[cantidad]]</f>
        <v>1.89</v>
      </c>
      <c r="J1028">
        <v>54</v>
      </c>
      <c r="K1028" t="s">
        <v>30</v>
      </c>
      <c r="L1028" s="1">
        <v>44986</v>
      </c>
      <c r="M1028" t="s">
        <v>21</v>
      </c>
      <c r="N1028" t="s">
        <v>22</v>
      </c>
      <c r="O1028" t="s">
        <v>67</v>
      </c>
      <c r="P1028" t="s">
        <v>34</v>
      </c>
      <c r="Q1028">
        <v>3</v>
      </c>
      <c r="R1028">
        <f>IF(ventas_libreria[[#This Row],[valoracion_cliente]]="","Sin valoración",ventas_libreria[[#This Row],[valoracion_cliente]])</f>
        <v>3</v>
      </c>
    </row>
    <row r="1029" spans="1:18" x14ac:dyDescent="0.25">
      <c r="A1029" t="s">
        <v>1305</v>
      </c>
      <c r="B1029" t="s">
        <v>273</v>
      </c>
      <c r="C1029" t="s">
        <v>274</v>
      </c>
      <c r="D1029" t="s">
        <v>262</v>
      </c>
      <c r="E1029" t="s">
        <v>263</v>
      </c>
      <c r="F1029">
        <f>ventas_libreria[[#This Row],[precio_eur]]/100</f>
        <v>2.19</v>
      </c>
      <c r="G1029">
        <v>219</v>
      </c>
      <c r="H1029">
        <v>1</v>
      </c>
      <c r="I1029">
        <f>ventas_libreria[[#This Row],[precio]]*ventas_libreria[[#This Row],[cantidad]]</f>
        <v>2.19</v>
      </c>
      <c r="J1029">
        <v>52</v>
      </c>
      <c r="K1029" t="s">
        <v>20</v>
      </c>
      <c r="L1029" s="1">
        <v>45935</v>
      </c>
      <c r="M1029" t="s">
        <v>31</v>
      </c>
      <c r="N1029" t="s">
        <v>32</v>
      </c>
      <c r="O1029" t="s">
        <v>33</v>
      </c>
      <c r="P1029" t="s">
        <v>24</v>
      </c>
      <c r="Q1029">
        <v>4</v>
      </c>
      <c r="R1029">
        <f>IF(ventas_libreria[[#This Row],[valoracion_cliente]]="","Sin valoración",ventas_libreria[[#This Row],[valoracion_cliente]])</f>
        <v>4</v>
      </c>
    </row>
    <row r="1030" spans="1:18" x14ac:dyDescent="0.25">
      <c r="A1030" t="s">
        <v>1306</v>
      </c>
      <c r="B1030" t="s">
        <v>69</v>
      </c>
      <c r="C1030" t="s">
        <v>70</v>
      </c>
      <c r="D1030" t="s">
        <v>71</v>
      </c>
      <c r="E1030" t="s">
        <v>72</v>
      </c>
      <c r="F1030">
        <f>ventas_libreria[[#This Row],[precio_eur]]/100</f>
        <v>1.69</v>
      </c>
      <c r="G1030">
        <v>169</v>
      </c>
      <c r="H1030">
        <v>1</v>
      </c>
      <c r="I1030">
        <f>ventas_libreria[[#This Row],[precio]]*ventas_libreria[[#This Row],[cantidad]]</f>
        <v>1.69</v>
      </c>
      <c r="J1030">
        <v>39</v>
      </c>
      <c r="K1030" t="s">
        <v>38</v>
      </c>
      <c r="L1030" s="1">
        <v>45971</v>
      </c>
      <c r="M1030" t="s">
        <v>43</v>
      </c>
      <c r="N1030" t="s">
        <v>32</v>
      </c>
      <c r="O1030" t="s">
        <v>33</v>
      </c>
      <c r="P1030" t="s">
        <v>34</v>
      </c>
      <c r="Q1030">
        <v>1</v>
      </c>
      <c r="R1030">
        <f>IF(ventas_libreria[[#This Row],[valoracion_cliente]]="","Sin valoración",ventas_libreria[[#This Row],[valoracion_cliente]])</f>
        <v>1</v>
      </c>
    </row>
    <row r="1031" spans="1:18" x14ac:dyDescent="0.25">
      <c r="A1031" t="s">
        <v>1307</v>
      </c>
      <c r="B1031" t="s">
        <v>74</v>
      </c>
      <c r="C1031" t="s">
        <v>75</v>
      </c>
      <c r="D1031" t="s">
        <v>76</v>
      </c>
      <c r="E1031" t="s">
        <v>77</v>
      </c>
      <c r="F1031">
        <f>ventas_libreria[[#This Row],[precio_eur]]/100</f>
        <v>13.52</v>
      </c>
      <c r="G1031">
        <v>1352</v>
      </c>
      <c r="H1031">
        <v>1</v>
      </c>
      <c r="I1031">
        <f>ventas_libreria[[#This Row],[precio]]*ventas_libreria[[#This Row],[cantidad]]</f>
        <v>13.52</v>
      </c>
      <c r="J1031">
        <v>12</v>
      </c>
      <c r="K1031" t="s">
        <v>20</v>
      </c>
      <c r="L1031" s="1">
        <v>45309</v>
      </c>
      <c r="M1031" t="s">
        <v>31</v>
      </c>
      <c r="N1031" t="s">
        <v>32</v>
      </c>
      <c r="O1031" t="s">
        <v>33</v>
      </c>
      <c r="P1031" t="s">
        <v>50</v>
      </c>
      <c r="Q1031">
        <v>5</v>
      </c>
      <c r="R1031">
        <f>IF(ventas_libreria[[#This Row],[valoracion_cliente]]="","Sin valoración",ventas_libreria[[#This Row],[valoracion_cliente]])</f>
        <v>5</v>
      </c>
    </row>
    <row r="1032" spans="1:18" x14ac:dyDescent="0.25">
      <c r="A1032" t="s">
        <v>1308</v>
      </c>
      <c r="B1032" t="s">
        <v>286</v>
      </c>
      <c r="C1032" t="s">
        <v>287</v>
      </c>
      <c r="D1032" t="s">
        <v>288</v>
      </c>
      <c r="E1032" t="s">
        <v>289</v>
      </c>
      <c r="F1032">
        <f>ventas_libreria[[#This Row],[precio_eur]]/100</f>
        <v>2.2999999999999998</v>
      </c>
      <c r="G1032">
        <v>230</v>
      </c>
      <c r="H1032">
        <v>1</v>
      </c>
      <c r="I1032">
        <f>ventas_libreria[[#This Row],[precio]]*ventas_libreria[[#This Row],[cantidad]]</f>
        <v>2.2999999999999998</v>
      </c>
      <c r="J1032">
        <v>65</v>
      </c>
      <c r="K1032" t="s">
        <v>62</v>
      </c>
      <c r="L1032" s="1">
        <v>45766</v>
      </c>
      <c r="M1032" t="s">
        <v>21</v>
      </c>
      <c r="N1032" t="s">
        <v>22</v>
      </c>
      <c r="O1032" t="s">
        <v>67</v>
      </c>
      <c r="P1032" t="s">
        <v>56</v>
      </c>
      <c r="Q1032">
        <v>4</v>
      </c>
      <c r="R1032">
        <f>IF(ventas_libreria[[#This Row],[valoracion_cliente]]="","Sin valoración",ventas_libreria[[#This Row],[valoracion_cliente]])</f>
        <v>4</v>
      </c>
    </row>
    <row r="1033" spans="1:18" x14ac:dyDescent="0.25">
      <c r="A1033" t="s">
        <v>1309</v>
      </c>
      <c r="B1033" t="s">
        <v>137</v>
      </c>
      <c r="C1033" t="s">
        <v>138</v>
      </c>
      <c r="D1033" t="s">
        <v>139</v>
      </c>
      <c r="E1033" t="s">
        <v>116</v>
      </c>
      <c r="F1033">
        <f>ventas_libreria[[#This Row],[precio_eur]]/100</f>
        <v>1.29</v>
      </c>
      <c r="G1033">
        <v>129</v>
      </c>
      <c r="H1033">
        <v>2</v>
      </c>
      <c r="I1033">
        <f>ventas_libreria[[#This Row],[precio]]*ventas_libreria[[#This Row],[cantidad]]</f>
        <v>2.58</v>
      </c>
      <c r="J1033">
        <v>16</v>
      </c>
      <c r="K1033" t="s">
        <v>30</v>
      </c>
      <c r="L1033" s="1">
        <v>45671</v>
      </c>
      <c r="M1033" t="s">
        <v>43</v>
      </c>
      <c r="N1033" t="s">
        <v>32</v>
      </c>
      <c r="O1033" t="s">
        <v>33</v>
      </c>
      <c r="P1033" t="s">
        <v>56</v>
      </c>
      <c r="Q1033">
        <v>4</v>
      </c>
      <c r="R1033">
        <f>IF(ventas_libreria[[#This Row],[valoracion_cliente]]="","Sin valoración",ventas_libreria[[#This Row],[valoracion_cliente]])</f>
        <v>4</v>
      </c>
    </row>
    <row r="1034" spans="1:18" x14ac:dyDescent="0.25">
      <c r="A1034" t="s">
        <v>1310</v>
      </c>
      <c r="B1034" t="s">
        <v>45</v>
      </c>
      <c r="C1034" t="s">
        <v>46</v>
      </c>
      <c r="D1034" t="s">
        <v>47</v>
      </c>
      <c r="E1034" t="s">
        <v>48</v>
      </c>
      <c r="F1034">
        <f>ventas_libreria[[#This Row],[precio_eur]]/100</f>
        <v>20.89</v>
      </c>
      <c r="G1034">
        <v>2089</v>
      </c>
      <c r="H1034">
        <v>1</v>
      </c>
      <c r="I1034">
        <f>ventas_libreria[[#This Row],[precio]]*ventas_libreria[[#This Row],[cantidad]]</f>
        <v>20.89</v>
      </c>
      <c r="J1034">
        <v>23</v>
      </c>
      <c r="K1034" t="s">
        <v>20</v>
      </c>
      <c r="L1034" s="1">
        <v>45888</v>
      </c>
      <c r="M1034" t="s">
        <v>43</v>
      </c>
      <c r="N1034" t="s">
        <v>32</v>
      </c>
      <c r="O1034" t="s">
        <v>33</v>
      </c>
      <c r="P1034" t="s">
        <v>50</v>
      </c>
      <c r="Q1034">
        <v>5</v>
      </c>
      <c r="R1034">
        <f>IF(ventas_libreria[[#This Row],[valoracion_cliente]]="","Sin valoración",ventas_libreria[[#This Row],[valoracion_cliente]])</f>
        <v>5</v>
      </c>
    </row>
    <row r="1035" spans="1:18" x14ac:dyDescent="0.25">
      <c r="A1035" t="s">
        <v>1311</v>
      </c>
      <c r="B1035" t="s">
        <v>186</v>
      </c>
      <c r="C1035" t="s">
        <v>187</v>
      </c>
      <c r="D1035" t="s">
        <v>188</v>
      </c>
      <c r="E1035" t="s">
        <v>189</v>
      </c>
      <c r="F1035">
        <f>ventas_libreria[[#This Row],[precio_eur]]/100</f>
        <v>17.91</v>
      </c>
      <c r="G1035">
        <v>1791</v>
      </c>
      <c r="H1035">
        <v>1</v>
      </c>
      <c r="I1035">
        <f>ventas_libreria[[#This Row],[precio]]*ventas_libreria[[#This Row],[cantidad]]</f>
        <v>17.91</v>
      </c>
      <c r="J1035">
        <v>21</v>
      </c>
      <c r="K1035" t="s">
        <v>38</v>
      </c>
      <c r="L1035" s="1">
        <v>45705</v>
      </c>
      <c r="M1035" t="s">
        <v>31</v>
      </c>
      <c r="N1035" t="s">
        <v>32</v>
      </c>
      <c r="O1035" t="s">
        <v>33</v>
      </c>
      <c r="P1035" t="s">
        <v>56</v>
      </c>
      <c r="Q1035">
        <v>4</v>
      </c>
      <c r="R1035">
        <f>IF(ventas_libreria[[#This Row],[valoracion_cliente]]="","Sin valoración",ventas_libreria[[#This Row],[valoracion_cliente]])</f>
        <v>4</v>
      </c>
    </row>
    <row r="1036" spans="1:18" x14ac:dyDescent="0.25">
      <c r="A1036" t="s">
        <v>1312</v>
      </c>
      <c r="B1036" t="s">
        <v>327</v>
      </c>
      <c r="C1036" t="s">
        <v>328</v>
      </c>
      <c r="D1036" t="s">
        <v>288</v>
      </c>
      <c r="E1036" t="s">
        <v>289</v>
      </c>
      <c r="F1036">
        <f>ventas_libreria[[#This Row],[precio_eur]]/100</f>
        <v>19.46</v>
      </c>
      <c r="G1036">
        <v>1946</v>
      </c>
      <c r="H1036">
        <v>1</v>
      </c>
      <c r="I1036">
        <f>ventas_libreria[[#This Row],[precio]]*ventas_libreria[[#This Row],[cantidad]]</f>
        <v>19.46</v>
      </c>
      <c r="J1036">
        <v>46</v>
      </c>
      <c r="K1036" t="s">
        <v>20</v>
      </c>
      <c r="L1036" s="1">
        <v>45347</v>
      </c>
      <c r="M1036" t="s">
        <v>43</v>
      </c>
      <c r="N1036" t="s">
        <v>32</v>
      </c>
      <c r="O1036" t="s">
        <v>33</v>
      </c>
      <c r="P1036" t="s">
        <v>34</v>
      </c>
      <c r="Q1036">
        <v>3</v>
      </c>
      <c r="R1036">
        <f>IF(ventas_libreria[[#This Row],[valoracion_cliente]]="","Sin valoración",ventas_libreria[[#This Row],[valoracion_cliente]])</f>
        <v>3</v>
      </c>
    </row>
    <row r="1037" spans="1:18" x14ac:dyDescent="0.25">
      <c r="A1037" t="s">
        <v>1313</v>
      </c>
      <c r="B1037" t="s">
        <v>265</v>
      </c>
      <c r="C1037" t="s">
        <v>266</v>
      </c>
      <c r="D1037" t="s">
        <v>162</v>
      </c>
      <c r="E1037" t="s">
        <v>29</v>
      </c>
      <c r="F1037">
        <f>ventas_libreria[[#This Row],[precio_eur]]/100</f>
        <v>15.21</v>
      </c>
      <c r="G1037">
        <v>1521</v>
      </c>
      <c r="H1037">
        <v>1</v>
      </c>
      <c r="I1037">
        <f>ventas_libreria[[#This Row],[precio]]*ventas_libreria[[#This Row],[cantidad]]</f>
        <v>15.21</v>
      </c>
      <c r="J1037">
        <v>26</v>
      </c>
      <c r="K1037" t="s">
        <v>38</v>
      </c>
      <c r="L1037" s="1">
        <v>45564</v>
      </c>
      <c r="M1037" t="s">
        <v>31</v>
      </c>
      <c r="N1037" t="s">
        <v>32</v>
      </c>
      <c r="O1037" t="s">
        <v>33</v>
      </c>
      <c r="P1037" t="s">
        <v>50</v>
      </c>
      <c r="Q1037">
        <v>1</v>
      </c>
      <c r="R1037">
        <f>IF(ventas_libreria[[#This Row],[valoracion_cliente]]="","Sin valoración",ventas_libreria[[#This Row],[valoracion_cliente]])</f>
        <v>1</v>
      </c>
    </row>
    <row r="1038" spans="1:18" x14ac:dyDescent="0.25">
      <c r="A1038" t="s">
        <v>1314</v>
      </c>
      <c r="B1038" t="s">
        <v>348</v>
      </c>
      <c r="C1038" t="s">
        <v>349</v>
      </c>
      <c r="D1038" t="s">
        <v>350</v>
      </c>
      <c r="E1038" t="s">
        <v>116</v>
      </c>
      <c r="F1038">
        <f>ventas_libreria[[#This Row],[precio_eur]]/100</f>
        <v>21.89</v>
      </c>
      <c r="G1038">
        <v>2189</v>
      </c>
      <c r="H1038">
        <v>2</v>
      </c>
      <c r="I1038">
        <f>ventas_libreria[[#This Row],[precio]]*ventas_libreria[[#This Row],[cantidad]]</f>
        <v>43.78</v>
      </c>
      <c r="J1038">
        <v>16</v>
      </c>
      <c r="K1038" t="s">
        <v>30</v>
      </c>
      <c r="L1038" s="1">
        <v>45970</v>
      </c>
      <c r="M1038" t="s">
        <v>31</v>
      </c>
      <c r="N1038" t="s">
        <v>32</v>
      </c>
      <c r="O1038" t="s">
        <v>33</v>
      </c>
      <c r="P1038" t="s">
        <v>24</v>
      </c>
      <c r="Q1038">
        <v>5</v>
      </c>
      <c r="R1038">
        <f>IF(ventas_libreria[[#This Row],[valoracion_cliente]]="","Sin valoración",ventas_libreria[[#This Row],[valoracion_cliente]])</f>
        <v>5</v>
      </c>
    </row>
    <row r="1039" spans="1:18" x14ac:dyDescent="0.25">
      <c r="A1039" t="s">
        <v>1315</v>
      </c>
      <c r="B1039" t="s">
        <v>208</v>
      </c>
      <c r="C1039" t="s">
        <v>209</v>
      </c>
      <c r="D1039" t="s">
        <v>106</v>
      </c>
      <c r="E1039" t="s">
        <v>107</v>
      </c>
      <c r="F1039">
        <f>ventas_libreria[[#This Row],[precio_eur]]/100</f>
        <v>1.49</v>
      </c>
      <c r="G1039">
        <v>149</v>
      </c>
      <c r="H1039">
        <v>1</v>
      </c>
      <c r="I1039">
        <f>ventas_libreria[[#This Row],[precio]]*ventas_libreria[[#This Row],[cantidad]]</f>
        <v>1.49</v>
      </c>
      <c r="J1039">
        <v>17</v>
      </c>
      <c r="K1039" t="s">
        <v>30</v>
      </c>
      <c r="L1039" s="1">
        <v>45629</v>
      </c>
      <c r="M1039" t="s">
        <v>21</v>
      </c>
      <c r="N1039" t="s">
        <v>22</v>
      </c>
      <c r="O1039" t="s">
        <v>98</v>
      </c>
      <c r="P1039" t="s">
        <v>84</v>
      </c>
      <c r="Q1039">
        <v>3</v>
      </c>
      <c r="R1039">
        <f>IF(ventas_libreria[[#This Row],[valoracion_cliente]]="","Sin valoración",ventas_libreria[[#This Row],[valoracion_cliente]])</f>
        <v>3</v>
      </c>
    </row>
    <row r="1040" spans="1:18" x14ac:dyDescent="0.25">
      <c r="A1040" t="s">
        <v>1316</v>
      </c>
      <c r="B1040" t="s">
        <v>208</v>
      </c>
      <c r="C1040" t="s">
        <v>209</v>
      </c>
      <c r="D1040" t="s">
        <v>106</v>
      </c>
      <c r="E1040" t="s">
        <v>107</v>
      </c>
      <c r="F1040">
        <f>ventas_libreria[[#This Row],[precio_eur]]/100</f>
        <v>11.92</v>
      </c>
      <c r="G1040">
        <v>1192</v>
      </c>
      <c r="H1040">
        <v>1</v>
      </c>
      <c r="I1040">
        <f>ventas_libreria[[#This Row],[precio]]*ventas_libreria[[#This Row],[cantidad]]</f>
        <v>11.92</v>
      </c>
      <c r="J1040">
        <v>19</v>
      </c>
      <c r="K1040" t="s">
        <v>38</v>
      </c>
      <c r="L1040" s="1">
        <v>45529</v>
      </c>
      <c r="M1040" t="s">
        <v>21</v>
      </c>
      <c r="N1040" t="s">
        <v>32</v>
      </c>
      <c r="O1040" t="s">
        <v>33</v>
      </c>
      <c r="P1040" t="s">
        <v>34</v>
      </c>
      <c r="Q1040">
        <v>5</v>
      </c>
      <c r="R1040">
        <f>IF(ventas_libreria[[#This Row],[valoracion_cliente]]="","Sin valoración",ventas_libreria[[#This Row],[valoracion_cliente]])</f>
        <v>5</v>
      </c>
    </row>
    <row r="1041" spans="1:18" x14ac:dyDescent="0.25">
      <c r="A1041" t="s">
        <v>1317</v>
      </c>
      <c r="B1041" t="s">
        <v>197</v>
      </c>
      <c r="C1041" t="s">
        <v>198</v>
      </c>
      <c r="D1041" t="s">
        <v>199</v>
      </c>
      <c r="E1041" t="s">
        <v>55</v>
      </c>
      <c r="F1041">
        <f>ventas_libreria[[#This Row],[precio_eur]]/100</f>
        <v>14.88</v>
      </c>
      <c r="G1041">
        <v>1488</v>
      </c>
      <c r="H1041">
        <v>1</v>
      </c>
      <c r="I1041">
        <f>ventas_libreria[[#This Row],[precio]]*ventas_libreria[[#This Row],[cantidad]]</f>
        <v>14.88</v>
      </c>
      <c r="J1041">
        <v>25</v>
      </c>
      <c r="K1041" t="s">
        <v>62</v>
      </c>
      <c r="L1041" s="1">
        <v>45660</v>
      </c>
      <c r="M1041" t="s">
        <v>21</v>
      </c>
      <c r="N1041" t="s">
        <v>22</v>
      </c>
      <c r="O1041" t="s">
        <v>98</v>
      </c>
      <c r="P1041" t="s">
        <v>56</v>
      </c>
      <c r="Q1041">
        <v>2</v>
      </c>
      <c r="R1041">
        <f>IF(ventas_libreria[[#This Row],[valoracion_cliente]]="","Sin valoración",ventas_libreria[[#This Row],[valoracion_cliente]])</f>
        <v>2</v>
      </c>
    </row>
    <row r="1042" spans="1:18" x14ac:dyDescent="0.25">
      <c r="A1042" t="s">
        <v>1318</v>
      </c>
      <c r="B1042" t="s">
        <v>215</v>
      </c>
      <c r="C1042" t="s">
        <v>216</v>
      </c>
      <c r="D1042" t="s">
        <v>217</v>
      </c>
      <c r="E1042" t="s">
        <v>55</v>
      </c>
      <c r="F1042">
        <f>ventas_libreria[[#This Row],[precio_eur]]/100</f>
        <v>20.350000000000001</v>
      </c>
      <c r="G1042">
        <v>2035</v>
      </c>
      <c r="H1042">
        <v>2</v>
      </c>
      <c r="I1042">
        <f>ventas_libreria[[#This Row],[precio]]*ventas_libreria[[#This Row],[cantidad]]</f>
        <v>40.700000000000003</v>
      </c>
      <c r="J1042">
        <v>61</v>
      </c>
      <c r="K1042" t="s">
        <v>30</v>
      </c>
      <c r="L1042" s="1">
        <v>45378</v>
      </c>
      <c r="M1042" t="s">
        <v>31</v>
      </c>
      <c r="N1042" t="s">
        <v>32</v>
      </c>
      <c r="O1042" t="s">
        <v>33</v>
      </c>
      <c r="P1042" t="s">
        <v>34</v>
      </c>
      <c r="Q1042">
        <v>4</v>
      </c>
      <c r="R1042">
        <f>IF(ventas_libreria[[#This Row],[valoracion_cliente]]="","Sin valoración",ventas_libreria[[#This Row],[valoracion_cliente]])</f>
        <v>4</v>
      </c>
    </row>
    <row r="1043" spans="1:18" x14ac:dyDescent="0.25">
      <c r="A1043" t="s">
        <v>1319</v>
      </c>
      <c r="B1043" t="s">
        <v>307</v>
      </c>
      <c r="C1043" t="s">
        <v>308</v>
      </c>
      <c r="D1043" t="s">
        <v>88</v>
      </c>
      <c r="E1043" t="s">
        <v>77</v>
      </c>
      <c r="F1043">
        <f>ventas_libreria[[#This Row],[precio_eur]]/100</f>
        <v>11.45</v>
      </c>
      <c r="G1043">
        <v>1145</v>
      </c>
      <c r="H1043">
        <v>3</v>
      </c>
      <c r="I1043">
        <f>ventas_libreria[[#This Row],[precio]]*ventas_libreria[[#This Row],[cantidad]]</f>
        <v>34.349999999999994</v>
      </c>
      <c r="J1043">
        <v>11</v>
      </c>
      <c r="K1043" t="s">
        <v>38</v>
      </c>
      <c r="L1043" s="1">
        <v>45271</v>
      </c>
      <c r="M1043" t="s">
        <v>43</v>
      </c>
      <c r="N1043" t="s">
        <v>32</v>
      </c>
      <c r="O1043" t="s">
        <v>33</v>
      </c>
      <c r="P1043" t="s">
        <v>34</v>
      </c>
      <c r="Q1043">
        <v>5</v>
      </c>
      <c r="R1043">
        <f>IF(ventas_libreria[[#This Row],[valoracion_cliente]]="","Sin valoración",ventas_libreria[[#This Row],[valoracion_cliente]])</f>
        <v>5</v>
      </c>
    </row>
    <row r="1044" spans="1:18" x14ac:dyDescent="0.25">
      <c r="A1044" t="s">
        <v>1320</v>
      </c>
      <c r="B1044" t="s">
        <v>307</v>
      </c>
      <c r="C1044" t="s">
        <v>308</v>
      </c>
      <c r="D1044" t="s">
        <v>88</v>
      </c>
      <c r="E1044" t="s">
        <v>77</v>
      </c>
      <c r="F1044">
        <f>ventas_libreria[[#This Row],[precio_eur]]/100</f>
        <v>11.45</v>
      </c>
      <c r="G1044">
        <v>1145</v>
      </c>
      <c r="H1044">
        <v>1</v>
      </c>
      <c r="I1044">
        <f>ventas_libreria[[#This Row],[precio]]*ventas_libreria[[#This Row],[cantidad]]</f>
        <v>11.45</v>
      </c>
      <c r="J1044">
        <v>5</v>
      </c>
      <c r="K1044" t="s">
        <v>20</v>
      </c>
      <c r="L1044" s="1">
        <v>45253</v>
      </c>
      <c r="M1044" t="s">
        <v>21</v>
      </c>
      <c r="N1044" t="s">
        <v>32</v>
      </c>
      <c r="O1044" t="s">
        <v>33</v>
      </c>
      <c r="P1044" t="s">
        <v>34</v>
      </c>
      <c r="Q1044">
        <v>3</v>
      </c>
      <c r="R1044">
        <f>IF(ventas_libreria[[#This Row],[valoracion_cliente]]="","Sin valoración",ventas_libreria[[#This Row],[valoracion_cliente]])</f>
        <v>3</v>
      </c>
    </row>
    <row r="1045" spans="1:18" x14ac:dyDescent="0.25">
      <c r="A1045" t="s">
        <v>1321</v>
      </c>
      <c r="B1045" t="s">
        <v>418</v>
      </c>
      <c r="C1045" t="s">
        <v>419</v>
      </c>
      <c r="D1045" t="s">
        <v>420</v>
      </c>
      <c r="E1045" t="s">
        <v>149</v>
      </c>
      <c r="F1045">
        <f>ventas_libreria[[#This Row],[precio_eur]]/100</f>
        <v>1.69</v>
      </c>
      <c r="G1045">
        <v>169</v>
      </c>
      <c r="H1045">
        <v>2</v>
      </c>
      <c r="I1045">
        <f>ventas_libreria[[#This Row],[precio]]*ventas_libreria[[#This Row],[cantidad]]</f>
        <v>3.38</v>
      </c>
      <c r="J1045">
        <v>19</v>
      </c>
      <c r="K1045" t="s">
        <v>62</v>
      </c>
      <c r="L1045" s="1">
        <v>45742</v>
      </c>
      <c r="M1045" t="s">
        <v>31</v>
      </c>
      <c r="N1045" t="s">
        <v>32</v>
      </c>
      <c r="O1045" t="s">
        <v>33</v>
      </c>
      <c r="P1045" t="s">
        <v>50</v>
      </c>
      <c r="R1045" t="str">
        <f>IF(ventas_libreria[[#This Row],[valoracion_cliente]]="","Sin valoración",ventas_libreria[[#This Row],[valoracion_cliente]])</f>
        <v>Sin valoración</v>
      </c>
    </row>
    <row r="1046" spans="1:18" x14ac:dyDescent="0.25">
      <c r="A1046" t="s">
        <v>1322</v>
      </c>
      <c r="B1046" t="s">
        <v>260</v>
      </c>
      <c r="C1046" t="s">
        <v>261</v>
      </c>
      <c r="D1046" t="s">
        <v>262</v>
      </c>
      <c r="E1046" t="s">
        <v>263</v>
      </c>
      <c r="F1046">
        <f>ventas_libreria[[#This Row],[precio_eur]]/100</f>
        <v>2.2999999999999998</v>
      </c>
      <c r="G1046">
        <v>230</v>
      </c>
      <c r="H1046">
        <v>1</v>
      </c>
      <c r="I1046">
        <f>ventas_libreria[[#This Row],[precio]]*ventas_libreria[[#This Row],[cantidad]]</f>
        <v>2.2999999999999998</v>
      </c>
      <c r="J1046">
        <v>67</v>
      </c>
      <c r="K1046" t="s">
        <v>38</v>
      </c>
      <c r="L1046" s="1">
        <v>45078</v>
      </c>
      <c r="M1046" t="s">
        <v>31</v>
      </c>
      <c r="N1046" t="s">
        <v>32</v>
      </c>
      <c r="O1046" t="s">
        <v>33</v>
      </c>
      <c r="P1046" t="s">
        <v>50</v>
      </c>
      <c r="Q1046">
        <v>2</v>
      </c>
      <c r="R1046">
        <f>IF(ventas_libreria[[#This Row],[valoracion_cliente]]="","Sin valoración",ventas_libreria[[#This Row],[valoracion_cliente]])</f>
        <v>2</v>
      </c>
    </row>
    <row r="1047" spans="1:18" x14ac:dyDescent="0.25">
      <c r="A1047" t="s">
        <v>1323</v>
      </c>
      <c r="B1047" t="s">
        <v>348</v>
      </c>
      <c r="C1047" t="s">
        <v>349</v>
      </c>
      <c r="D1047" t="s">
        <v>350</v>
      </c>
      <c r="E1047" t="s">
        <v>116</v>
      </c>
      <c r="F1047">
        <f>ventas_libreria[[#This Row],[precio_eur]]/100</f>
        <v>17.91</v>
      </c>
      <c r="G1047">
        <v>1791</v>
      </c>
      <c r="H1047">
        <v>1</v>
      </c>
      <c r="I1047">
        <f>ventas_libreria[[#This Row],[precio]]*ventas_libreria[[#This Row],[cantidad]]</f>
        <v>17.91</v>
      </c>
      <c r="J1047">
        <v>37</v>
      </c>
      <c r="K1047" t="s">
        <v>62</v>
      </c>
      <c r="L1047" s="1">
        <v>45395</v>
      </c>
      <c r="M1047" t="s">
        <v>43</v>
      </c>
      <c r="N1047" t="s">
        <v>32</v>
      </c>
      <c r="O1047" t="s">
        <v>33</v>
      </c>
      <c r="P1047" t="s">
        <v>24</v>
      </c>
      <c r="Q1047">
        <v>3</v>
      </c>
      <c r="R1047">
        <f>IF(ventas_libreria[[#This Row],[valoracion_cliente]]="","Sin valoración",ventas_libreria[[#This Row],[valoracion_cliente]])</f>
        <v>3</v>
      </c>
    </row>
    <row r="1048" spans="1:18" x14ac:dyDescent="0.25">
      <c r="A1048" t="s">
        <v>1324</v>
      </c>
      <c r="B1048" t="s">
        <v>201</v>
      </c>
      <c r="C1048" t="s">
        <v>202</v>
      </c>
      <c r="D1048" t="s">
        <v>47</v>
      </c>
      <c r="E1048" t="s">
        <v>107</v>
      </c>
      <c r="F1048">
        <f>ventas_libreria[[#This Row],[precio_eur]]/100</f>
        <v>11.12</v>
      </c>
      <c r="G1048">
        <v>1112</v>
      </c>
      <c r="H1048">
        <v>1</v>
      </c>
      <c r="I1048">
        <f>ventas_libreria[[#This Row],[precio]]*ventas_libreria[[#This Row],[cantidad]]</f>
        <v>11.12</v>
      </c>
      <c r="J1048">
        <v>14</v>
      </c>
      <c r="K1048" t="s">
        <v>30</v>
      </c>
      <c r="L1048" s="1">
        <v>45332</v>
      </c>
      <c r="M1048" t="s">
        <v>43</v>
      </c>
      <c r="N1048" t="s">
        <v>32</v>
      </c>
      <c r="O1048" t="s">
        <v>33</v>
      </c>
      <c r="P1048" t="s">
        <v>84</v>
      </c>
      <c r="R1048" t="str">
        <f>IF(ventas_libreria[[#This Row],[valoracion_cliente]]="","Sin valoración",ventas_libreria[[#This Row],[valoracion_cliente]])</f>
        <v>Sin valoración</v>
      </c>
    </row>
    <row r="1049" spans="1:18" x14ac:dyDescent="0.25">
      <c r="A1049" t="s">
        <v>1325</v>
      </c>
      <c r="B1049" t="s">
        <v>243</v>
      </c>
      <c r="C1049" t="s">
        <v>244</v>
      </c>
      <c r="D1049" t="s">
        <v>245</v>
      </c>
      <c r="E1049" t="s">
        <v>48</v>
      </c>
      <c r="F1049">
        <f>ventas_libreria[[#This Row],[precio_eur]]/100</f>
        <v>24.09</v>
      </c>
      <c r="G1049">
        <v>2409</v>
      </c>
      <c r="H1049">
        <v>1</v>
      </c>
      <c r="I1049">
        <f>ventas_libreria[[#This Row],[precio]]*ventas_libreria[[#This Row],[cantidad]]</f>
        <v>24.09</v>
      </c>
      <c r="J1049">
        <v>67</v>
      </c>
      <c r="K1049" t="s">
        <v>38</v>
      </c>
      <c r="L1049" s="1">
        <v>45991</v>
      </c>
      <c r="M1049" t="s">
        <v>21</v>
      </c>
      <c r="N1049" t="s">
        <v>22</v>
      </c>
      <c r="O1049" t="s">
        <v>98</v>
      </c>
      <c r="P1049" t="s">
        <v>84</v>
      </c>
      <c r="Q1049">
        <v>5</v>
      </c>
      <c r="R1049">
        <f>IF(ventas_libreria[[#This Row],[valoracion_cliente]]="","Sin valoración",ventas_libreria[[#This Row],[valoracion_cliente]])</f>
        <v>5</v>
      </c>
    </row>
    <row r="1050" spans="1:18" x14ac:dyDescent="0.25">
      <c r="A1050" t="s">
        <v>1326</v>
      </c>
      <c r="B1050" t="s">
        <v>193</v>
      </c>
      <c r="C1050" t="s">
        <v>194</v>
      </c>
      <c r="D1050" t="s">
        <v>195</v>
      </c>
      <c r="E1050" t="s">
        <v>48</v>
      </c>
      <c r="F1050">
        <f>ventas_libreria[[#This Row],[precio_eur]]/100</f>
        <v>1.99</v>
      </c>
      <c r="G1050">
        <v>199</v>
      </c>
      <c r="H1050">
        <v>1</v>
      </c>
      <c r="I1050">
        <f>ventas_libreria[[#This Row],[precio]]*ventas_libreria[[#This Row],[cantidad]]</f>
        <v>1.99</v>
      </c>
      <c r="J1050">
        <v>75</v>
      </c>
      <c r="K1050" t="s">
        <v>38</v>
      </c>
      <c r="L1050" s="1">
        <v>45681</v>
      </c>
      <c r="M1050" t="s">
        <v>21</v>
      </c>
      <c r="N1050" t="s">
        <v>22</v>
      </c>
      <c r="O1050" t="s">
        <v>67</v>
      </c>
      <c r="P1050" t="s">
        <v>24</v>
      </c>
      <c r="Q1050">
        <v>5</v>
      </c>
      <c r="R1050">
        <f>IF(ventas_libreria[[#This Row],[valoracion_cliente]]="","Sin valoración",ventas_libreria[[#This Row],[valoracion_cliente]])</f>
        <v>5</v>
      </c>
    </row>
    <row r="1051" spans="1:18" x14ac:dyDescent="0.25">
      <c r="A1051" t="s">
        <v>1327</v>
      </c>
      <c r="B1051" t="s">
        <v>418</v>
      </c>
      <c r="C1051" t="s">
        <v>419</v>
      </c>
      <c r="D1051" t="s">
        <v>420</v>
      </c>
      <c r="E1051" t="s">
        <v>149</v>
      </c>
      <c r="F1051">
        <f>ventas_libreria[[#This Row],[precio_eur]]/100</f>
        <v>1.69</v>
      </c>
      <c r="G1051">
        <v>169</v>
      </c>
      <c r="H1051">
        <v>2</v>
      </c>
      <c r="I1051">
        <f>ventas_libreria[[#This Row],[precio]]*ventas_libreria[[#This Row],[cantidad]]</f>
        <v>3.38</v>
      </c>
      <c r="J1051">
        <v>17</v>
      </c>
      <c r="K1051" t="s">
        <v>20</v>
      </c>
      <c r="L1051" s="1">
        <v>45883</v>
      </c>
      <c r="M1051" t="s">
        <v>21</v>
      </c>
      <c r="N1051" t="s">
        <v>32</v>
      </c>
      <c r="O1051" t="s">
        <v>33</v>
      </c>
      <c r="P1051" t="s">
        <v>84</v>
      </c>
      <c r="Q1051">
        <v>3</v>
      </c>
      <c r="R1051">
        <f>IF(ventas_libreria[[#This Row],[valoracion_cliente]]="","Sin valoración",ventas_libreria[[#This Row],[valoracion_cliente]])</f>
        <v>3</v>
      </c>
    </row>
    <row r="1052" spans="1:18" x14ac:dyDescent="0.25">
      <c r="A1052" t="s">
        <v>1328</v>
      </c>
      <c r="B1052" t="s">
        <v>296</v>
      </c>
      <c r="C1052" t="s">
        <v>297</v>
      </c>
      <c r="D1052" t="s">
        <v>298</v>
      </c>
      <c r="E1052" t="s">
        <v>154</v>
      </c>
      <c r="F1052">
        <f>ventas_libreria[[#This Row],[precio_eur]]/100</f>
        <v>1.79</v>
      </c>
      <c r="G1052">
        <v>179</v>
      </c>
      <c r="H1052">
        <v>3</v>
      </c>
      <c r="I1052">
        <f>ventas_libreria[[#This Row],[precio]]*ventas_libreria[[#This Row],[cantidad]]</f>
        <v>5.37</v>
      </c>
      <c r="J1052">
        <v>48</v>
      </c>
      <c r="K1052" t="s">
        <v>38</v>
      </c>
      <c r="L1052" s="1">
        <v>45738</v>
      </c>
      <c r="M1052" t="s">
        <v>31</v>
      </c>
      <c r="N1052" t="s">
        <v>32</v>
      </c>
      <c r="O1052" t="s">
        <v>33</v>
      </c>
      <c r="P1052" t="s">
        <v>84</v>
      </c>
      <c r="Q1052">
        <v>5</v>
      </c>
      <c r="R1052">
        <f>IF(ventas_libreria[[#This Row],[valoracion_cliente]]="","Sin valoración",ventas_libreria[[#This Row],[valoracion_cliente]])</f>
        <v>5</v>
      </c>
    </row>
    <row r="1053" spans="1:18" x14ac:dyDescent="0.25">
      <c r="A1053" t="s">
        <v>1329</v>
      </c>
      <c r="B1053" t="s">
        <v>265</v>
      </c>
      <c r="C1053" t="s">
        <v>266</v>
      </c>
      <c r="D1053" t="s">
        <v>162</v>
      </c>
      <c r="E1053" t="s">
        <v>29</v>
      </c>
      <c r="F1053">
        <f>ventas_libreria[[#This Row],[precio_eur]]/100</f>
        <v>18.59</v>
      </c>
      <c r="G1053">
        <v>1859</v>
      </c>
      <c r="H1053">
        <v>1</v>
      </c>
      <c r="I1053">
        <f>ventas_libreria[[#This Row],[precio]]*ventas_libreria[[#This Row],[cantidad]]</f>
        <v>18.59</v>
      </c>
      <c r="J1053">
        <v>56</v>
      </c>
      <c r="K1053" t="s">
        <v>20</v>
      </c>
      <c r="L1053" s="1">
        <v>45270</v>
      </c>
      <c r="M1053" t="s">
        <v>31</v>
      </c>
      <c r="N1053" t="s">
        <v>22</v>
      </c>
      <c r="O1053" t="s">
        <v>132</v>
      </c>
      <c r="P1053" t="s">
        <v>84</v>
      </c>
      <c r="Q1053">
        <v>5</v>
      </c>
      <c r="R1053">
        <f>IF(ventas_libreria[[#This Row],[valoracion_cliente]]="","Sin valoración",ventas_libreria[[#This Row],[valoracion_cliente]])</f>
        <v>5</v>
      </c>
    </row>
    <row r="1054" spans="1:18" x14ac:dyDescent="0.25">
      <c r="A1054" t="s">
        <v>1330</v>
      </c>
      <c r="B1054" t="s">
        <v>508</v>
      </c>
      <c r="C1054" t="s">
        <v>509</v>
      </c>
      <c r="D1054" t="s">
        <v>199</v>
      </c>
      <c r="E1054" t="s">
        <v>55</v>
      </c>
      <c r="F1054">
        <f>ventas_libreria[[#This Row],[precio_eur]]/100</f>
        <v>1.89</v>
      </c>
      <c r="G1054">
        <v>189</v>
      </c>
      <c r="H1054">
        <v>1</v>
      </c>
      <c r="I1054">
        <f>ventas_libreria[[#This Row],[precio]]*ventas_libreria[[#This Row],[cantidad]]</f>
        <v>1.89</v>
      </c>
      <c r="J1054">
        <v>49</v>
      </c>
      <c r="K1054" t="s">
        <v>30</v>
      </c>
      <c r="L1054" s="1">
        <v>45176</v>
      </c>
      <c r="M1054" t="s">
        <v>21</v>
      </c>
      <c r="N1054" t="s">
        <v>32</v>
      </c>
      <c r="O1054" t="s">
        <v>33</v>
      </c>
      <c r="P1054" t="s">
        <v>24</v>
      </c>
      <c r="Q1054">
        <v>5</v>
      </c>
      <c r="R1054">
        <f>IF(ventas_libreria[[#This Row],[valoracion_cliente]]="","Sin valoración",ventas_libreria[[#This Row],[valoracion_cliente]])</f>
        <v>5</v>
      </c>
    </row>
    <row r="1055" spans="1:18" x14ac:dyDescent="0.25">
      <c r="A1055" t="s">
        <v>1331</v>
      </c>
      <c r="B1055" t="s">
        <v>36</v>
      </c>
      <c r="C1055" t="s">
        <v>37</v>
      </c>
      <c r="D1055" t="s">
        <v>28</v>
      </c>
      <c r="E1055" t="s">
        <v>29</v>
      </c>
      <c r="F1055">
        <f>ventas_libreria[[#This Row],[precio_eur]]/100</f>
        <v>1.89</v>
      </c>
      <c r="G1055">
        <v>189</v>
      </c>
      <c r="H1055">
        <v>1</v>
      </c>
      <c r="I1055">
        <f>ventas_libreria[[#This Row],[precio]]*ventas_libreria[[#This Row],[cantidad]]</f>
        <v>1.89</v>
      </c>
      <c r="J1055">
        <v>27</v>
      </c>
      <c r="K1055" t="s">
        <v>30</v>
      </c>
      <c r="L1055" s="1">
        <v>45379</v>
      </c>
      <c r="M1055" t="s">
        <v>31</v>
      </c>
      <c r="N1055" t="s">
        <v>32</v>
      </c>
      <c r="O1055" t="s">
        <v>33</v>
      </c>
      <c r="P1055" t="s">
        <v>50</v>
      </c>
      <c r="Q1055">
        <v>5</v>
      </c>
      <c r="R1055">
        <f>IF(ventas_libreria[[#This Row],[valoracion_cliente]]="","Sin valoración",ventas_libreria[[#This Row],[valoracion_cliente]])</f>
        <v>5</v>
      </c>
    </row>
    <row r="1056" spans="1:18" x14ac:dyDescent="0.25">
      <c r="A1056" t="s">
        <v>1332</v>
      </c>
      <c r="B1056" t="s">
        <v>296</v>
      </c>
      <c r="C1056" t="s">
        <v>297</v>
      </c>
      <c r="D1056" t="s">
        <v>298</v>
      </c>
      <c r="E1056" t="s">
        <v>154</v>
      </c>
      <c r="F1056">
        <f>ventas_libreria[[#This Row],[precio_eur]]/100</f>
        <v>18.79</v>
      </c>
      <c r="G1056">
        <v>1879</v>
      </c>
      <c r="H1056">
        <v>1</v>
      </c>
      <c r="I1056">
        <f>ventas_libreria[[#This Row],[precio]]*ventas_libreria[[#This Row],[cantidad]]</f>
        <v>18.79</v>
      </c>
      <c r="J1056">
        <v>17</v>
      </c>
      <c r="K1056" t="s">
        <v>30</v>
      </c>
      <c r="L1056" s="1">
        <v>45935</v>
      </c>
      <c r="M1056" t="s">
        <v>21</v>
      </c>
      <c r="N1056" t="s">
        <v>22</v>
      </c>
      <c r="O1056" t="s">
        <v>132</v>
      </c>
      <c r="P1056" t="s">
        <v>84</v>
      </c>
      <c r="Q1056">
        <v>4</v>
      </c>
      <c r="R1056">
        <f>IF(ventas_libreria[[#This Row],[valoracion_cliente]]="","Sin valoración",ventas_libreria[[#This Row],[valoracion_cliente]])</f>
        <v>4</v>
      </c>
    </row>
    <row r="1057" spans="1:18" x14ac:dyDescent="0.25">
      <c r="A1057" t="s">
        <v>1333</v>
      </c>
      <c r="B1057" t="s">
        <v>398</v>
      </c>
      <c r="C1057" t="s">
        <v>399</v>
      </c>
      <c r="D1057" t="s">
        <v>167</v>
      </c>
      <c r="E1057" t="s">
        <v>61</v>
      </c>
      <c r="F1057">
        <f>ventas_libreria[[#This Row],[precio_eur]]/100</f>
        <v>18.59</v>
      </c>
      <c r="G1057">
        <v>1859</v>
      </c>
      <c r="H1057">
        <v>1</v>
      </c>
      <c r="I1057">
        <f>ventas_libreria[[#This Row],[precio]]*ventas_libreria[[#This Row],[cantidad]]</f>
        <v>18.59</v>
      </c>
      <c r="J1057">
        <v>35</v>
      </c>
      <c r="K1057" t="s">
        <v>38</v>
      </c>
      <c r="L1057" s="1">
        <v>45808</v>
      </c>
      <c r="M1057" t="s">
        <v>43</v>
      </c>
      <c r="N1057" t="s">
        <v>32</v>
      </c>
      <c r="O1057" t="s">
        <v>33</v>
      </c>
      <c r="P1057" t="s">
        <v>24</v>
      </c>
      <c r="Q1057">
        <v>3</v>
      </c>
      <c r="R1057">
        <f>IF(ventas_libreria[[#This Row],[valoracion_cliente]]="","Sin valoración",ventas_libreria[[#This Row],[valoracion_cliente]])</f>
        <v>3</v>
      </c>
    </row>
    <row r="1058" spans="1:18" x14ac:dyDescent="0.25">
      <c r="A1058" t="s">
        <v>1334</v>
      </c>
      <c r="B1058" t="s">
        <v>348</v>
      </c>
      <c r="C1058" t="s">
        <v>349</v>
      </c>
      <c r="D1058" t="s">
        <v>350</v>
      </c>
      <c r="E1058" t="s">
        <v>116</v>
      </c>
      <c r="F1058">
        <f>ventas_libreria[[#This Row],[precio_eur]]/100</f>
        <v>1.99</v>
      </c>
      <c r="G1058">
        <v>199</v>
      </c>
      <c r="H1058">
        <v>1</v>
      </c>
      <c r="I1058">
        <f>ventas_libreria[[#This Row],[precio]]*ventas_libreria[[#This Row],[cantidad]]</f>
        <v>1.99</v>
      </c>
      <c r="J1058">
        <v>64</v>
      </c>
      <c r="K1058" t="s">
        <v>30</v>
      </c>
      <c r="L1058" s="1">
        <v>45399</v>
      </c>
      <c r="M1058" t="s">
        <v>31</v>
      </c>
      <c r="N1058" t="s">
        <v>32</v>
      </c>
      <c r="O1058" t="s">
        <v>33</v>
      </c>
      <c r="P1058" t="s">
        <v>24</v>
      </c>
      <c r="Q1058">
        <v>5</v>
      </c>
      <c r="R1058">
        <f>IF(ventas_libreria[[#This Row],[valoracion_cliente]]="","Sin valoración",ventas_libreria[[#This Row],[valoracion_cliente]])</f>
        <v>5</v>
      </c>
    </row>
    <row r="1059" spans="1:18" x14ac:dyDescent="0.25">
      <c r="A1059" t="s">
        <v>1335</v>
      </c>
      <c r="B1059" t="s">
        <v>165</v>
      </c>
      <c r="C1059" t="s">
        <v>166</v>
      </c>
      <c r="D1059" t="s">
        <v>167</v>
      </c>
      <c r="E1059" t="s">
        <v>61</v>
      </c>
      <c r="F1059">
        <f>ventas_libreria[[#This Row],[precio_eur]]/100</f>
        <v>1.49</v>
      </c>
      <c r="G1059">
        <v>149</v>
      </c>
      <c r="H1059">
        <v>1</v>
      </c>
      <c r="I1059">
        <f>ventas_libreria[[#This Row],[precio]]*ventas_libreria[[#This Row],[cantidad]]</f>
        <v>1.49</v>
      </c>
      <c r="J1059">
        <v>29</v>
      </c>
      <c r="K1059" t="s">
        <v>38</v>
      </c>
      <c r="L1059" s="1">
        <v>45369</v>
      </c>
      <c r="M1059" t="s">
        <v>31</v>
      </c>
      <c r="N1059" t="s">
        <v>32</v>
      </c>
      <c r="O1059" t="s">
        <v>33</v>
      </c>
      <c r="P1059" t="s">
        <v>50</v>
      </c>
      <c r="Q1059">
        <v>4</v>
      </c>
      <c r="R1059">
        <f>IF(ventas_libreria[[#This Row],[valoracion_cliente]]="","Sin valoración",ventas_libreria[[#This Row],[valoracion_cliente]])</f>
        <v>4</v>
      </c>
    </row>
    <row r="1060" spans="1:18" x14ac:dyDescent="0.25">
      <c r="A1060" t="s">
        <v>1336</v>
      </c>
      <c r="B1060" t="s">
        <v>201</v>
      </c>
      <c r="C1060" t="s">
        <v>202</v>
      </c>
      <c r="D1060" t="s">
        <v>47</v>
      </c>
      <c r="E1060" t="s">
        <v>107</v>
      </c>
      <c r="F1060">
        <f>ventas_libreria[[#This Row],[precio_eur]]/100</f>
        <v>1.39</v>
      </c>
      <c r="G1060">
        <v>139</v>
      </c>
      <c r="H1060">
        <v>3</v>
      </c>
      <c r="I1060">
        <f>ventas_libreria[[#This Row],[precio]]*ventas_libreria[[#This Row],[cantidad]]</f>
        <v>4.17</v>
      </c>
      <c r="J1060">
        <v>20</v>
      </c>
      <c r="K1060" t="s">
        <v>20</v>
      </c>
      <c r="L1060" s="1">
        <v>45285</v>
      </c>
      <c r="M1060" t="s">
        <v>21</v>
      </c>
      <c r="N1060" t="s">
        <v>22</v>
      </c>
      <c r="O1060" t="s">
        <v>98</v>
      </c>
      <c r="P1060" t="s">
        <v>34</v>
      </c>
      <c r="Q1060">
        <v>4</v>
      </c>
      <c r="R1060">
        <f>IF(ventas_libreria[[#This Row],[valoracion_cliente]]="","Sin valoración",ventas_libreria[[#This Row],[valoracion_cliente]])</f>
        <v>4</v>
      </c>
    </row>
    <row r="1061" spans="1:18" x14ac:dyDescent="0.25">
      <c r="A1061" t="s">
        <v>1337</v>
      </c>
      <c r="B1061" t="s">
        <v>466</v>
      </c>
      <c r="C1061" t="s">
        <v>467</v>
      </c>
      <c r="D1061" t="s">
        <v>468</v>
      </c>
      <c r="E1061" t="s">
        <v>154</v>
      </c>
      <c r="F1061">
        <f>ventas_libreria[[#This Row],[precio_eur]]/100</f>
        <v>19.84</v>
      </c>
      <c r="G1061">
        <v>1984</v>
      </c>
      <c r="H1061">
        <v>2</v>
      </c>
      <c r="I1061">
        <f>ventas_libreria[[#This Row],[precio]]*ventas_libreria[[#This Row],[cantidad]]</f>
        <v>39.68</v>
      </c>
      <c r="J1061">
        <v>40</v>
      </c>
      <c r="K1061" t="s">
        <v>20</v>
      </c>
      <c r="L1061" s="1">
        <v>45736</v>
      </c>
      <c r="M1061" t="s">
        <v>31</v>
      </c>
      <c r="N1061" t="s">
        <v>32</v>
      </c>
      <c r="O1061" t="s">
        <v>33</v>
      </c>
      <c r="P1061" t="s">
        <v>50</v>
      </c>
      <c r="Q1061">
        <v>5</v>
      </c>
      <c r="R1061">
        <f>IF(ventas_libreria[[#This Row],[valoracion_cliente]]="","Sin valoración",ventas_libreria[[#This Row],[valoracion_cliente]])</f>
        <v>5</v>
      </c>
    </row>
    <row r="1062" spans="1:18" x14ac:dyDescent="0.25">
      <c r="A1062" t="s">
        <v>1338</v>
      </c>
      <c r="B1062" t="s">
        <v>286</v>
      </c>
      <c r="C1062" t="s">
        <v>287</v>
      </c>
      <c r="D1062" t="s">
        <v>288</v>
      </c>
      <c r="E1062" t="s">
        <v>289</v>
      </c>
      <c r="F1062">
        <f>ventas_libreria[[#This Row],[precio_eur]]/100</f>
        <v>17.52</v>
      </c>
      <c r="G1062">
        <v>1752</v>
      </c>
      <c r="H1062">
        <v>1</v>
      </c>
      <c r="I1062">
        <f>ventas_libreria[[#This Row],[precio]]*ventas_libreria[[#This Row],[cantidad]]</f>
        <v>17.52</v>
      </c>
      <c r="J1062">
        <v>16</v>
      </c>
      <c r="K1062" t="s">
        <v>62</v>
      </c>
      <c r="L1062" s="1">
        <v>45061</v>
      </c>
      <c r="M1062" t="s">
        <v>21</v>
      </c>
      <c r="N1062" t="s">
        <v>32</v>
      </c>
      <c r="O1062" t="s">
        <v>33</v>
      </c>
      <c r="P1062" t="s">
        <v>84</v>
      </c>
      <c r="Q1062">
        <v>5</v>
      </c>
      <c r="R1062">
        <f>IF(ventas_libreria[[#This Row],[valoracion_cliente]]="","Sin valoración",ventas_libreria[[#This Row],[valoracion_cliente]])</f>
        <v>5</v>
      </c>
    </row>
    <row r="1063" spans="1:18" x14ac:dyDescent="0.25">
      <c r="A1063" t="s">
        <v>1339</v>
      </c>
      <c r="B1063" t="s">
        <v>104</v>
      </c>
      <c r="C1063" t="s">
        <v>105</v>
      </c>
      <c r="D1063" t="s">
        <v>106</v>
      </c>
      <c r="E1063" t="s">
        <v>107</v>
      </c>
      <c r="F1063">
        <f>ventas_libreria[[#This Row],[precio_eur]]/100</f>
        <v>11.92</v>
      </c>
      <c r="G1063">
        <v>1192</v>
      </c>
      <c r="H1063">
        <v>1</v>
      </c>
      <c r="I1063">
        <f>ventas_libreria[[#This Row],[precio]]*ventas_libreria[[#This Row],[cantidad]]</f>
        <v>11.92</v>
      </c>
      <c r="J1063">
        <v>17</v>
      </c>
      <c r="K1063" t="s">
        <v>30</v>
      </c>
      <c r="L1063" s="1">
        <v>45312</v>
      </c>
      <c r="M1063" t="s">
        <v>21</v>
      </c>
      <c r="N1063" t="s">
        <v>22</v>
      </c>
      <c r="O1063" t="s">
        <v>132</v>
      </c>
      <c r="P1063" t="s">
        <v>24</v>
      </c>
      <c r="Q1063">
        <v>5</v>
      </c>
      <c r="R1063">
        <f>IF(ventas_libreria[[#This Row],[valoracion_cliente]]="","Sin valoración",ventas_libreria[[#This Row],[valoracion_cliente]])</f>
        <v>5</v>
      </c>
    </row>
    <row r="1064" spans="1:18" x14ac:dyDescent="0.25">
      <c r="A1064" t="s">
        <v>1340</v>
      </c>
      <c r="B1064" t="s">
        <v>276</v>
      </c>
      <c r="C1064" t="s">
        <v>277</v>
      </c>
      <c r="D1064" t="s">
        <v>278</v>
      </c>
      <c r="E1064" t="s">
        <v>189</v>
      </c>
      <c r="F1064">
        <f>ventas_libreria[[#This Row],[precio_eur]]/100</f>
        <v>18.79</v>
      </c>
      <c r="G1064">
        <v>1879</v>
      </c>
      <c r="H1064">
        <v>3</v>
      </c>
      <c r="I1064">
        <f>ventas_libreria[[#This Row],[precio]]*ventas_libreria[[#This Row],[cantidad]]</f>
        <v>56.37</v>
      </c>
      <c r="J1064">
        <v>60</v>
      </c>
      <c r="K1064" t="s">
        <v>30</v>
      </c>
      <c r="L1064" s="1">
        <v>45697</v>
      </c>
      <c r="M1064" t="s">
        <v>31</v>
      </c>
      <c r="N1064" t="s">
        <v>32</v>
      </c>
      <c r="O1064" t="s">
        <v>33</v>
      </c>
      <c r="P1064" t="s">
        <v>34</v>
      </c>
      <c r="Q1064">
        <v>4</v>
      </c>
      <c r="R1064">
        <f>IF(ventas_libreria[[#This Row],[valoracion_cliente]]="","Sin valoración",ventas_libreria[[#This Row],[valoracion_cliente]])</f>
        <v>4</v>
      </c>
    </row>
    <row r="1065" spans="1:18" x14ac:dyDescent="0.25">
      <c r="A1065" t="s">
        <v>1341</v>
      </c>
      <c r="B1065" t="s">
        <v>169</v>
      </c>
      <c r="C1065" t="s">
        <v>170</v>
      </c>
      <c r="D1065" t="s">
        <v>171</v>
      </c>
      <c r="E1065" t="s">
        <v>172</v>
      </c>
      <c r="F1065">
        <f>ventas_libreria[[#This Row],[precio_eur]]/100</f>
        <v>24.04</v>
      </c>
      <c r="G1065">
        <v>2404</v>
      </c>
      <c r="H1065">
        <v>1</v>
      </c>
      <c r="I1065">
        <f>ventas_libreria[[#This Row],[precio]]*ventas_libreria[[#This Row],[cantidad]]</f>
        <v>24.04</v>
      </c>
      <c r="J1065">
        <v>23</v>
      </c>
      <c r="K1065" t="s">
        <v>30</v>
      </c>
      <c r="L1065" s="1">
        <v>45258</v>
      </c>
      <c r="M1065" t="s">
        <v>31</v>
      </c>
      <c r="N1065" t="s">
        <v>22</v>
      </c>
      <c r="O1065" t="s">
        <v>67</v>
      </c>
      <c r="P1065" t="s">
        <v>24</v>
      </c>
      <c r="Q1065">
        <v>5</v>
      </c>
      <c r="R1065">
        <f>IF(ventas_libreria[[#This Row],[valoracion_cliente]]="","Sin valoración",ventas_libreria[[#This Row],[valoracion_cliente]])</f>
        <v>5</v>
      </c>
    </row>
    <row r="1066" spans="1:18" x14ac:dyDescent="0.25">
      <c r="A1066" t="s">
        <v>1342</v>
      </c>
      <c r="B1066" t="s">
        <v>276</v>
      </c>
      <c r="C1066" t="s">
        <v>277</v>
      </c>
      <c r="D1066" t="s">
        <v>278</v>
      </c>
      <c r="E1066" t="s">
        <v>189</v>
      </c>
      <c r="F1066">
        <f>ventas_libreria[[#This Row],[precio_eur]]/100</f>
        <v>14.32</v>
      </c>
      <c r="G1066">
        <v>1432</v>
      </c>
      <c r="H1066">
        <v>2</v>
      </c>
      <c r="I1066">
        <f>ventas_libreria[[#This Row],[precio]]*ventas_libreria[[#This Row],[cantidad]]</f>
        <v>28.64</v>
      </c>
      <c r="J1066">
        <v>52</v>
      </c>
      <c r="K1066" t="s">
        <v>30</v>
      </c>
      <c r="L1066" s="1">
        <v>45874</v>
      </c>
      <c r="M1066" t="s">
        <v>21</v>
      </c>
      <c r="N1066" t="s">
        <v>32</v>
      </c>
      <c r="O1066" t="s">
        <v>33</v>
      </c>
      <c r="P1066" t="s">
        <v>24</v>
      </c>
      <c r="Q1066">
        <v>3</v>
      </c>
      <c r="R1066">
        <f>IF(ventas_libreria[[#This Row],[valoracion_cliente]]="","Sin valoración",ventas_libreria[[#This Row],[valoracion_cliente]])</f>
        <v>3</v>
      </c>
    </row>
    <row r="1067" spans="1:18" x14ac:dyDescent="0.25">
      <c r="A1067" t="s">
        <v>1343</v>
      </c>
      <c r="B1067" t="s">
        <v>362</v>
      </c>
      <c r="C1067" t="s">
        <v>363</v>
      </c>
      <c r="D1067" t="s">
        <v>249</v>
      </c>
      <c r="E1067" t="s">
        <v>172</v>
      </c>
      <c r="F1067">
        <f>ventas_libreria[[#This Row],[precio_eur]]/100</f>
        <v>15.96</v>
      </c>
      <c r="G1067">
        <v>1596</v>
      </c>
      <c r="H1067">
        <v>2</v>
      </c>
      <c r="I1067">
        <f>ventas_libreria[[#This Row],[precio]]*ventas_libreria[[#This Row],[cantidad]]</f>
        <v>31.92</v>
      </c>
      <c r="J1067">
        <v>49</v>
      </c>
      <c r="K1067" t="s">
        <v>38</v>
      </c>
      <c r="L1067" s="1">
        <v>45315</v>
      </c>
      <c r="M1067" t="s">
        <v>21</v>
      </c>
      <c r="N1067" t="s">
        <v>32</v>
      </c>
      <c r="O1067" t="s">
        <v>33</v>
      </c>
      <c r="P1067" t="s">
        <v>34</v>
      </c>
      <c r="Q1067">
        <v>4</v>
      </c>
      <c r="R1067">
        <f>IF(ventas_libreria[[#This Row],[valoracion_cliente]]="","Sin valoración",ventas_libreria[[#This Row],[valoracion_cliente]])</f>
        <v>4</v>
      </c>
    </row>
    <row r="1068" spans="1:18" x14ac:dyDescent="0.25">
      <c r="A1068" t="s">
        <v>1344</v>
      </c>
      <c r="B1068" t="s">
        <v>375</v>
      </c>
      <c r="C1068" t="s">
        <v>376</v>
      </c>
      <c r="D1068" t="s">
        <v>377</v>
      </c>
      <c r="E1068" t="s">
        <v>29</v>
      </c>
      <c r="F1068">
        <f>ventas_libreria[[#This Row],[precio_eur]]/100</f>
        <v>14.31</v>
      </c>
      <c r="G1068">
        <v>1431</v>
      </c>
      <c r="H1068">
        <v>1</v>
      </c>
      <c r="I1068">
        <f>ventas_libreria[[#This Row],[precio]]*ventas_libreria[[#This Row],[cantidad]]</f>
        <v>14.31</v>
      </c>
      <c r="J1068">
        <v>30</v>
      </c>
      <c r="K1068" t="s">
        <v>20</v>
      </c>
      <c r="L1068" s="1">
        <v>45014</v>
      </c>
      <c r="M1068" t="s">
        <v>43</v>
      </c>
      <c r="N1068" t="s">
        <v>32</v>
      </c>
      <c r="O1068" t="s">
        <v>33</v>
      </c>
      <c r="P1068" t="s">
        <v>50</v>
      </c>
      <c r="Q1068">
        <v>5</v>
      </c>
      <c r="R1068">
        <f>IF(ventas_libreria[[#This Row],[valoracion_cliente]]="","Sin valoración",ventas_libreria[[#This Row],[valoracion_cliente]])</f>
        <v>5</v>
      </c>
    </row>
    <row r="1069" spans="1:18" x14ac:dyDescent="0.25">
      <c r="A1069" t="s">
        <v>1345</v>
      </c>
      <c r="B1069" t="s">
        <v>549</v>
      </c>
      <c r="C1069" t="s">
        <v>550</v>
      </c>
      <c r="D1069" t="s">
        <v>162</v>
      </c>
      <c r="E1069" t="s">
        <v>29</v>
      </c>
      <c r="F1069">
        <f>ventas_libreria[[#This Row],[precio_eur]]/100</f>
        <v>1.99</v>
      </c>
      <c r="G1069">
        <v>199</v>
      </c>
      <c r="H1069">
        <v>1</v>
      </c>
      <c r="I1069">
        <f>ventas_libreria[[#This Row],[precio]]*ventas_libreria[[#This Row],[cantidad]]</f>
        <v>1.99</v>
      </c>
      <c r="J1069">
        <v>40</v>
      </c>
      <c r="K1069" t="s">
        <v>20</v>
      </c>
      <c r="L1069" s="1">
        <v>45185</v>
      </c>
      <c r="M1069" t="s">
        <v>21</v>
      </c>
      <c r="N1069" t="s">
        <v>22</v>
      </c>
      <c r="O1069" t="s">
        <v>98</v>
      </c>
      <c r="P1069" t="s">
        <v>84</v>
      </c>
      <c r="Q1069">
        <v>4</v>
      </c>
      <c r="R1069">
        <f>IF(ventas_libreria[[#This Row],[valoracion_cliente]]="","Sin valoración",ventas_libreria[[#This Row],[valoracion_cliente]])</f>
        <v>4</v>
      </c>
    </row>
    <row r="1070" spans="1:18" x14ac:dyDescent="0.25">
      <c r="A1070" t="s">
        <v>1346</v>
      </c>
      <c r="B1070" t="s">
        <v>156</v>
      </c>
      <c r="C1070" t="s">
        <v>157</v>
      </c>
      <c r="D1070" t="s">
        <v>158</v>
      </c>
      <c r="E1070" t="s">
        <v>149</v>
      </c>
      <c r="F1070">
        <f>ventas_libreria[[#This Row],[precio_eur]]/100</f>
        <v>17.010000000000002</v>
      </c>
      <c r="G1070">
        <v>1701</v>
      </c>
      <c r="H1070">
        <v>1</v>
      </c>
      <c r="I1070">
        <f>ventas_libreria[[#This Row],[precio]]*ventas_libreria[[#This Row],[cantidad]]</f>
        <v>17.010000000000002</v>
      </c>
      <c r="J1070">
        <v>68</v>
      </c>
      <c r="K1070" t="s">
        <v>30</v>
      </c>
      <c r="L1070" s="1">
        <v>44979</v>
      </c>
      <c r="M1070" t="s">
        <v>21</v>
      </c>
      <c r="N1070" t="s">
        <v>32</v>
      </c>
      <c r="O1070" t="s">
        <v>33</v>
      </c>
      <c r="P1070" t="s">
        <v>84</v>
      </c>
      <c r="Q1070">
        <v>5</v>
      </c>
      <c r="R1070">
        <f>IF(ventas_libreria[[#This Row],[valoracion_cliente]]="","Sin valoración",ventas_libreria[[#This Row],[valoracion_cliente]])</f>
        <v>5</v>
      </c>
    </row>
    <row r="1071" spans="1:18" x14ac:dyDescent="0.25">
      <c r="A1071" t="s">
        <v>1347</v>
      </c>
      <c r="B1071" t="s">
        <v>151</v>
      </c>
      <c r="C1071" t="s">
        <v>152</v>
      </c>
      <c r="D1071" t="s">
        <v>153</v>
      </c>
      <c r="E1071" t="s">
        <v>154</v>
      </c>
      <c r="F1071">
        <f>ventas_libreria[[#This Row],[precio_eur]]/100</f>
        <v>1.69</v>
      </c>
      <c r="G1071">
        <v>169</v>
      </c>
      <c r="H1071">
        <v>2</v>
      </c>
      <c r="I1071">
        <f>ventas_libreria[[#This Row],[precio]]*ventas_libreria[[#This Row],[cantidad]]</f>
        <v>3.38</v>
      </c>
      <c r="J1071">
        <v>29</v>
      </c>
      <c r="K1071" t="s">
        <v>62</v>
      </c>
      <c r="L1071" s="1">
        <v>45695</v>
      </c>
      <c r="M1071" t="s">
        <v>43</v>
      </c>
      <c r="N1071" t="s">
        <v>32</v>
      </c>
      <c r="O1071" t="s">
        <v>33</v>
      </c>
      <c r="P1071" t="s">
        <v>50</v>
      </c>
      <c r="Q1071">
        <v>3</v>
      </c>
      <c r="R1071">
        <f>IF(ventas_libreria[[#This Row],[valoracion_cliente]]="","Sin valoración",ventas_libreria[[#This Row],[valoracion_cliente]])</f>
        <v>3</v>
      </c>
    </row>
    <row r="1072" spans="1:18" x14ac:dyDescent="0.25">
      <c r="A1072" t="s">
        <v>1348</v>
      </c>
      <c r="B1072" t="s">
        <v>146</v>
      </c>
      <c r="C1072" t="s">
        <v>147</v>
      </c>
      <c r="D1072" t="s">
        <v>148</v>
      </c>
      <c r="E1072" t="s">
        <v>149</v>
      </c>
      <c r="F1072">
        <f>ventas_libreria[[#This Row],[precio_eur]]/100</f>
        <v>1.67</v>
      </c>
      <c r="G1072">
        <v>167</v>
      </c>
      <c r="H1072">
        <v>1</v>
      </c>
      <c r="I1072">
        <f>ventas_libreria[[#This Row],[precio]]*ventas_libreria[[#This Row],[cantidad]]</f>
        <v>1.67</v>
      </c>
      <c r="J1072">
        <v>16</v>
      </c>
      <c r="K1072" t="s">
        <v>20</v>
      </c>
      <c r="L1072" s="1">
        <v>45628</v>
      </c>
      <c r="M1072" t="s">
        <v>21</v>
      </c>
      <c r="N1072" t="s">
        <v>22</v>
      </c>
      <c r="O1072" t="s">
        <v>67</v>
      </c>
      <c r="P1072" t="s">
        <v>24</v>
      </c>
      <c r="Q1072">
        <v>5</v>
      </c>
      <c r="R1072">
        <f>IF(ventas_libreria[[#This Row],[valoracion_cliente]]="","Sin valoración",ventas_libreria[[#This Row],[valoracion_cliente]])</f>
        <v>5</v>
      </c>
    </row>
    <row r="1073" spans="1:18" x14ac:dyDescent="0.25">
      <c r="A1073" t="s">
        <v>1349</v>
      </c>
      <c r="B1073" t="s">
        <v>193</v>
      </c>
      <c r="C1073" t="s">
        <v>194</v>
      </c>
      <c r="D1073" t="s">
        <v>195</v>
      </c>
      <c r="E1073" t="s">
        <v>48</v>
      </c>
      <c r="F1073">
        <f>ventas_libreria[[#This Row],[precio_eur]]/100</f>
        <v>1.99</v>
      </c>
      <c r="G1073">
        <v>199</v>
      </c>
      <c r="H1073">
        <v>1</v>
      </c>
      <c r="I1073">
        <f>ventas_libreria[[#This Row],[precio]]*ventas_libreria[[#This Row],[cantidad]]</f>
        <v>1.99</v>
      </c>
      <c r="J1073">
        <v>50</v>
      </c>
      <c r="K1073" t="s">
        <v>20</v>
      </c>
      <c r="L1073" s="1">
        <v>45501</v>
      </c>
      <c r="M1073" t="s">
        <v>21</v>
      </c>
      <c r="N1073" t="s">
        <v>22</v>
      </c>
      <c r="O1073" t="s">
        <v>132</v>
      </c>
      <c r="P1073" t="s">
        <v>56</v>
      </c>
      <c r="Q1073">
        <v>3</v>
      </c>
      <c r="R1073">
        <f>IF(ventas_libreria[[#This Row],[valoracion_cliente]]="","Sin valoración",ventas_libreria[[#This Row],[valoracion_cliente]])</f>
        <v>3</v>
      </c>
    </row>
    <row r="1074" spans="1:18" x14ac:dyDescent="0.25">
      <c r="A1074" t="s">
        <v>1350</v>
      </c>
      <c r="B1074" t="s">
        <v>268</v>
      </c>
      <c r="C1074" t="s">
        <v>269</v>
      </c>
      <c r="D1074" t="s">
        <v>270</v>
      </c>
      <c r="E1074" t="s">
        <v>83</v>
      </c>
      <c r="F1074">
        <f>ventas_libreria[[#This Row],[precio_eur]]/100</f>
        <v>11.99</v>
      </c>
      <c r="G1074">
        <v>1199</v>
      </c>
      <c r="H1074">
        <v>1</v>
      </c>
      <c r="I1074">
        <f>ventas_libreria[[#This Row],[precio]]*ventas_libreria[[#This Row],[cantidad]]</f>
        <v>11.99</v>
      </c>
      <c r="J1074">
        <v>48</v>
      </c>
      <c r="K1074" t="s">
        <v>30</v>
      </c>
      <c r="L1074" s="1">
        <v>45237</v>
      </c>
      <c r="M1074" t="s">
        <v>21</v>
      </c>
      <c r="N1074" t="s">
        <v>32</v>
      </c>
      <c r="O1074" t="s">
        <v>33</v>
      </c>
      <c r="P1074" t="s">
        <v>84</v>
      </c>
      <c r="Q1074">
        <v>4</v>
      </c>
      <c r="R1074">
        <f>IF(ventas_libreria[[#This Row],[valoracion_cliente]]="","Sin valoración",ventas_libreria[[#This Row],[valoracion_cliente]])</f>
        <v>4</v>
      </c>
    </row>
    <row r="1075" spans="1:18" x14ac:dyDescent="0.25">
      <c r="A1075" t="s">
        <v>1351</v>
      </c>
      <c r="B1075" t="s">
        <v>201</v>
      </c>
      <c r="C1075" t="s">
        <v>202</v>
      </c>
      <c r="D1075" t="s">
        <v>47</v>
      </c>
      <c r="E1075" t="s">
        <v>107</v>
      </c>
      <c r="F1075">
        <f>ventas_libreria[[#This Row],[precio_eur]]/100</f>
        <v>1.39</v>
      </c>
      <c r="G1075">
        <v>139</v>
      </c>
      <c r="H1075">
        <v>1</v>
      </c>
      <c r="I1075">
        <f>ventas_libreria[[#This Row],[precio]]*ventas_libreria[[#This Row],[cantidad]]</f>
        <v>1.39</v>
      </c>
      <c r="J1075">
        <v>11</v>
      </c>
      <c r="K1075" t="s">
        <v>30</v>
      </c>
      <c r="L1075" s="1">
        <v>45392</v>
      </c>
      <c r="M1075" t="s">
        <v>21</v>
      </c>
      <c r="N1075" t="s">
        <v>22</v>
      </c>
      <c r="O1075" t="s">
        <v>98</v>
      </c>
      <c r="P1075" t="s">
        <v>24</v>
      </c>
      <c r="Q1075">
        <v>5</v>
      </c>
      <c r="R1075">
        <f>IF(ventas_libreria[[#This Row],[valoracion_cliente]]="","Sin valoración",ventas_libreria[[#This Row],[valoracion_cliente]])</f>
        <v>5</v>
      </c>
    </row>
    <row r="1076" spans="1:18" x14ac:dyDescent="0.25">
      <c r="A1076" t="s">
        <v>1352</v>
      </c>
      <c r="B1076" t="s">
        <v>530</v>
      </c>
      <c r="C1076" t="s">
        <v>531</v>
      </c>
      <c r="D1076" t="s">
        <v>195</v>
      </c>
      <c r="E1076" t="s">
        <v>48</v>
      </c>
      <c r="F1076">
        <f>ventas_libreria[[#This Row],[precio_eur]]/100</f>
        <v>17.91</v>
      </c>
      <c r="G1076">
        <v>1791</v>
      </c>
      <c r="H1076">
        <v>4</v>
      </c>
      <c r="I1076">
        <f>ventas_libreria[[#This Row],[precio]]*ventas_libreria[[#This Row],[cantidad]]</f>
        <v>71.64</v>
      </c>
      <c r="J1076">
        <v>62</v>
      </c>
      <c r="K1076" t="s">
        <v>38</v>
      </c>
      <c r="L1076" s="1">
        <v>45858</v>
      </c>
      <c r="M1076" t="s">
        <v>31</v>
      </c>
      <c r="N1076" t="s">
        <v>32</v>
      </c>
      <c r="O1076" t="s">
        <v>33</v>
      </c>
      <c r="P1076" t="s">
        <v>84</v>
      </c>
      <c r="Q1076">
        <v>2</v>
      </c>
      <c r="R1076">
        <f>IF(ventas_libreria[[#This Row],[valoracion_cliente]]="","Sin valoración",ventas_libreria[[#This Row],[valoracion_cliente]])</f>
        <v>2</v>
      </c>
    </row>
    <row r="1077" spans="1:18" x14ac:dyDescent="0.25">
      <c r="A1077" t="s">
        <v>1353</v>
      </c>
      <c r="B1077" t="s">
        <v>224</v>
      </c>
      <c r="C1077" t="s">
        <v>225</v>
      </c>
      <c r="D1077" t="s">
        <v>226</v>
      </c>
      <c r="E1077" t="s">
        <v>116</v>
      </c>
      <c r="F1077">
        <f>ventas_libreria[[#This Row],[precio_eur]]/100</f>
        <v>19.920000000000002</v>
      </c>
      <c r="G1077">
        <v>1992</v>
      </c>
      <c r="H1077">
        <v>1</v>
      </c>
      <c r="I1077">
        <f>ventas_libreria[[#This Row],[precio]]*ventas_libreria[[#This Row],[cantidad]]</f>
        <v>19.920000000000002</v>
      </c>
      <c r="J1077">
        <v>45</v>
      </c>
      <c r="K1077" t="s">
        <v>20</v>
      </c>
      <c r="L1077" s="1">
        <v>45042</v>
      </c>
      <c r="M1077" t="s">
        <v>31</v>
      </c>
      <c r="N1077" t="s">
        <v>32</v>
      </c>
      <c r="O1077" t="s">
        <v>33</v>
      </c>
      <c r="P1077" t="s">
        <v>34</v>
      </c>
      <c r="Q1077">
        <v>4</v>
      </c>
      <c r="R1077">
        <f>IF(ventas_libreria[[#This Row],[valoracion_cliente]]="","Sin valoración",ventas_libreria[[#This Row],[valoracion_cliente]])</f>
        <v>4</v>
      </c>
    </row>
    <row r="1078" spans="1:18" x14ac:dyDescent="0.25">
      <c r="A1078" t="s">
        <v>1354</v>
      </c>
      <c r="B1078" t="s">
        <v>100</v>
      </c>
      <c r="C1078" t="s">
        <v>101</v>
      </c>
      <c r="D1078" t="s">
        <v>102</v>
      </c>
      <c r="E1078" t="s">
        <v>61</v>
      </c>
      <c r="F1078">
        <f>ventas_libreria[[#This Row],[precio_eur]]/100</f>
        <v>9.52</v>
      </c>
      <c r="G1078">
        <v>952</v>
      </c>
      <c r="H1078">
        <v>1</v>
      </c>
      <c r="I1078">
        <f>ventas_libreria[[#This Row],[precio]]*ventas_libreria[[#This Row],[cantidad]]</f>
        <v>9.52</v>
      </c>
      <c r="J1078">
        <v>37</v>
      </c>
      <c r="K1078" t="s">
        <v>20</v>
      </c>
      <c r="L1078" s="1">
        <v>45449</v>
      </c>
      <c r="M1078" t="s">
        <v>31</v>
      </c>
      <c r="N1078" t="s">
        <v>22</v>
      </c>
      <c r="O1078" t="s">
        <v>98</v>
      </c>
      <c r="P1078" t="s">
        <v>50</v>
      </c>
      <c r="Q1078">
        <v>5</v>
      </c>
      <c r="R1078">
        <f>IF(ventas_libreria[[#This Row],[valoracion_cliente]]="","Sin valoración",ventas_libreria[[#This Row],[valoracion_cliente]])</f>
        <v>5</v>
      </c>
    </row>
    <row r="1079" spans="1:18" x14ac:dyDescent="0.25">
      <c r="A1079" t="s">
        <v>1355</v>
      </c>
      <c r="B1079" t="s">
        <v>353</v>
      </c>
      <c r="C1079" t="s">
        <v>354</v>
      </c>
      <c r="D1079" t="s">
        <v>226</v>
      </c>
      <c r="E1079" t="s">
        <v>116</v>
      </c>
      <c r="F1079">
        <f>ventas_libreria[[#This Row],[precio_eur]]/100</f>
        <v>1.69</v>
      </c>
      <c r="G1079">
        <v>169</v>
      </c>
      <c r="H1079">
        <v>1</v>
      </c>
      <c r="I1079">
        <f>ventas_libreria[[#This Row],[precio]]*ventas_libreria[[#This Row],[cantidad]]</f>
        <v>1.69</v>
      </c>
      <c r="J1079">
        <v>54</v>
      </c>
      <c r="K1079" t="s">
        <v>38</v>
      </c>
      <c r="L1079" s="1">
        <v>45326</v>
      </c>
      <c r="M1079" t="s">
        <v>21</v>
      </c>
      <c r="N1079" t="s">
        <v>22</v>
      </c>
      <c r="O1079" t="s">
        <v>23</v>
      </c>
      <c r="P1079" t="s">
        <v>34</v>
      </c>
      <c r="R1079" t="str">
        <f>IF(ventas_libreria[[#This Row],[valoracion_cliente]]="","Sin valoración",ventas_libreria[[#This Row],[valoracion_cliente]])</f>
        <v>Sin valoración</v>
      </c>
    </row>
    <row r="1080" spans="1:18" x14ac:dyDescent="0.25">
      <c r="A1080" t="s">
        <v>1356</v>
      </c>
      <c r="B1080" t="s">
        <v>375</v>
      </c>
      <c r="C1080" t="s">
        <v>376</v>
      </c>
      <c r="D1080" t="s">
        <v>377</v>
      </c>
      <c r="E1080" t="s">
        <v>29</v>
      </c>
      <c r="F1080">
        <f>ventas_libreria[[#This Row],[precio_eur]]/100</f>
        <v>13.52</v>
      </c>
      <c r="G1080">
        <v>1352</v>
      </c>
      <c r="H1080">
        <v>1</v>
      </c>
      <c r="I1080">
        <f>ventas_libreria[[#This Row],[precio]]*ventas_libreria[[#This Row],[cantidad]]</f>
        <v>13.52</v>
      </c>
      <c r="J1080">
        <v>52</v>
      </c>
      <c r="K1080" t="s">
        <v>30</v>
      </c>
      <c r="L1080" s="1">
        <v>45817</v>
      </c>
      <c r="M1080" t="s">
        <v>43</v>
      </c>
      <c r="N1080" t="s">
        <v>32</v>
      </c>
      <c r="O1080" t="s">
        <v>33</v>
      </c>
      <c r="P1080" t="s">
        <v>24</v>
      </c>
      <c r="Q1080">
        <v>5</v>
      </c>
      <c r="R1080">
        <f>IF(ventas_libreria[[#This Row],[valoracion_cliente]]="","Sin valoración",ventas_libreria[[#This Row],[valoracion_cliente]])</f>
        <v>5</v>
      </c>
    </row>
    <row r="1081" spans="1:18" x14ac:dyDescent="0.25">
      <c r="A1081" t="s">
        <v>1357</v>
      </c>
      <c r="B1081" t="s">
        <v>286</v>
      </c>
      <c r="C1081" t="s">
        <v>287</v>
      </c>
      <c r="D1081" t="s">
        <v>288</v>
      </c>
      <c r="E1081" t="s">
        <v>289</v>
      </c>
      <c r="F1081">
        <f>ventas_libreria[[#This Row],[precio_eur]]/100</f>
        <v>2.2999999999999998</v>
      </c>
      <c r="G1081">
        <v>230</v>
      </c>
      <c r="H1081">
        <v>2</v>
      </c>
      <c r="I1081">
        <f>ventas_libreria[[#This Row],[precio]]*ventas_libreria[[#This Row],[cantidad]]</f>
        <v>4.5999999999999996</v>
      </c>
      <c r="J1081">
        <v>62</v>
      </c>
      <c r="K1081" t="s">
        <v>30</v>
      </c>
      <c r="L1081" s="1">
        <v>45966</v>
      </c>
      <c r="M1081" t="s">
        <v>43</v>
      </c>
      <c r="N1081" t="s">
        <v>32</v>
      </c>
      <c r="O1081" t="s">
        <v>33</v>
      </c>
      <c r="P1081" t="s">
        <v>34</v>
      </c>
      <c r="Q1081">
        <v>4</v>
      </c>
      <c r="R1081">
        <f>IF(ventas_libreria[[#This Row],[valoracion_cliente]]="","Sin valoración",ventas_libreria[[#This Row],[valoracion_cliente]])</f>
        <v>4</v>
      </c>
    </row>
    <row r="1082" spans="1:18" x14ac:dyDescent="0.25">
      <c r="A1082" t="s">
        <v>1358</v>
      </c>
      <c r="B1082" t="s">
        <v>362</v>
      </c>
      <c r="C1082" t="s">
        <v>363</v>
      </c>
      <c r="D1082" t="s">
        <v>249</v>
      </c>
      <c r="E1082" t="s">
        <v>172</v>
      </c>
      <c r="F1082">
        <f>ventas_libreria[[#This Row],[precio_eur]]/100</f>
        <v>16.72</v>
      </c>
      <c r="G1082">
        <v>1672</v>
      </c>
      <c r="H1082">
        <v>1</v>
      </c>
      <c r="I1082">
        <f>ventas_libreria[[#This Row],[precio]]*ventas_libreria[[#This Row],[cantidad]]</f>
        <v>16.72</v>
      </c>
      <c r="J1082">
        <v>66</v>
      </c>
      <c r="K1082" t="s">
        <v>38</v>
      </c>
      <c r="L1082" s="1">
        <v>45040</v>
      </c>
      <c r="M1082" t="s">
        <v>43</v>
      </c>
      <c r="N1082" t="s">
        <v>32</v>
      </c>
      <c r="O1082" t="s">
        <v>33</v>
      </c>
      <c r="P1082" t="s">
        <v>84</v>
      </c>
      <c r="Q1082">
        <v>2</v>
      </c>
      <c r="R1082">
        <f>IF(ventas_libreria[[#This Row],[valoracion_cliente]]="","Sin valoración",ventas_libreria[[#This Row],[valoracion_cliente]])</f>
        <v>2</v>
      </c>
    </row>
    <row r="1083" spans="1:18" x14ac:dyDescent="0.25">
      <c r="A1083" t="s">
        <v>1359</v>
      </c>
      <c r="B1083" t="s">
        <v>69</v>
      </c>
      <c r="C1083" t="s">
        <v>70</v>
      </c>
      <c r="D1083" t="s">
        <v>71</v>
      </c>
      <c r="E1083" t="s">
        <v>72</v>
      </c>
      <c r="F1083">
        <f>ventas_libreria[[#This Row],[precio_eur]]/100</f>
        <v>17.75</v>
      </c>
      <c r="G1083">
        <v>1775</v>
      </c>
      <c r="H1083">
        <v>1</v>
      </c>
      <c r="I1083">
        <f>ventas_libreria[[#This Row],[precio]]*ventas_libreria[[#This Row],[cantidad]]</f>
        <v>17.75</v>
      </c>
      <c r="J1083">
        <v>25</v>
      </c>
      <c r="K1083" t="s">
        <v>62</v>
      </c>
      <c r="L1083" s="1">
        <v>45307</v>
      </c>
      <c r="M1083" t="s">
        <v>31</v>
      </c>
      <c r="N1083" t="s">
        <v>22</v>
      </c>
      <c r="O1083" t="s">
        <v>23</v>
      </c>
      <c r="P1083" t="s">
        <v>50</v>
      </c>
      <c r="Q1083">
        <v>4</v>
      </c>
      <c r="R1083">
        <f>IF(ventas_libreria[[#This Row],[valoracion_cliente]]="","Sin valoración",ventas_libreria[[#This Row],[valoracion_cliente]])</f>
        <v>4</v>
      </c>
    </row>
    <row r="1084" spans="1:18" x14ac:dyDescent="0.25">
      <c r="A1084" t="s">
        <v>1360</v>
      </c>
      <c r="B1084" t="s">
        <v>260</v>
      </c>
      <c r="C1084" t="s">
        <v>261</v>
      </c>
      <c r="D1084" t="s">
        <v>262</v>
      </c>
      <c r="E1084" t="s">
        <v>263</v>
      </c>
      <c r="F1084">
        <f>ventas_libreria[[#This Row],[precio_eur]]/100</f>
        <v>19.71</v>
      </c>
      <c r="G1084">
        <v>1971</v>
      </c>
      <c r="H1084">
        <v>1</v>
      </c>
      <c r="I1084">
        <f>ventas_libreria[[#This Row],[precio]]*ventas_libreria[[#This Row],[cantidad]]</f>
        <v>19.71</v>
      </c>
      <c r="J1084">
        <v>36</v>
      </c>
      <c r="K1084" t="s">
        <v>30</v>
      </c>
      <c r="L1084" s="1">
        <v>44976</v>
      </c>
      <c r="M1084" t="s">
        <v>43</v>
      </c>
      <c r="N1084" t="s">
        <v>32</v>
      </c>
      <c r="O1084" t="s">
        <v>33</v>
      </c>
      <c r="P1084" t="s">
        <v>34</v>
      </c>
      <c r="R1084" t="str">
        <f>IF(ventas_libreria[[#This Row],[valoracion_cliente]]="","Sin valoración",ventas_libreria[[#This Row],[valoracion_cliente]])</f>
        <v>Sin valoración</v>
      </c>
    </row>
    <row r="1085" spans="1:18" x14ac:dyDescent="0.25">
      <c r="A1085" t="s">
        <v>1361</v>
      </c>
      <c r="B1085" t="s">
        <v>265</v>
      </c>
      <c r="C1085" t="s">
        <v>266</v>
      </c>
      <c r="D1085" t="s">
        <v>162</v>
      </c>
      <c r="E1085" t="s">
        <v>29</v>
      </c>
      <c r="F1085">
        <f>ventas_libreria[[#This Row],[precio_eur]]/100</f>
        <v>14.36</v>
      </c>
      <c r="G1085">
        <v>1436</v>
      </c>
      <c r="H1085">
        <v>1</v>
      </c>
      <c r="I1085">
        <f>ventas_libreria[[#This Row],[precio]]*ventas_libreria[[#This Row],[cantidad]]</f>
        <v>14.36</v>
      </c>
      <c r="J1085">
        <v>54</v>
      </c>
      <c r="K1085" t="s">
        <v>38</v>
      </c>
      <c r="L1085" s="1">
        <v>45401</v>
      </c>
      <c r="M1085" t="s">
        <v>43</v>
      </c>
      <c r="N1085" t="s">
        <v>32</v>
      </c>
      <c r="O1085" t="s">
        <v>33</v>
      </c>
      <c r="P1085" t="s">
        <v>56</v>
      </c>
      <c r="Q1085">
        <v>5</v>
      </c>
      <c r="R1085">
        <f>IF(ventas_libreria[[#This Row],[valoracion_cliente]]="","Sin valoración",ventas_libreria[[#This Row],[valoracion_cliente]])</f>
        <v>5</v>
      </c>
    </row>
    <row r="1086" spans="1:18" x14ac:dyDescent="0.25">
      <c r="A1086" t="s">
        <v>1362</v>
      </c>
      <c r="B1086" t="s">
        <v>80</v>
      </c>
      <c r="C1086" t="s">
        <v>81</v>
      </c>
      <c r="D1086" t="s">
        <v>82</v>
      </c>
      <c r="E1086" t="s">
        <v>83</v>
      </c>
      <c r="F1086">
        <f>ventas_libreria[[#This Row],[precio_eur]]/100</f>
        <v>7.92</v>
      </c>
      <c r="G1086">
        <v>792</v>
      </c>
      <c r="H1086">
        <v>1</v>
      </c>
      <c r="I1086">
        <f>ventas_libreria[[#This Row],[precio]]*ventas_libreria[[#This Row],[cantidad]]</f>
        <v>7.92</v>
      </c>
      <c r="J1086">
        <v>16</v>
      </c>
      <c r="K1086" t="s">
        <v>38</v>
      </c>
      <c r="L1086" s="1">
        <v>45993</v>
      </c>
      <c r="M1086" t="s">
        <v>31</v>
      </c>
      <c r="N1086" t="s">
        <v>32</v>
      </c>
      <c r="O1086" t="s">
        <v>33</v>
      </c>
      <c r="P1086" t="s">
        <v>84</v>
      </c>
      <c r="Q1086">
        <v>5</v>
      </c>
      <c r="R1086">
        <f>IF(ventas_libreria[[#This Row],[valoracion_cliente]]="","Sin valoración",ventas_libreria[[#This Row],[valoracion_cliente]])</f>
        <v>5</v>
      </c>
    </row>
    <row r="1087" spans="1:18" x14ac:dyDescent="0.25">
      <c r="A1087" t="s">
        <v>1363</v>
      </c>
      <c r="B1087" t="s">
        <v>307</v>
      </c>
      <c r="C1087" t="s">
        <v>308</v>
      </c>
      <c r="D1087" t="s">
        <v>88</v>
      </c>
      <c r="E1087" t="s">
        <v>77</v>
      </c>
      <c r="F1087">
        <f>ventas_libreria[[#This Row],[precio_eur]]/100</f>
        <v>1.0900000000000001</v>
      </c>
      <c r="G1087">
        <v>109</v>
      </c>
      <c r="H1087">
        <v>2</v>
      </c>
      <c r="I1087">
        <f>ventas_libreria[[#This Row],[precio]]*ventas_libreria[[#This Row],[cantidad]]</f>
        <v>2.1800000000000002</v>
      </c>
      <c r="J1087">
        <v>12</v>
      </c>
      <c r="K1087" t="s">
        <v>38</v>
      </c>
      <c r="L1087" s="1">
        <v>45349</v>
      </c>
      <c r="M1087" t="s">
        <v>31</v>
      </c>
      <c r="N1087" t="s">
        <v>22</v>
      </c>
      <c r="O1087" t="s">
        <v>67</v>
      </c>
      <c r="P1087" t="s">
        <v>84</v>
      </c>
      <c r="Q1087">
        <v>5</v>
      </c>
      <c r="R1087">
        <f>IF(ventas_libreria[[#This Row],[valoracion_cliente]]="","Sin valoración",ventas_libreria[[#This Row],[valoracion_cliente]])</f>
        <v>5</v>
      </c>
    </row>
    <row r="1088" spans="1:18" x14ac:dyDescent="0.25">
      <c r="A1088" t="s">
        <v>1364</v>
      </c>
      <c r="B1088" t="s">
        <v>318</v>
      </c>
      <c r="C1088" t="s">
        <v>319</v>
      </c>
      <c r="D1088" t="s">
        <v>167</v>
      </c>
      <c r="E1088" t="s">
        <v>61</v>
      </c>
      <c r="F1088">
        <f>ventas_libreria[[#This Row],[precio_eur]]/100</f>
        <v>1.89</v>
      </c>
      <c r="G1088">
        <v>189</v>
      </c>
      <c r="H1088">
        <v>1</v>
      </c>
      <c r="I1088">
        <f>ventas_libreria[[#This Row],[precio]]*ventas_libreria[[#This Row],[cantidad]]</f>
        <v>1.89</v>
      </c>
      <c r="J1088">
        <v>32</v>
      </c>
      <c r="K1088" t="s">
        <v>38</v>
      </c>
      <c r="L1088" s="1">
        <v>45978</v>
      </c>
      <c r="M1088" t="s">
        <v>43</v>
      </c>
      <c r="N1088" t="s">
        <v>32</v>
      </c>
      <c r="O1088" t="s">
        <v>33</v>
      </c>
      <c r="P1088" t="s">
        <v>56</v>
      </c>
      <c r="Q1088">
        <v>5</v>
      </c>
      <c r="R1088">
        <f>IF(ventas_libreria[[#This Row],[valoracion_cliente]]="","Sin valoración",ventas_libreria[[#This Row],[valoracion_cliente]])</f>
        <v>5</v>
      </c>
    </row>
    <row r="1089" spans="1:18" x14ac:dyDescent="0.25">
      <c r="A1089" t="s">
        <v>1365</v>
      </c>
      <c r="B1089" t="s">
        <v>254</v>
      </c>
      <c r="C1089" t="s">
        <v>255</v>
      </c>
      <c r="D1089" t="s">
        <v>139</v>
      </c>
      <c r="E1089" t="s">
        <v>116</v>
      </c>
      <c r="F1089">
        <f>ventas_libreria[[#This Row],[precio_eur]]/100</f>
        <v>1.49</v>
      </c>
      <c r="G1089">
        <v>149</v>
      </c>
      <c r="H1089">
        <v>1</v>
      </c>
      <c r="I1089">
        <f>ventas_libreria[[#This Row],[precio]]*ventas_libreria[[#This Row],[cantidad]]</f>
        <v>1.49</v>
      </c>
      <c r="J1089">
        <v>22</v>
      </c>
      <c r="K1089" t="s">
        <v>30</v>
      </c>
      <c r="L1089" s="1">
        <v>45245</v>
      </c>
      <c r="M1089" t="s">
        <v>21</v>
      </c>
      <c r="N1089" t="s">
        <v>22</v>
      </c>
      <c r="O1089" t="s">
        <v>132</v>
      </c>
      <c r="P1089" t="s">
        <v>34</v>
      </c>
      <c r="Q1089">
        <v>5</v>
      </c>
      <c r="R1089">
        <f>IF(ventas_libreria[[#This Row],[valoracion_cliente]]="","Sin valoración",ventas_libreria[[#This Row],[valoracion_cliente]])</f>
        <v>5</v>
      </c>
    </row>
    <row r="1090" spans="1:18" x14ac:dyDescent="0.25">
      <c r="A1090" t="s">
        <v>1366</v>
      </c>
      <c r="B1090" t="s">
        <v>254</v>
      </c>
      <c r="C1090" t="s">
        <v>255</v>
      </c>
      <c r="D1090" t="s">
        <v>139</v>
      </c>
      <c r="E1090" t="s">
        <v>116</v>
      </c>
      <c r="F1090">
        <f>ventas_libreria[[#This Row],[precio_eur]]/100</f>
        <v>1.49</v>
      </c>
      <c r="G1090">
        <v>149</v>
      </c>
      <c r="H1090">
        <v>2</v>
      </c>
      <c r="I1090">
        <f>ventas_libreria[[#This Row],[precio]]*ventas_libreria[[#This Row],[cantidad]]</f>
        <v>2.98</v>
      </c>
      <c r="J1090">
        <v>24</v>
      </c>
      <c r="K1090" t="s">
        <v>38</v>
      </c>
      <c r="L1090" s="1">
        <v>45051</v>
      </c>
      <c r="M1090" t="s">
        <v>21</v>
      </c>
      <c r="N1090" t="s">
        <v>32</v>
      </c>
      <c r="O1090" t="s">
        <v>33</v>
      </c>
      <c r="P1090" t="s">
        <v>24</v>
      </c>
      <c r="Q1090">
        <v>4</v>
      </c>
      <c r="R1090">
        <f>IF(ventas_libreria[[#This Row],[valoracion_cliente]]="","Sin valoración",ventas_libreria[[#This Row],[valoracion_cliente]])</f>
        <v>4</v>
      </c>
    </row>
    <row r="1091" spans="1:18" x14ac:dyDescent="0.25">
      <c r="A1091" t="s">
        <v>1367</v>
      </c>
      <c r="B1091" t="s">
        <v>365</v>
      </c>
      <c r="C1091" t="s">
        <v>366</v>
      </c>
      <c r="D1091" t="s">
        <v>367</v>
      </c>
      <c r="E1091" t="s">
        <v>19</v>
      </c>
      <c r="F1091">
        <f>ventas_libreria[[#This Row],[precio_eur]]/100</f>
        <v>1.89</v>
      </c>
      <c r="G1091">
        <v>189</v>
      </c>
      <c r="H1091">
        <v>1</v>
      </c>
      <c r="I1091">
        <f>ventas_libreria[[#This Row],[precio]]*ventas_libreria[[#This Row],[cantidad]]</f>
        <v>1.89</v>
      </c>
      <c r="J1091">
        <v>41</v>
      </c>
      <c r="K1091" t="s">
        <v>38</v>
      </c>
      <c r="L1091" s="1">
        <v>45968</v>
      </c>
      <c r="M1091" t="s">
        <v>43</v>
      </c>
      <c r="N1091" t="s">
        <v>32</v>
      </c>
      <c r="O1091" t="s">
        <v>33</v>
      </c>
      <c r="P1091" t="s">
        <v>56</v>
      </c>
      <c r="Q1091">
        <v>5</v>
      </c>
      <c r="R1091">
        <f>IF(ventas_libreria[[#This Row],[valoracion_cliente]]="","Sin valoración",ventas_libreria[[#This Row],[valoracion_cliente]])</f>
        <v>5</v>
      </c>
    </row>
    <row r="1092" spans="1:18" x14ac:dyDescent="0.25">
      <c r="A1092" t="s">
        <v>1368</v>
      </c>
      <c r="B1092" t="s">
        <v>327</v>
      </c>
      <c r="C1092" t="s">
        <v>328</v>
      </c>
      <c r="D1092" t="s">
        <v>288</v>
      </c>
      <c r="E1092" t="s">
        <v>289</v>
      </c>
      <c r="F1092">
        <f>ventas_libreria[[#This Row],[precio_eur]]/100</f>
        <v>20.61</v>
      </c>
      <c r="G1092">
        <v>2061</v>
      </c>
      <c r="H1092">
        <v>1</v>
      </c>
      <c r="I1092">
        <f>ventas_libreria[[#This Row],[precio]]*ventas_libreria[[#This Row],[cantidad]]</f>
        <v>20.61</v>
      </c>
      <c r="J1092">
        <v>37</v>
      </c>
      <c r="K1092" t="s">
        <v>62</v>
      </c>
      <c r="L1092" s="1">
        <v>45652</v>
      </c>
      <c r="M1092" t="s">
        <v>21</v>
      </c>
      <c r="N1092" t="s">
        <v>22</v>
      </c>
      <c r="O1092" t="s">
        <v>98</v>
      </c>
      <c r="P1092" t="s">
        <v>50</v>
      </c>
      <c r="Q1092">
        <v>5</v>
      </c>
      <c r="R1092">
        <f>IF(ventas_libreria[[#This Row],[valoracion_cliente]]="","Sin valoración",ventas_libreria[[#This Row],[valoracion_cliente]])</f>
        <v>5</v>
      </c>
    </row>
    <row r="1093" spans="1:18" x14ac:dyDescent="0.25">
      <c r="A1093" t="s">
        <v>1369</v>
      </c>
      <c r="B1093" t="s">
        <v>301</v>
      </c>
      <c r="C1093" t="s">
        <v>302</v>
      </c>
      <c r="D1093" t="s">
        <v>245</v>
      </c>
      <c r="E1093" t="s">
        <v>48</v>
      </c>
      <c r="F1093">
        <f>ventas_libreria[[#This Row],[precio_eur]]/100</f>
        <v>22.41</v>
      </c>
      <c r="G1093">
        <v>2241</v>
      </c>
      <c r="H1093">
        <v>2</v>
      </c>
      <c r="I1093">
        <f>ventas_libreria[[#This Row],[precio]]*ventas_libreria[[#This Row],[cantidad]]</f>
        <v>44.82</v>
      </c>
      <c r="J1093">
        <v>42</v>
      </c>
      <c r="K1093" t="s">
        <v>30</v>
      </c>
      <c r="L1093" s="1">
        <v>45950</v>
      </c>
      <c r="M1093" t="s">
        <v>43</v>
      </c>
      <c r="N1093" t="s">
        <v>32</v>
      </c>
      <c r="O1093" t="s">
        <v>33</v>
      </c>
      <c r="P1093" t="s">
        <v>84</v>
      </c>
      <c r="R1093" t="str">
        <f>IF(ventas_libreria[[#This Row],[valoracion_cliente]]="","Sin valoración",ventas_libreria[[#This Row],[valoracion_cliente]])</f>
        <v>Sin valoración</v>
      </c>
    </row>
    <row r="1094" spans="1:18" x14ac:dyDescent="0.25">
      <c r="A1094" t="s">
        <v>1370</v>
      </c>
      <c r="B1094" t="s">
        <v>365</v>
      </c>
      <c r="C1094" t="s">
        <v>366</v>
      </c>
      <c r="D1094" t="s">
        <v>367</v>
      </c>
      <c r="E1094" t="s">
        <v>19</v>
      </c>
      <c r="F1094">
        <f>ventas_libreria[[#This Row],[precio_eur]]/100</f>
        <v>19.84</v>
      </c>
      <c r="G1094">
        <v>1984</v>
      </c>
      <c r="H1094">
        <v>1</v>
      </c>
      <c r="I1094">
        <f>ventas_libreria[[#This Row],[precio]]*ventas_libreria[[#This Row],[cantidad]]</f>
        <v>19.84</v>
      </c>
      <c r="J1094">
        <v>38</v>
      </c>
      <c r="K1094" t="s">
        <v>20</v>
      </c>
      <c r="L1094" s="1">
        <v>45750</v>
      </c>
      <c r="M1094" t="s">
        <v>43</v>
      </c>
      <c r="N1094" t="s">
        <v>32</v>
      </c>
      <c r="O1094" t="s">
        <v>33</v>
      </c>
      <c r="P1094" t="s">
        <v>34</v>
      </c>
      <c r="Q1094">
        <v>5</v>
      </c>
      <c r="R1094">
        <f>IF(ventas_libreria[[#This Row],[valoracion_cliente]]="","Sin valoración",ventas_libreria[[#This Row],[valoracion_cliente]])</f>
        <v>5</v>
      </c>
    </row>
    <row r="1095" spans="1:18" x14ac:dyDescent="0.25">
      <c r="A1095" t="s">
        <v>1371</v>
      </c>
      <c r="B1095" t="s">
        <v>109</v>
      </c>
      <c r="C1095" t="s">
        <v>110</v>
      </c>
      <c r="D1095" t="s">
        <v>111</v>
      </c>
      <c r="E1095" t="s">
        <v>55</v>
      </c>
      <c r="F1095">
        <f>ventas_libreria[[#This Row],[precio_eur]]/100</f>
        <v>15.92</v>
      </c>
      <c r="G1095">
        <v>1592</v>
      </c>
      <c r="H1095">
        <v>1</v>
      </c>
      <c r="I1095">
        <f>ventas_libreria[[#This Row],[precio]]*ventas_libreria[[#This Row],[cantidad]]</f>
        <v>15.92</v>
      </c>
      <c r="J1095">
        <v>75</v>
      </c>
      <c r="K1095" t="s">
        <v>20</v>
      </c>
      <c r="L1095" s="1">
        <v>45076</v>
      </c>
      <c r="M1095" t="s">
        <v>43</v>
      </c>
      <c r="N1095" t="s">
        <v>32</v>
      </c>
      <c r="O1095" t="s">
        <v>33</v>
      </c>
      <c r="P1095" t="s">
        <v>84</v>
      </c>
      <c r="R1095" t="str">
        <f>IF(ventas_libreria[[#This Row],[valoracion_cliente]]="","Sin valoración",ventas_libreria[[#This Row],[valoracion_cliente]])</f>
        <v>Sin valoración</v>
      </c>
    </row>
    <row r="1096" spans="1:18" x14ac:dyDescent="0.25">
      <c r="A1096" t="s">
        <v>1372</v>
      </c>
      <c r="B1096" t="s">
        <v>243</v>
      </c>
      <c r="C1096" t="s">
        <v>244</v>
      </c>
      <c r="D1096" t="s">
        <v>245</v>
      </c>
      <c r="E1096" t="s">
        <v>48</v>
      </c>
      <c r="F1096">
        <f>ventas_libreria[[#This Row],[precio_eur]]/100</f>
        <v>2.19</v>
      </c>
      <c r="G1096">
        <v>219</v>
      </c>
      <c r="H1096">
        <v>1</v>
      </c>
      <c r="I1096">
        <f>ventas_libreria[[#This Row],[precio]]*ventas_libreria[[#This Row],[cantidad]]</f>
        <v>2.19</v>
      </c>
      <c r="J1096">
        <v>28</v>
      </c>
      <c r="K1096" t="s">
        <v>38</v>
      </c>
      <c r="L1096" s="1">
        <v>45555</v>
      </c>
      <c r="M1096" t="s">
        <v>43</v>
      </c>
      <c r="N1096" t="s">
        <v>32</v>
      </c>
      <c r="O1096" t="s">
        <v>33</v>
      </c>
      <c r="P1096" t="s">
        <v>84</v>
      </c>
      <c r="Q1096">
        <v>5</v>
      </c>
      <c r="R1096">
        <f>IF(ventas_libreria[[#This Row],[valoracion_cliente]]="","Sin valoración",ventas_libreria[[#This Row],[valoracion_cliente]])</f>
        <v>5</v>
      </c>
    </row>
    <row r="1097" spans="1:18" x14ac:dyDescent="0.25">
      <c r="A1097" t="s">
        <v>1373</v>
      </c>
      <c r="B1097" t="s">
        <v>86</v>
      </c>
      <c r="C1097" t="s">
        <v>87</v>
      </c>
      <c r="D1097" t="s">
        <v>88</v>
      </c>
      <c r="E1097" t="s">
        <v>77</v>
      </c>
      <c r="F1097">
        <f>ventas_libreria[[#This Row],[precio_eur]]/100</f>
        <v>1.19</v>
      </c>
      <c r="G1097">
        <v>119</v>
      </c>
      <c r="H1097">
        <v>1</v>
      </c>
      <c r="I1097">
        <f>ventas_libreria[[#This Row],[precio]]*ventas_libreria[[#This Row],[cantidad]]</f>
        <v>1.19</v>
      </c>
      <c r="J1097">
        <v>9</v>
      </c>
      <c r="K1097" t="s">
        <v>62</v>
      </c>
      <c r="L1097" s="1">
        <v>45456</v>
      </c>
      <c r="M1097" t="s">
        <v>43</v>
      </c>
      <c r="N1097" t="s">
        <v>32</v>
      </c>
      <c r="O1097" t="s">
        <v>33</v>
      </c>
      <c r="P1097" t="s">
        <v>50</v>
      </c>
      <c r="Q1097">
        <v>5</v>
      </c>
      <c r="R1097">
        <f>IF(ventas_libreria[[#This Row],[valoracion_cliente]]="","Sin valoración",ventas_libreria[[#This Row],[valoracion_cliente]])</f>
        <v>5</v>
      </c>
    </row>
    <row r="1098" spans="1:18" x14ac:dyDescent="0.25">
      <c r="A1098" t="s">
        <v>1374</v>
      </c>
      <c r="B1098" t="s">
        <v>141</v>
      </c>
      <c r="C1098" t="s">
        <v>142</v>
      </c>
      <c r="D1098" t="s">
        <v>143</v>
      </c>
      <c r="E1098" t="s">
        <v>116</v>
      </c>
      <c r="F1098">
        <f>ventas_libreria[[#This Row],[precio_eur]]/100</f>
        <v>11.92</v>
      </c>
      <c r="G1098">
        <v>1192</v>
      </c>
      <c r="H1098">
        <v>1</v>
      </c>
      <c r="I1098">
        <f>ventas_libreria[[#This Row],[precio]]*ventas_libreria[[#This Row],[cantidad]]</f>
        <v>11.92</v>
      </c>
      <c r="J1098">
        <v>47</v>
      </c>
      <c r="K1098" t="s">
        <v>20</v>
      </c>
      <c r="L1098" s="1">
        <v>45809</v>
      </c>
      <c r="M1098" t="s">
        <v>43</v>
      </c>
      <c r="N1098" t="s">
        <v>32</v>
      </c>
      <c r="O1098" t="s">
        <v>33</v>
      </c>
      <c r="P1098" t="s">
        <v>24</v>
      </c>
      <c r="Q1098">
        <v>5</v>
      </c>
      <c r="R1098">
        <f>IF(ventas_libreria[[#This Row],[valoracion_cliente]]="","Sin valoración",ventas_libreria[[#This Row],[valoracion_cliente]])</f>
        <v>5</v>
      </c>
    </row>
    <row r="1099" spans="1:18" x14ac:dyDescent="0.25">
      <c r="A1099" t="s">
        <v>1375</v>
      </c>
      <c r="B1099" t="s">
        <v>286</v>
      </c>
      <c r="C1099" t="s">
        <v>287</v>
      </c>
      <c r="D1099" t="s">
        <v>288</v>
      </c>
      <c r="E1099" t="s">
        <v>289</v>
      </c>
      <c r="F1099">
        <f>ventas_libreria[[#This Row],[precio_eur]]/100</f>
        <v>2.2999999999999998</v>
      </c>
      <c r="G1099">
        <v>230</v>
      </c>
      <c r="H1099">
        <v>2</v>
      </c>
      <c r="I1099">
        <f>ventas_libreria[[#This Row],[precio]]*ventas_libreria[[#This Row],[cantidad]]</f>
        <v>4.5999999999999996</v>
      </c>
      <c r="J1099">
        <v>18</v>
      </c>
      <c r="K1099" t="s">
        <v>62</v>
      </c>
      <c r="L1099" s="1">
        <v>45844</v>
      </c>
      <c r="M1099" t="s">
        <v>21</v>
      </c>
      <c r="N1099" t="s">
        <v>32</v>
      </c>
      <c r="O1099" t="s">
        <v>33</v>
      </c>
      <c r="P1099" t="s">
        <v>34</v>
      </c>
      <c r="R1099" t="str">
        <f>IF(ventas_libreria[[#This Row],[valoracion_cliente]]="","Sin valoración",ventas_libreria[[#This Row],[valoracion_cliente]])</f>
        <v>Sin valoración</v>
      </c>
    </row>
    <row r="1100" spans="1:18" x14ac:dyDescent="0.25">
      <c r="A1100" t="s">
        <v>1376</v>
      </c>
      <c r="B1100" t="s">
        <v>265</v>
      </c>
      <c r="C1100" t="s">
        <v>266</v>
      </c>
      <c r="D1100" t="s">
        <v>162</v>
      </c>
      <c r="E1100" t="s">
        <v>29</v>
      </c>
      <c r="F1100">
        <f>ventas_libreria[[#This Row],[precio_eur]]/100</f>
        <v>17.75</v>
      </c>
      <c r="G1100">
        <v>1775</v>
      </c>
      <c r="H1100">
        <v>1</v>
      </c>
      <c r="I1100">
        <f>ventas_libreria[[#This Row],[precio]]*ventas_libreria[[#This Row],[cantidad]]</f>
        <v>17.75</v>
      </c>
      <c r="J1100">
        <v>42</v>
      </c>
      <c r="K1100" t="s">
        <v>30</v>
      </c>
      <c r="L1100" s="1">
        <v>45034</v>
      </c>
      <c r="M1100" t="s">
        <v>43</v>
      </c>
      <c r="N1100" t="s">
        <v>32</v>
      </c>
      <c r="O1100" t="s">
        <v>33</v>
      </c>
      <c r="P1100" t="s">
        <v>24</v>
      </c>
      <c r="Q1100">
        <v>5</v>
      </c>
      <c r="R1100">
        <f>IF(ventas_libreria[[#This Row],[valoracion_cliente]]="","Sin valoración",ventas_libreria[[#This Row],[valoracion_cliente]])</f>
        <v>5</v>
      </c>
    </row>
    <row r="1101" spans="1:18" x14ac:dyDescent="0.25">
      <c r="A1101" t="s">
        <v>1377</v>
      </c>
      <c r="B1101" t="s">
        <v>273</v>
      </c>
      <c r="C1101" t="s">
        <v>274</v>
      </c>
      <c r="D1101" t="s">
        <v>262</v>
      </c>
      <c r="E1101" t="s">
        <v>263</v>
      </c>
      <c r="F1101">
        <f>ventas_libreria[[#This Row],[precio_eur]]/100</f>
        <v>17.52</v>
      </c>
      <c r="G1101">
        <v>1752</v>
      </c>
      <c r="H1101">
        <v>1</v>
      </c>
      <c r="I1101">
        <f>ventas_libreria[[#This Row],[precio]]*ventas_libreria[[#This Row],[cantidad]]</f>
        <v>17.52</v>
      </c>
      <c r="J1101">
        <v>44</v>
      </c>
      <c r="K1101" t="s">
        <v>30</v>
      </c>
      <c r="L1101" s="1">
        <v>45798</v>
      </c>
      <c r="M1101" t="s">
        <v>31</v>
      </c>
      <c r="N1101" t="s">
        <v>22</v>
      </c>
      <c r="O1101" t="s">
        <v>23</v>
      </c>
      <c r="P1101" t="s">
        <v>50</v>
      </c>
      <c r="Q1101">
        <v>4</v>
      </c>
      <c r="R1101">
        <f>IF(ventas_libreria[[#This Row],[valoracion_cliente]]="","Sin valoración",ventas_libreria[[#This Row],[valoracion_cliente]])</f>
        <v>4</v>
      </c>
    </row>
    <row r="1102" spans="1:18" x14ac:dyDescent="0.25">
      <c r="A1102" t="s">
        <v>1378</v>
      </c>
      <c r="B1102" t="s">
        <v>348</v>
      </c>
      <c r="C1102" t="s">
        <v>349</v>
      </c>
      <c r="D1102" t="s">
        <v>350</v>
      </c>
      <c r="E1102" t="s">
        <v>116</v>
      </c>
      <c r="F1102">
        <f>ventas_libreria[[#This Row],[precio_eur]]/100</f>
        <v>1.99</v>
      </c>
      <c r="G1102">
        <v>199</v>
      </c>
      <c r="H1102">
        <v>3</v>
      </c>
      <c r="I1102">
        <f>ventas_libreria[[#This Row],[precio]]*ventas_libreria[[#This Row],[cantidad]]</f>
        <v>5.97</v>
      </c>
      <c r="J1102">
        <v>56</v>
      </c>
      <c r="K1102" t="s">
        <v>20</v>
      </c>
      <c r="L1102" s="1">
        <v>45949</v>
      </c>
      <c r="M1102" t="s">
        <v>21</v>
      </c>
      <c r="N1102" t="s">
        <v>22</v>
      </c>
      <c r="O1102" t="s">
        <v>132</v>
      </c>
      <c r="P1102" t="s">
        <v>34</v>
      </c>
      <c r="Q1102">
        <v>5</v>
      </c>
      <c r="R1102">
        <f>IF(ventas_libreria[[#This Row],[valoracion_cliente]]="","Sin valoración",ventas_libreria[[#This Row],[valoracion_cliente]])</f>
        <v>5</v>
      </c>
    </row>
    <row r="1103" spans="1:18" x14ac:dyDescent="0.25">
      <c r="A1103" t="s">
        <v>1379</v>
      </c>
      <c r="B1103" t="s">
        <v>215</v>
      </c>
      <c r="C1103" t="s">
        <v>216</v>
      </c>
      <c r="D1103" t="s">
        <v>217</v>
      </c>
      <c r="E1103" t="s">
        <v>55</v>
      </c>
      <c r="F1103">
        <f>ventas_libreria[[#This Row],[precio_eur]]/100</f>
        <v>16.649999999999999</v>
      </c>
      <c r="G1103">
        <v>1665</v>
      </c>
      <c r="H1103">
        <v>2</v>
      </c>
      <c r="I1103">
        <f>ventas_libreria[[#This Row],[precio]]*ventas_libreria[[#This Row],[cantidad]]</f>
        <v>33.299999999999997</v>
      </c>
      <c r="J1103">
        <v>42</v>
      </c>
      <c r="K1103" t="s">
        <v>62</v>
      </c>
      <c r="L1103" s="1">
        <v>45654</v>
      </c>
      <c r="M1103" t="s">
        <v>43</v>
      </c>
      <c r="N1103" t="s">
        <v>32</v>
      </c>
      <c r="O1103" t="s">
        <v>33</v>
      </c>
      <c r="P1103" t="s">
        <v>84</v>
      </c>
      <c r="R1103" t="str">
        <f>IF(ventas_libreria[[#This Row],[valoracion_cliente]]="","Sin valoración",ventas_libreria[[#This Row],[valoracion_cliente]])</f>
        <v>Sin valoración</v>
      </c>
    </row>
    <row r="1104" spans="1:18" x14ac:dyDescent="0.25">
      <c r="A1104" t="s">
        <v>1380</v>
      </c>
      <c r="B1104" t="s">
        <v>74</v>
      </c>
      <c r="C1104" t="s">
        <v>75</v>
      </c>
      <c r="D1104" t="s">
        <v>76</v>
      </c>
      <c r="E1104" t="s">
        <v>77</v>
      </c>
      <c r="F1104">
        <f>ventas_libreria[[#This Row],[precio_eur]]/100</f>
        <v>12.72</v>
      </c>
      <c r="G1104">
        <v>1272</v>
      </c>
      <c r="H1104">
        <v>1</v>
      </c>
      <c r="I1104">
        <f>ventas_libreria[[#This Row],[precio]]*ventas_libreria[[#This Row],[cantidad]]</f>
        <v>12.72</v>
      </c>
      <c r="J1104">
        <v>12</v>
      </c>
      <c r="K1104" t="s">
        <v>62</v>
      </c>
      <c r="L1104" s="1">
        <v>45269</v>
      </c>
      <c r="M1104" t="s">
        <v>21</v>
      </c>
      <c r="N1104" t="s">
        <v>32</v>
      </c>
      <c r="O1104" t="s">
        <v>33</v>
      </c>
      <c r="P1104" t="s">
        <v>56</v>
      </c>
      <c r="R1104" t="str">
        <f>IF(ventas_libreria[[#This Row],[valoracion_cliente]]="","Sin valoración",ventas_libreria[[#This Row],[valoracion_cliente]])</f>
        <v>Sin valoración</v>
      </c>
    </row>
    <row r="1105" spans="1:18" x14ac:dyDescent="0.25">
      <c r="A1105" t="s">
        <v>1381</v>
      </c>
      <c r="B1105" t="s">
        <v>26</v>
      </c>
      <c r="C1105" t="s">
        <v>27</v>
      </c>
      <c r="D1105" t="s">
        <v>28</v>
      </c>
      <c r="E1105" t="s">
        <v>29</v>
      </c>
      <c r="F1105">
        <f>ventas_libreria[[#This Row],[precio_eur]]/100</f>
        <v>20.79</v>
      </c>
      <c r="G1105">
        <v>2079</v>
      </c>
      <c r="H1105">
        <v>1</v>
      </c>
      <c r="I1105">
        <f>ventas_libreria[[#This Row],[precio]]*ventas_libreria[[#This Row],[cantidad]]</f>
        <v>20.79</v>
      </c>
      <c r="J1105">
        <v>18</v>
      </c>
      <c r="K1105" t="s">
        <v>38</v>
      </c>
      <c r="L1105" s="1">
        <v>45878</v>
      </c>
      <c r="M1105" t="s">
        <v>43</v>
      </c>
      <c r="N1105" t="s">
        <v>32</v>
      </c>
      <c r="O1105" t="s">
        <v>33</v>
      </c>
      <c r="P1105" t="s">
        <v>56</v>
      </c>
      <c r="R1105" t="str">
        <f>IF(ventas_libreria[[#This Row],[valoracion_cliente]]="","Sin valoración",ventas_libreria[[#This Row],[valoracion_cliente]])</f>
        <v>Sin valoración</v>
      </c>
    </row>
    <row r="1106" spans="1:18" x14ac:dyDescent="0.25">
      <c r="A1106" t="s">
        <v>1382</v>
      </c>
      <c r="B1106" t="s">
        <v>273</v>
      </c>
      <c r="C1106" t="s">
        <v>274</v>
      </c>
      <c r="D1106" t="s">
        <v>262</v>
      </c>
      <c r="E1106" t="s">
        <v>263</v>
      </c>
      <c r="F1106">
        <f>ventas_libreria[[#This Row],[precio_eur]]/100</f>
        <v>2.19</v>
      </c>
      <c r="G1106">
        <v>219</v>
      </c>
      <c r="H1106">
        <v>1</v>
      </c>
      <c r="I1106">
        <f>ventas_libreria[[#This Row],[precio]]*ventas_libreria[[#This Row],[cantidad]]</f>
        <v>2.19</v>
      </c>
      <c r="J1106">
        <v>17</v>
      </c>
      <c r="K1106" t="s">
        <v>62</v>
      </c>
      <c r="L1106" s="1">
        <v>45091</v>
      </c>
      <c r="M1106" t="s">
        <v>43</v>
      </c>
      <c r="N1106" t="s">
        <v>32</v>
      </c>
      <c r="O1106" t="s">
        <v>33</v>
      </c>
      <c r="P1106" t="s">
        <v>24</v>
      </c>
      <c r="Q1106">
        <v>5</v>
      </c>
      <c r="R1106">
        <f>IF(ventas_libreria[[#This Row],[valoracion_cliente]]="","Sin valoración",ventas_libreria[[#This Row],[valoracion_cliente]])</f>
        <v>5</v>
      </c>
    </row>
    <row r="1107" spans="1:18" x14ac:dyDescent="0.25">
      <c r="A1107" t="s">
        <v>1383</v>
      </c>
      <c r="B1107" t="s">
        <v>260</v>
      </c>
      <c r="C1107" t="s">
        <v>261</v>
      </c>
      <c r="D1107" t="s">
        <v>262</v>
      </c>
      <c r="E1107" t="s">
        <v>263</v>
      </c>
      <c r="F1107">
        <f>ventas_libreria[[#This Row],[precio_eur]]/100</f>
        <v>17.52</v>
      </c>
      <c r="G1107">
        <v>1752</v>
      </c>
      <c r="H1107">
        <v>1</v>
      </c>
      <c r="I1107">
        <f>ventas_libreria[[#This Row],[precio]]*ventas_libreria[[#This Row],[cantidad]]</f>
        <v>17.52</v>
      </c>
      <c r="J1107">
        <v>61</v>
      </c>
      <c r="K1107" t="s">
        <v>20</v>
      </c>
      <c r="L1107" s="1">
        <v>45988</v>
      </c>
      <c r="M1107" t="s">
        <v>43</v>
      </c>
      <c r="N1107" t="s">
        <v>32</v>
      </c>
      <c r="O1107" t="s">
        <v>33</v>
      </c>
      <c r="P1107" t="s">
        <v>24</v>
      </c>
      <c r="Q1107">
        <v>3</v>
      </c>
      <c r="R1107">
        <f>IF(ventas_libreria[[#This Row],[valoracion_cliente]]="","Sin valoración",ventas_libreria[[#This Row],[valoracion_cliente]])</f>
        <v>3</v>
      </c>
    </row>
    <row r="1108" spans="1:18" x14ac:dyDescent="0.25">
      <c r="A1108" t="s">
        <v>1384</v>
      </c>
      <c r="B1108" t="s">
        <v>398</v>
      </c>
      <c r="C1108" t="s">
        <v>399</v>
      </c>
      <c r="D1108" t="s">
        <v>167</v>
      </c>
      <c r="E1108" t="s">
        <v>61</v>
      </c>
      <c r="F1108">
        <f>ventas_libreria[[#This Row],[precio_eur]]/100</f>
        <v>15.21</v>
      </c>
      <c r="G1108">
        <v>1521</v>
      </c>
      <c r="H1108">
        <v>2</v>
      </c>
      <c r="I1108">
        <f>ventas_libreria[[#This Row],[precio]]*ventas_libreria[[#This Row],[cantidad]]</f>
        <v>30.42</v>
      </c>
      <c r="J1108">
        <v>30</v>
      </c>
      <c r="K1108" t="s">
        <v>20</v>
      </c>
      <c r="L1108" s="1">
        <v>45244</v>
      </c>
      <c r="M1108" t="s">
        <v>21</v>
      </c>
      <c r="N1108" t="s">
        <v>22</v>
      </c>
      <c r="O1108" t="s">
        <v>23</v>
      </c>
      <c r="P1108" t="s">
        <v>84</v>
      </c>
      <c r="Q1108">
        <v>5</v>
      </c>
      <c r="R1108">
        <f>IF(ventas_libreria[[#This Row],[valoracion_cliente]]="","Sin valoración",ventas_libreria[[#This Row],[valoracion_cliente]])</f>
        <v>5</v>
      </c>
    </row>
    <row r="1109" spans="1:18" x14ac:dyDescent="0.25">
      <c r="A1109" t="s">
        <v>1385</v>
      </c>
      <c r="B1109" t="s">
        <v>307</v>
      </c>
      <c r="C1109" t="s">
        <v>308</v>
      </c>
      <c r="D1109" t="s">
        <v>88</v>
      </c>
      <c r="E1109" t="s">
        <v>77</v>
      </c>
      <c r="F1109">
        <f>ventas_libreria[[#This Row],[precio_eur]]/100</f>
        <v>9.81</v>
      </c>
      <c r="G1109">
        <v>981</v>
      </c>
      <c r="H1109">
        <v>2</v>
      </c>
      <c r="I1109">
        <f>ventas_libreria[[#This Row],[precio]]*ventas_libreria[[#This Row],[cantidad]]</f>
        <v>19.62</v>
      </c>
      <c r="J1109">
        <v>7</v>
      </c>
      <c r="K1109" t="s">
        <v>62</v>
      </c>
      <c r="L1109" s="1">
        <v>45211</v>
      </c>
      <c r="M1109" t="s">
        <v>21</v>
      </c>
      <c r="N1109" t="s">
        <v>32</v>
      </c>
      <c r="O1109" t="s">
        <v>33</v>
      </c>
      <c r="P1109" t="s">
        <v>34</v>
      </c>
      <c r="Q1109">
        <v>3</v>
      </c>
      <c r="R1109">
        <f>IF(ventas_libreria[[#This Row],[valoracion_cliente]]="","Sin valoración",ventas_libreria[[#This Row],[valoracion_cliente]])</f>
        <v>3</v>
      </c>
    </row>
    <row r="1110" spans="1:18" x14ac:dyDescent="0.25">
      <c r="A1110" t="s">
        <v>1386</v>
      </c>
      <c r="B1110" t="s">
        <v>193</v>
      </c>
      <c r="C1110" t="s">
        <v>194</v>
      </c>
      <c r="D1110" t="s">
        <v>195</v>
      </c>
      <c r="E1110" t="s">
        <v>48</v>
      </c>
      <c r="F1110">
        <f>ventas_libreria[[#This Row],[precio_eur]]/100</f>
        <v>15.92</v>
      </c>
      <c r="G1110">
        <v>1592</v>
      </c>
      <c r="H1110">
        <v>1</v>
      </c>
      <c r="I1110">
        <f>ventas_libreria[[#This Row],[precio]]*ventas_libreria[[#This Row],[cantidad]]</f>
        <v>15.92</v>
      </c>
      <c r="J1110">
        <v>35</v>
      </c>
      <c r="K1110" t="s">
        <v>62</v>
      </c>
      <c r="L1110" s="1">
        <v>45340</v>
      </c>
      <c r="M1110" t="s">
        <v>31</v>
      </c>
      <c r="N1110" t="s">
        <v>32</v>
      </c>
      <c r="O1110" t="s">
        <v>33</v>
      </c>
      <c r="P1110" t="s">
        <v>56</v>
      </c>
      <c r="Q1110">
        <v>5</v>
      </c>
      <c r="R1110">
        <f>IF(ventas_libreria[[#This Row],[valoracion_cliente]]="","Sin valoración",ventas_libreria[[#This Row],[valoracion_cliente]])</f>
        <v>5</v>
      </c>
    </row>
    <row r="1111" spans="1:18" x14ac:dyDescent="0.25">
      <c r="A1111" t="s">
        <v>1387</v>
      </c>
      <c r="B1111" t="s">
        <v>398</v>
      </c>
      <c r="C1111" t="s">
        <v>399</v>
      </c>
      <c r="D1111" t="s">
        <v>167</v>
      </c>
      <c r="E1111" t="s">
        <v>61</v>
      </c>
      <c r="F1111">
        <f>ventas_libreria[[#This Row],[precio_eur]]/100</f>
        <v>1.69</v>
      </c>
      <c r="G1111">
        <v>169</v>
      </c>
      <c r="H1111">
        <v>1</v>
      </c>
      <c r="I1111">
        <f>ventas_libreria[[#This Row],[precio]]*ventas_libreria[[#This Row],[cantidad]]</f>
        <v>1.69</v>
      </c>
      <c r="J1111">
        <v>33</v>
      </c>
      <c r="K1111" t="s">
        <v>30</v>
      </c>
      <c r="L1111" s="1">
        <v>44950</v>
      </c>
      <c r="M1111" t="s">
        <v>43</v>
      </c>
      <c r="N1111" t="s">
        <v>32</v>
      </c>
      <c r="O1111" t="s">
        <v>33</v>
      </c>
      <c r="P1111" t="s">
        <v>84</v>
      </c>
      <c r="Q1111">
        <v>5</v>
      </c>
      <c r="R1111">
        <f>IF(ventas_libreria[[#This Row],[valoracion_cliente]]="","Sin valoración",ventas_libreria[[#This Row],[valoracion_cliente]])</f>
        <v>5</v>
      </c>
    </row>
    <row r="1112" spans="1:18" x14ac:dyDescent="0.25">
      <c r="A1112" t="s">
        <v>1388</v>
      </c>
      <c r="B1112" t="s">
        <v>74</v>
      </c>
      <c r="C1112" t="s">
        <v>75</v>
      </c>
      <c r="D1112" t="s">
        <v>76</v>
      </c>
      <c r="E1112" t="s">
        <v>77</v>
      </c>
      <c r="F1112">
        <f>ventas_libreria[[#This Row],[precio_eur]]/100</f>
        <v>1.59</v>
      </c>
      <c r="G1112">
        <v>159</v>
      </c>
      <c r="H1112">
        <v>3</v>
      </c>
      <c r="I1112">
        <f>ventas_libreria[[#This Row],[precio]]*ventas_libreria[[#This Row],[cantidad]]</f>
        <v>4.7700000000000005</v>
      </c>
      <c r="J1112">
        <v>10</v>
      </c>
      <c r="K1112" t="s">
        <v>62</v>
      </c>
      <c r="L1112" s="1">
        <v>45599</v>
      </c>
      <c r="M1112" t="s">
        <v>31</v>
      </c>
      <c r="N1112" t="s">
        <v>22</v>
      </c>
      <c r="O1112" t="s">
        <v>98</v>
      </c>
      <c r="P1112" t="s">
        <v>56</v>
      </c>
      <c r="Q1112">
        <v>5</v>
      </c>
      <c r="R1112">
        <f>IF(ventas_libreria[[#This Row],[valoracion_cliente]]="","Sin valoración",ventas_libreria[[#This Row],[valoracion_cliente]])</f>
        <v>5</v>
      </c>
    </row>
    <row r="1113" spans="1:18" x14ac:dyDescent="0.25">
      <c r="A1113" t="s">
        <v>1389</v>
      </c>
      <c r="B1113" t="s">
        <v>348</v>
      </c>
      <c r="C1113" t="s">
        <v>349</v>
      </c>
      <c r="D1113" t="s">
        <v>350</v>
      </c>
      <c r="E1113" t="s">
        <v>116</v>
      </c>
      <c r="F1113">
        <f>ventas_libreria[[#This Row],[precio_eur]]/100</f>
        <v>1.99</v>
      </c>
      <c r="G1113">
        <v>199</v>
      </c>
      <c r="H1113">
        <v>2</v>
      </c>
      <c r="I1113">
        <f>ventas_libreria[[#This Row],[precio]]*ventas_libreria[[#This Row],[cantidad]]</f>
        <v>3.98</v>
      </c>
      <c r="J1113">
        <v>41</v>
      </c>
      <c r="K1113" t="s">
        <v>62</v>
      </c>
      <c r="L1113" s="1">
        <v>45589</v>
      </c>
      <c r="M1113" t="s">
        <v>31</v>
      </c>
      <c r="N1113" t="s">
        <v>32</v>
      </c>
      <c r="O1113" t="s">
        <v>33</v>
      </c>
      <c r="P1113" t="s">
        <v>84</v>
      </c>
      <c r="Q1113">
        <v>5</v>
      </c>
      <c r="R1113">
        <f>IF(ventas_libreria[[#This Row],[valoracion_cliente]]="","Sin valoración",ventas_libreria[[#This Row],[valoracion_cliente]])</f>
        <v>5</v>
      </c>
    </row>
    <row r="1114" spans="1:18" x14ac:dyDescent="0.25">
      <c r="A1114" t="s">
        <v>1390</v>
      </c>
      <c r="B1114" t="s">
        <v>418</v>
      </c>
      <c r="C1114" t="s">
        <v>419</v>
      </c>
      <c r="D1114" t="s">
        <v>420</v>
      </c>
      <c r="E1114" t="s">
        <v>149</v>
      </c>
      <c r="F1114">
        <f>ventas_libreria[[#This Row],[precio_eur]]/100</f>
        <v>1.69</v>
      </c>
      <c r="G1114">
        <v>169</v>
      </c>
      <c r="H1114">
        <v>1</v>
      </c>
      <c r="I1114">
        <f>ventas_libreria[[#This Row],[precio]]*ventas_libreria[[#This Row],[cantidad]]</f>
        <v>1.69</v>
      </c>
      <c r="J1114">
        <v>53</v>
      </c>
      <c r="K1114" t="s">
        <v>62</v>
      </c>
      <c r="L1114" s="1">
        <v>45164</v>
      </c>
      <c r="M1114" t="s">
        <v>31</v>
      </c>
      <c r="N1114" t="s">
        <v>32</v>
      </c>
      <c r="O1114" t="s">
        <v>33</v>
      </c>
      <c r="P1114" t="s">
        <v>56</v>
      </c>
      <c r="Q1114">
        <v>5</v>
      </c>
      <c r="R1114">
        <f>IF(ventas_libreria[[#This Row],[valoracion_cliente]]="","Sin valoración",ventas_libreria[[#This Row],[valoracion_cliente]])</f>
        <v>5</v>
      </c>
    </row>
    <row r="1115" spans="1:18" x14ac:dyDescent="0.25">
      <c r="A1115" t="s">
        <v>1391</v>
      </c>
      <c r="B1115" t="s">
        <v>100</v>
      </c>
      <c r="C1115" t="s">
        <v>101</v>
      </c>
      <c r="D1115" t="s">
        <v>102</v>
      </c>
      <c r="E1115" t="s">
        <v>61</v>
      </c>
      <c r="F1115">
        <f>ventas_libreria[[#This Row],[precio_eur]]/100</f>
        <v>13.09</v>
      </c>
      <c r="G1115">
        <v>1309</v>
      </c>
      <c r="H1115">
        <v>3</v>
      </c>
      <c r="I1115">
        <f>ventas_libreria[[#This Row],[precio]]*ventas_libreria[[#This Row],[cantidad]]</f>
        <v>39.269999999999996</v>
      </c>
      <c r="J1115">
        <v>47</v>
      </c>
      <c r="K1115" t="s">
        <v>30</v>
      </c>
      <c r="L1115" s="1">
        <v>45945</v>
      </c>
      <c r="M1115" t="s">
        <v>21</v>
      </c>
      <c r="N1115" t="s">
        <v>22</v>
      </c>
      <c r="O1115" t="s">
        <v>98</v>
      </c>
      <c r="P1115" t="s">
        <v>50</v>
      </c>
      <c r="Q1115">
        <v>4</v>
      </c>
      <c r="R1115">
        <f>IF(ventas_libreria[[#This Row],[valoracion_cliente]]="","Sin valoración",ventas_libreria[[#This Row],[valoracion_cliente]])</f>
        <v>4</v>
      </c>
    </row>
    <row r="1116" spans="1:18" x14ac:dyDescent="0.25">
      <c r="A1116" t="s">
        <v>1392</v>
      </c>
      <c r="B1116" t="s">
        <v>265</v>
      </c>
      <c r="C1116" t="s">
        <v>266</v>
      </c>
      <c r="D1116" t="s">
        <v>162</v>
      </c>
      <c r="E1116" t="s">
        <v>29</v>
      </c>
      <c r="F1116">
        <f>ventas_libreria[[#This Row],[precio_eur]]/100</f>
        <v>17.75</v>
      </c>
      <c r="G1116">
        <v>1775</v>
      </c>
      <c r="H1116">
        <v>1</v>
      </c>
      <c r="I1116">
        <f>ventas_libreria[[#This Row],[precio]]*ventas_libreria[[#This Row],[cantidad]]</f>
        <v>17.75</v>
      </c>
      <c r="J1116">
        <v>27</v>
      </c>
      <c r="K1116" t="s">
        <v>62</v>
      </c>
      <c r="L1116" s="1">
        <v>45428</v>
      </c>
      <c r="M1116" t="s">
        <v>21</v>
      </c>
      <c r="N1116" t="s">
        <v>22</v>
      </c>
      <c r="O1116" t="s">
        <v>132</v>
      </c>
      <c r="P1116" t="s">
        <v>24</v>
      </c>
      <c r="Q1116">
        <v>4</v>
      </c>
      <c r="R1116">
        <f>IF(ventas_libreria[[#This Row],[valoracion_cliente]]="","Sin valoración",ventas_libreria[[#This Row],[valoracion_cliente]])</f>
        <v>4</v>
      </c>
    </row>
    <row r="1117" spans="1:18" x14ac:dyDescent="0.25">
      <c r="A1117" t="s">
        <v>1393</v>
      </c>
      <c r="B1117" t="s">
        <v>91</v>
      </c>
      <c r="C1117" t="s">
        <v>92</v>
      </c>
      <c r="D1117" t="s">
        <v>93</v>
      </c>
      <c r="E1117" t="s">
        <v>72</v>
      </c>
      <c r="F1117">
        <f>ventas_libreria[[#This Row],[precio_eur]]/100</f>
        <v>1.39</v>
      </c>
      <c r="G1117">
        <v>139</v>
      </c>
      <c r="H1117">
        <v>2</v>
      </c>
      <c r="I1117">
        <f>ventas_libreria[[#This Row],[precio]]*ventas_libreria[[#This Row],[cantidad]]</f>
        <v>2.78</v>
      </c>
      <c r="J1117">
        <v>53</v>
      </c>
      <c r="K1117" t="s">
        <v>30</v>
      </c>
      <c r="L1117" s="1">
        <v>45454</v>
      </c>
      <c r="M1117" t="s">
        <v>21</v>
      </c>
      <c r="N1117" t="s">
        <v>32</v>
      </c>
      <c r="O1117" t="s">
        <v>33</v>
      </c>
      <c r="P1117" t="s">
        <v>56</v>
      </c>
      <c r="Q1117">
        <v>4</v>
      </c>
      <c r="R1117">
        <f>IF(ventas_libreria[[#This Row],[valoracion_cliente]]="","Sin valoración",ventas_libreria[[#This Row],[valoracion_cliente]])</f>
        <v>4</v>
      </c>
    </row>
    <row r="1118" spans="1:18" x14ac:dyDescent="0.25">
      <c r="A1118" t="s">
        <v>1394</v>
      </c>
      <c r="B1118" t="s">
        <v>268</v>
      </c>
      <c r="C1118" t="s">
        <v>269</v>
      </c>
      <c r="D1118" t="s">
        <v>270</v>
      </c>
      <c r="E1118" t="s">
        <v>83</v>
      </c>
      <c r="F1118">
        <f>ventas_libreria[[#This Row],[precio_eur]]/100</f>
        <v>8.7200000000000006</v>
      </c>
      <c r="G1118">
        <v>872</v>
      </c>
      <c r="H1118">
        <v>1</v>
      </c>
      <c r="I1118">
        <f>ventas_libreria[[#This Row],[precio]]*ventas_libreria[[#This Row],[cantidad]]</f>
        <v>8.7200000000000006</v>
      </c>
      <c r="J1118">
        <v>71</v>
      </c>
      <c r="K1118" t="s">
        <v>62</v>
      </c>
      <c r="L1118" s="1">
        <v>45726</v>
      </c>
      <c r="M1118" t="s">
        <v>43</v>
      </c>
      <c r="N1118" t="s">
        <v>32</v>
      </c>
      <c r="O1118" t="s">
        <v>33</v>
      </c>
      <c r="P1118" t="s">
        <v>34</v>
      </c>
      <c r="Q1118">
        <v>5</v>
      </c>
      <c r="R1118">
        <f>IF(ventas_libreria[[#This Row],[valoracion_cliente]]="","Sin valoración",ventas_libreria[[#This Row],[valoracion_cliente]])</f>
        <v>5</v>
      </c>
    </row>
    <row r="1119" spans="1:18" x14ac:dyDescent="0.25">
      <c r="A1119" t="s">
        <v>1395</v>
      </c>
      <c r="B1119" t="s">
        <v>220</v>
      </c>
      <c r="C1119" t="s">
        <v>221</v>
      </c>
      <c r="D1119" t="s">
        <v>222</v>
      </c>
      <c r="E1119" t="s">
        <v>116</v>
      </c>
      <c r="F1119">
        <f>ventas_libreria[[#This Row],[precio_eur]]/100</f>
        <v>1.29</v>
      </c>
      <c r="G1119">
        <v>129</v>
      </c>
      <c r="H1119">
        <v>1</v>
      </c>
      <c r="I1119">
        <f>ventas_libreria[[#This Row],[precio]]*ventas_libreria[[#This Row],[cantidad]]</f>
        <v>1.29</v>
      </c>
      <c r="J1119">
        <v>36</v>
      </c>
      <c r="K1119" t="s">
        <v>30</v>
      </c>
      <c r="L1119" s="1">
        <v>45124</v>
      </c>
      <c r="M1119" t="s">
        <v>31</v>
      </c>
      <c r="N1119" t="s">
        <v>22</v>
      </c>
      <c r="O1119" t="s">
        <v>98</v>
      </c>
      <c r="P1119" t="s">
        <v>56</v>
      </c>
      <c r="Q1119">
        <v>5</v>
      </c>
      <c r="R1119">
        <f>IF(ventas_libreria[[#This Row],[valoracion_cliente]]="","Sin valoración",ventas_libreria[[#This Row],[valoracion_cliente]])</f>
        <v>5</v>
      </c>
    </row>
    <row r="1120" spans="1:18" x14ac:dyDescent="0.25">
      <c r="A1120" t="s">
        <v>1396</v>
      </c>
      <c r="B1120" t="s">
        <v>137</v>
      </c>
      <c r="C1120" t="s">
        <v>138</v>
      </c>
      <c r="D1120" t="s">
        <v>139</v>
      </c>
      <c r="E1120" t="s">
        <v>116</v>
      </c>
      <c r="F1120">
        <f>ventas_libreria[[#This Row],[precio_eur]]/100</f>
        <v>11.61</v>
      </c>
      <c r="G1120">
        <v>1161</v>
      </c>
      <c r="H1120">
        <v>3</v>
      </c>
      <c r="I1120">
        <f>ventas_libreria[[#This Row],[precio]]*ventas_libreria[[#This Row],[cantidad]]</f>
        <v>34.83</v>
      </c>
      <c r="J1120">
        <v>20</v>
      </c>
      <c r="K1120" t="s">
        <v>62</v>
      </c>
      <c r="L1120" s="1">
        <v>45122</v>
      </c>
      <c r="M1120" t="s">
        <v>31</v>
      </c>
      <c r="N1120" t="s">
        <v>22</v>
      </c>
      <c r="O1120" t="s">
        <v>23</v>
      </c>
      <c r="P1120" t="s">
        <v>24</v>
      </c>
      <c r="Q1120">
        <v>4</v>
      </c>
      <c r="R1120">
        <f>IF(ventas_libreria[[#This Row],[valoracion_cliente]]="","Sin valoración",ventas_libreria[[#This Row],[valoracion_cliente]])</f>
        <v>4</v>
      </c>
    </row>
    <row r="1121" spans="1:18" x14ac:dyDescent="0.25">
      <c r="A1121" t="s">
        <v>1397</v>
      </c>
      <c r="B1121" t="s">
        <v>113</v>
      </c>
      <c r="C1121" t="s">
        <v>114</v>
      </c>
      <c r="D1121" t="s">
        <v>115</v>
      </c>
      <c r="E1121" t="s">
        <v>116</v>
      </c>
      <c r="F1121">
        <f>ventas_libreria[[#This Row],[precio_eur]]/100</f>
        <v>1.39</v>
      </c>
      <c r="G1121">
        <v>139</v>
      </c>
      <c r="H1121">
        <v>1</v>
      </c>
      <c r="I1121">
        <f>ventas_libreria[[#This Row],[precio]]*ventas_libreria[[#This Row],[cantidad]]</f>
        <v>1.39</v>
      </c>
      <c r="J1121">
        <v>56</v>
      </c>
      <c r="K1121" t="s">
        <v>20</v>
      </c>
      <c r="L1121" s="1">
        <v>45221</v>
      </c>
      <c r="M1121" t="s">
        <v>21</v>
      </c>
      <c r="N1121" t="s">
        <v>32</v>
      </c>
      <c r="O1121" t="s">
        <v>33</v>
      </c>
      <c r="P1121" t="s">
        <v>34</v>
      </c>
      <c r="Q1121">
        <v>4</v>
      </c>
      <c r="R1121">
        <f>IF(ventas_libreria[[#This Row],[valoracion_cliente]]="","Sin valoración",ventas_libreria[[#This Row],[valoracion_cliente]])</f>
        <v>4</v>
      </c>
    </row>
    <row r="1122" spans="1:18" x14ac:dyDescent="0.25">
      <c r="A1122" t="s">
        <v>1398</v>
      </c>
      <c r="B1122" t="s">
        <v>169</v>
      </c>
      <c r="C1122" t="s">
        <v>170</v>
      </c>
      <c r="D1122" t="s">
        <v>171</v>
      </c>
      <c r="E1122" t="s">
        <v>172</v>
      </c>
      <c r="F1122">
        <f>ventas_libreria[[#This Row],[precio_eur]]/100</f>
        <v>2.29</v>
      </c>
      <c r="G1122">
        <v>229</v>
      </c>
      <c r="H1122">
        <v>1</v>
      </c>
      <c r="I1122">
        <f>ventas_libreria[[#This Row],[precio]]*ventas_libreria[[#This Row],[cantidad]]</f>
        <v>2.29</v>
      </c>
      <c r="J1122">
        <v>18</v>
      </c>
      <c r="K1122" t="s">
        <v>38</v>
      </c>
      <c r="L1122" s="1">
        <v>45033</v>
      </c>
      <c r="M1122" t="s">
        <v>43</v>
      </c>
      <c r="N1122" t="s">
        <v>32</v>
      </c>
      <c r="O1122" t="s">
        <v>33</v>
      </c>
      <c r="P1122" t="s">
        <v>34</v>
      </c>
      <c r="R1122" t="str">
        <f>IF(ventas_libreria[[#This Row],[valoracion_cliente]]="","Sin valoración",ventas_libreria[[#This Row],[valoracion_cliente]])</f>
        <v>Sin valoración</v>
      </c>
    </row>
    <row r="1123" spans="1:18" x14ac:dyDescent="0.25">
      <c r="A1123" t="s">
        <v>1399</v>
      </c>
      <c r="B1123" t="s">
        <v>181</v>
      </c>
      <c r="C1123" t="s">
        <v>182</v>
      </c>
      <c r="D1123" t="s">
        <v>183</v>
      </c>
      <c r="E1123" t="s">
        <v>116</v>
      </c>
      <c r="F1123">
        <f>ventas_libreria[[#This Row],[precio_eur]]/100</f>
        <v>1.39</v>
      </c>
      <c r="G1123">
        <v>139</v>
      </c>
      <c r="H1123">
        <v>1</v>
      </c>
      <c r="I1123">
        <f>ventas_libreria[[#This Row],[precio]]*ventas_libreria[[#This Row],[cantidad]]</f>
        <v>1.39</v>
      </c>
      <c r="J1123">
        <v>27</v>
      </c>
      <c r="K1123" t="s">
        <v>20</v>
      </c>
      <c r="L1123" s="1">
        <v>45073</v>
      </c>
      <c r="M1123" t="s">
        <v>31</v>
      </c>
      <c r="N1123" t="s">
        <v>22</v>
      </c>
      <c r="O1123" t="s">
        <v>98</v>
      </c>
      <c r="P1123" t="s">
        <v>84</v>
      </c>
      <c r="Q1123">
        <v>5</v>
      </c>
      <c r="R1123">
        <f>IF(ventas_libreria[[#This Row],[valoracion_cliente]]="","Sin valoración",ventas_libreria[[#This Row],[valoracion_cliente]])</f>
        <v>5</v>
      </c>
    </row>
    <row r="1124" spans="1:18" x14ac:dyDescent="0.25">
      <c r="A1124" t="s">
        <v>1400</v>
      </c>
      <c r="B1124" t="s">
        <v>156</v>
      </c>
      <c r="C1124" t="s">
        <v>157</v>
      </c>
      <c r="D1124" t="s">
        <v>158</v>
      </c>
      <c r="E1124" t="s">
        <v>149</v>
      </c>
      <c r="F1124">
        <f>ventas_libreria[[#This Row],[precio_eur]]/100</f>
        <v>15.12</v>
      </c>
      <c r="G1124">
        <v>1512</v>
      </c>
      <c r="H1124">
        <v>2</v>
      </c>
      <c r="I1124">
        <f>ventas_libreria[[#This Row],[precio]]*ventas_libreria[[#This Row],[cantidad]]</f>
        <v>30.24</v>
      </c>
      <c r="J1124">
        <v>22</v>
      </c>
      <c r="K1124" t="s">
        <v>62</v>
      </c>
      <c r="L1124" s="1">
        <v>45893</v>
      </c>
      <c r="M1124" t="s">
        <v>31</v>
      </c>
      <c r="N1124" t="s">
        <v>22</v>
      </c>
      <c r="O1124" t="s">
        <v>67</v>
      </c>
      <c r="P1124" t="s">
        <v>24</v>
      </c>
      <c r="Q1124">
        <v>4</v>
      </c>
      <c r="R1124">
        <f>IF(ventas_libreria[[#This Row],[valoracion_cliente]]="","Sin valoración",ventas_libreria[[#This Row],[valoracion_cliente]])</f>
        <v>4</v>
      </c>
    </row>
    <row r="1125" spans="1:18" x14ac:dyDescent="0.25">
      <c r="A1125" t="s">
        <v>1401</v>
      </c>
      <c r="B1125" t="s">
        <v>301</v>
      </c>
      <c r="C1125" t="s">
        <v>302</v>
      </c>
      <c r="D1125" t="s">
        <v>245</v>
      </c>
      <c r="E1125" t="s">
        <v>48</v>
      </c>
      <c r="F1125">
        <f>ventas_libreria[[#This Row],[precio_eur]]/100</f>
        <v>2.4900000000000002</v>
      </c>
      <c r="G1125">
        <v>249</v>
      </c>
      <c r="H1125">
        <v>1</v>
      </c>
      <c r="I1125">
        <f>ventas_libreria[[#This Row],[precio]]*ventas_libreria[[#This Row],[cantidad]]</f>
        <v>2.4900000000000002</v>
      </c>
      <c r="J1125">
        <v>16</v>
      </c>
      <c r="K1125" t="s">
        <v>30</v>
      </c>
      <c r="L1125" s="1">
        <v>45392</v>
      </c>
      <c r="M1125" t="s">
        <v>31</v>
      </c>
      <c r="N1125" t="s">
        <v>32</v>
      </c>
      <c r="O1125" t="s">
        <v>33</v>
      </c>
      <c r="P1125" t="s">
        <v>34</v>
      </c>
      <c r="R1125" t="str">
        <f>IF(ventas_libreria[[#This Row],[valoracion_cliente]]="","Sin valoración",ventas_libreria[[#This Row],[valoracion_cliente]])</f>
        <v>Sin valoración</v>
      </c>
    </row>
    <row r="1126" spans="1:18" x14ac:dyDescent="0.25">
      <c r="A1126" t="s">
        <v>1402</v>
      </c>
      <c r="B1126" t="s">
        <v>338</v>
      </c>
      <c r="C1126" t="s">
        <v>339</v>
      </c>
      <c r="D1126" t="s">
        <v>167</v>
      </c>
      <c r="E1126" t="s">
        <v>61</v>
      </c>
      <c r="F1126">
        <f>ventas_libreria[[#This Row],[precio_eur]]/100</f>
        <v>2.29</v>
      </c>
      <c r="G1126">
        <v>229</v>
      </c>
      <c r="H1126">
        <v>1</v>
      </c>
      <c r="I1126">
        <f>ventas_libreria[[#This Row],[precio]]*ventas_libreria[[#This Row],[cantidad]]</f>
        <v>2.29</v>
      </c>
      <c r="J1126">
        <v>36</v>
      </c>
      <c r="K1126" t="s">
        <v>62</v>
      </c>
      <c r="L1126" s="1">
        <v>45294</v>
      </c>
      <c r="M1126" t="s">
        <v>21</v>
      </c>
      <c r="N1126" t="s">
        <v>32</v>
      </c>
      <c r="O1126" t="s">
        <v>33</v>
      </c>
      <c r="P1126" t="s">
        <v>24</v>
      </c>
      <c r="Q1126">
        <v>3</v>
      </c>
      <c r="R1126">
        <f>IF(ventas_libreria[[#This Row],[valoracion_cliente]]="","Sin valoración",ventas_libreria[[#This Row],[valoracion_cliente]])</f>
        <v>3</v>
      </c>
    </row>
    <row r="1127" spans="1:18" x14ac:dyDescent="0.25">
      <c r="A1127" t="s">
        <v>1403</v>
      </c>
      <c r="B1127" t="s">
        <v>52</v>
      </c>
      <c r="C1127" t="s">
        <v>53</v>
      </c>
      <c r="D1127" t="s">
        <v>54</v>
      </c>
      <c r="E1127" t="s">
        <v>55</v>
      </c>
      <c r="F1127">
        <f>ventas_libreria[[#This Row],[precio_eur]]/100</f>
        <v>1</v>
      </c>
      <c r="G1127">
        <v>100</v>
      </c>
      <c r="H1127">
        <v>1</v>
      </c>
      <c r="I1127">
        <f>ventas_libreria[[#This Row],[precio]]*ventas_libreria[[#This Row],[cantidad]]</f>
        <v>1</v>
      </c>
      <c r="J1127">
        <v>40</v>
      </c>
      <c r="K1127" t="s">
        <v>38</v>
      </c>
      <c r="L1127" s="1">
        <v>45803</v>
      </c>
      <c r="M1127" t="s">
        <v>31</v>
      </c>
      <c r="N1127" t="s">
        <v>32</v>
      </c>
      <c r="O1127" t="s">
        <v>33</v>
      </c>
      <c r="P1127" t="s">
        <v>34</v>
      </c>
      <c r="Q1127">
        <v>4</v>
      </c>
      <c r="R1127">
        <f>IF(ventas_libreria[[#This Row],[valoracion_cliente]]="","Sin valoración",ventas_libreria[[#This Row],[valoracion_cliente]])</f>
        <v>4</v>
      </c>
    </row>
    <row r="1128" spans="1:18" x14ac:dyDescent="0.25">
      <c r="A1128" t="s">
        <v>1404</v>
      </c>
      <c r="B1128" t="s">
        <v>208</v>
      </c>
      <c r="C1128" t="s">
        <v>209</v>
      </c>
      <c r="D1128" t="s">
        <v>106</v>
      </c>
      <c r="E1128" t="s">
        <v>107</v>
      </c>
      <c r="F1128">
        <f>ventas_libreria[[#This Row],[precio_eur]]/100</f>
        <v>16.39</v>
      </c>
      <c r="G1128">
        <v>1639</v>
      </c>
      <c r="H1128">
        <v>1</v>
      </c>
      <c r="I1128">
        <f>ventas_libreria[[#This Row],[precio]]*ventas_libreria[[#This Row],[cantidad]]</f>
        <v>16.39</v>
      </c>
      <c r="J1128">
        <v>10</v>
      </c>
      <c r="K1128" t="s">
        <v>62</v>
      </c>
      <c r="L1128" s="1">
        <v>45780</v>
      </c>
      <c r="M1128" t="s">
        <v>31</v>
      </c>
      <c r="N1128" t="s">
        <v>32</v>
      </c>
      <c r="O1128" t="s">
        <v>33</v>
      </c>
      <c r="P1128" t="s">
        <v>56</v>
      </c>
      <c r="Q1128">
        <v>4</v>
      </c>
      <c r="R1128">
        <f>IF(ventas_libreria[[#This Row],[valoracion_cliente]]="","Sin valoración",ventas_libreria[[#This Row],[valoracion_cliente]])</f>
        <v>4</v>
      </c>
    </row>
    <row r="1129" spans="1:18" x14ac:dyDescent="0.25">
      <c r="A1129" t="s">
        <v>1405</v>
      </c>
      <c r="B1129" t="s">
        <v>208</v>
      </c>
      <c r="C1129" t="s">
        <v>209</v>
      </c>
      <c r="D1129" t="s">
        <v>106</v>
      </c>
      <c r="E1129" t="s">
        <v>107</v>
      </c>
      <c r="F1129">
        <f>ventas_libreria[[#This Row],[precio_eur]]/100</f>
        <v>11.92</v>
      </c>
      <c r="G1129">
        <v>1192</v>
      </c>
      <c r="H1129">
        <v>1</v>
      </c>
      <c r="I1129">
        <f>ventas_libreria[[#This Row],[precio]]*ventas_libreria[[#This Row],[cantidad]]</f>
        <v>11.92</v>
      </c>
      <c r="J1129">
        <v>17</v>
      </c>
      <c r="K1129" t="s">
        <v>38</v>
      </c>
      <c r="L1129" s="1">
        <v>45427</v>
      </c>
      <c r="M1129" t="s">
        <v>31</v>
      </c>
      <c r="N1129" t="s">
        <v>22</v>
      </c>
      <c r="O1129" t="s">
        <v>132</v>
      </c>
      <c r="P1129" t="s">
        <v>34</v>
      </c>
      <c r="Q1129">
        <v>3</v>
      </c>
      <c r="R1129">
        <f>IF(ventas_libreria[[#This Row],[valoracion_cliente]]="","Sin valoración",ventas_libreria[[#This Row],[valoracion_cliente]])</f>
        <v>3</v>
      </c>
    </row>
    <row r="1130" spans="1:18" x14ac:dyDescent="0.25">
      <c r="A1130" t="s">
        <v>1406</v>
      </c>
      <c r="B1130" t="s">
        <v>268</v>
      </c>
      <c r="C1130" t="s">
        <v>269</v>
      </c>
      <c r="D1130" t="s">
        <v>270</v>
      </c>
      <c r="E1130" t="s">
        <v>83</v>
      </c>
      <c r="F1130">
        <f>ventas_libreria[[#This Row],[precio_eur]]/100</f>
        <v>11.99</v>
      </c>
      <c r="G1130">
        <v>1199</v>
      </c>
      <c r="H1130">
        <v>1</v>
      </c>
      <c r="I1130">
        <f>ventas_libreria[[#This Row],[precio]]*ventas_libreria[[#This Row],[cantidad]]</f>
        <v>11.99</v>
      </c>
      <c r="J1130">
        <v>18</v>
      </c>
      <c r="K1130" t="s">
        <v>38</v>
      </c>
      <c r="L1130" s="1">
        <v>45679</v>
      </c>
      <c r="M1130" t="s">
        <v>43</v>
      </c>
      <c r="N1130" t="s">
        <v>32</v>
      </c>
      <c r="O1130" t="s">
        <v>33</v>
      </c>
      <c r="P1130" t="s">
        <v>50</v>
      </c>
      <c r="Q1130">
        <v>4</v>
      </c>
      <c r="R1130">
        <f>IF(ventas_libreria[[#This Row],[valoracion_cliente]]="","Sin valoración",ventas_libreria[[#This Row],[valoracion_cliente]])</f>
        <v>4</v>
      </c>
    </row>
    <row r="1131" spans="1:18" x14ac:dyDescent="0.25">
      <c r="A1131" t="s">
        <v>1407</v>
      </c>
      <c r="B1131" t="s">
        <v>268</v>
      </c>
      <c r="C1131" t="s">
        <v>269</v>
      </c>
      <c r="D1131" t="s">
        <v>270</v>
      </c>
      <c r="E1131" t="s">
        <v>83</v>
      </c>
      <c r="F1131">
        <f>ventas_libreria[[#This Row],[precio_eur]]/100</f>
        <v>11.45</v>
      </c>
      <c r="G1131">
        <v>1145</v>
      </c>
      <c r="H1131">
        <v>1</v>
      </c>
      <c r="I1131">
        <f>ventas_libreria[[#This Row],[precio]]*ventas_libreria[[#This Row],[cantidad]]</f>
        <v>11.45</v>
      </c>
      <c r="J1131">
        <v>55</v>
      </c>
      <c r="K1131" t="s">
        <v>20</v>
      </c>
      <c r="L1131" s="1">
        <v>45878</v>
      </c>
      <c r="M1131" t="s">
        <v>31</v>
      </c>
      <c r="N1131" t="s">
        <v>32</v>
      </c>
      <c r="O1131" t="s">
        <v>33</v>
      </c>
      <c r="P1131" t="s">
        <v>84</v>
      </c>
      <c r="Q1131">
        <v>3</v>
      </c>
      <c r="R1131">
        <f>IF(ventas_libreria[[#This Row],[valoracion_cliente]]="","Sin valoración",ventas_libreria[[#This Row],[valoracion_cliente]])</f>
        <v>3</v>
      </c>
    </row>
    <row r="1132" spans="1:18" x14ac:dyDescent="0.25">
      <c r="A1132" t="s">
        <v>1408</v>
      </c>
      <c r="B1132" t="s">
        <v>549</v>
      </c>
      <c r="C1132" t="s">
        <v>550</v>
      </c>
      <c r="D1132" t="s">
        <v>162</v>
      </c>
      <c r="E1132" t="s">
        <v>29</v>
      </c>
      <c r="F1132">
        <f>ventas_libreria[[#This Row],[precio_eur]]/100</f>
        <v>1.99</v>
      </c>
      <c r="G1132">
        <v>199</v>
      </c>
      <c r="H1132">
        <v>3</v>
      </c>
      <c r="I1132">
        <f>ventas_libreria[[#This Row],[precio]]*ventas_libreria[[#This Row],[cantidad]]</f>
        <v>5.97</v>
      </c>
      <c r="J1132">
        <v>35</v>
      </c>
      <c r="K1132" t="s">
        <v>20</v>
      </c>
      <c r="L1132" s="1">
        <v>45366</v>
      </c>
      <c r="M1132" t="s">
        <v>43</v>
      </c>
      <c r="N1132" t="s">
        <v>32</v>
      </c>
      <c r="O1132" t="s">
        <v>33</v>
      </c>
      <c r="P1132" t="s">
        <v>34</v>
      </c>
      <c r="Q1132">
        <v>5</v>
      </c>
      <c r="R1132">
        <f>IF(ventas_libreria[[#This Row],[valoracion_cliente]]="","Sin valoración",ventas_libreria[[#This Row],[valoracion_cliente]])</f>
        <v>5</v>
      </c>
    </row>
    <row r="1133" spans="1:18" x14ac:dyDescent="0.25">
      <c r="A1133" t="s">
        <v>1409</v>
      </c>
      <c r="B1133" t="s">
        <v>134</v>
      </c>
      <c r="C1133" t="s">
        <v>135</v>
      </c>
      <c r="D1133" t="s">
        <v>106</v>
      </c>
      <c r="E1133" t="s">
        <v>107</v>
      </c>
      <c r="F1133">
        <f>ventas_libreria[[#This Row],[precio_eur]]/100</f>
        <v>11.92</v>
      </c>
      <c r="G1133">
        <v>1192</v>
      </c>
      <c r="H1133">
        <v>1</v>
      </c>
      <c r="I1133">
        <f>ventas_libreria[[#This Row],[precio]]*ventas_libreria[[#This Row],[cantidad]]</f>
        <v>11.92</v>
      </c>
      <c r="J1133">
        <v>15</v>
      </c>
      <c r="K1133" t="s">
        <v>30</v>
      </c>
      <c r="L1133" s="1">
        <v>46010</v>
      </c>
      <c r="M1133" t="s">
        <v>31</v>
      </c>
      <c r="N1133" t="s">
        <v>32</v>
      </c>
      <c r="O1133" t="s">
        <v>33</v>
      </c>
      <c r="P1133" t="s">
        <v>34</v>
      </c>
      <c r="Q1133">
        <v>4</v>
      </c>
      <c r="R1133">
        <f>IF(ventas_libreria[[#This Row],[valoracion_cliente]]="","Sin valoración",ventas_libreria[[#This Row],[valoracion_cliente]])</f>
        <v>4</v>
      </c>
    </row>
    <row r="1134" spans="1:18" x14ac:dyDescent="0.25">
      <c r="A1134" t="s">
        <v>1410</v>
      </c>
      <c r="B1134" t="s">
        <v>204</v>
      </c>
      <c r="C1134" t="s">
        <v>205</v>
      </c>
      <c r="D1134" t="s">
        <v>206</v>
      </c>
      <c r="E1134" t="s">
        <v>116</v>
      </c>
      <c r="F1134">
        <f>ventas_libreria[[#This Row],[precio_eur]]/100</f>
        <v>14.19</v>
      </c>
      <c r="G1134">
        <v>1419</v>
      </c>
      <c r="H1134">
        <v>1</v>
      </c>
      <c r="I1134">
        <f>ventas_libreria[[#This Row],[precio]]*ventas_libreria[[#This Row],[cantidad]]</f>
        <v>14.19</v>
      </c>
      <c r="J1134">
        <v>39</v>
      </c>
      <c r="K1134" t="s">
        <v>30</v>
      </c>
      <c r="L1134" s="1">
        <v>45836</v>
      </c>
      <c r="M1134" t="s">
        <v>43</v>
      </c>
      <c r="N1134" t="s">
        <v>32</v>
      </c>
      <c r="O1134" t="s">
        <v>33</v>
      </c>
      <c r="P1134" t="s">
        <v>84</v>
      </c>
      <c r="Q1134">
        <v>4</v>
      </c>
      <c r="R1134">
        <f>IF(ventas_libreria[[#This Row],[valoracion_cliente]]="","Sin valoración",ventas_libreria[[#This Row],[valoracion_cliente]])</f>
        <v>4</v>
      </c>
    </row>
    <row r="1135" spans="1:18" x14ac:dyDescent="0.25">
      <c r="A1135" t="s">
        <v>1411</v>
      </c>
      <c r="B1135" t="s">
        <v>424</v>
      </c>
      <c r="C1135" t="s">
        <v>425</v>
      </c>
      <c r="D1135" t="s">
        <v>426</v>
      </c>
      <c r="E1135" t="s">
        <v>55</v>
      </c>
      <c r="F1135">
        <f>ventas_libreria[[#This Row],[precio_eur]]/100</f>
        <v>20.79</v>
      </c>
      <c r="G1135">
        <v>2079</v>
      </c>
      <c r="H1135">
        <v>1</v>
      </c>
      <c r="I1135">
        <f>ventas_libreria[[#This Row],[precio]]*ventas_libreria[[#This Row],[cantidad]]</f>
        <v>20.79</v>
      </c>
      <c r="J1135">
        <v>57</v>
      </c>
      <c r="K1135" t="s">
        <v>62</v>
      </c>
      <c r="L1135" s="1">
        <v>45221</v>
      </c>
      <c r="M1135" t="s">
        <v>21</v>
      </c>
      <c r="N1135" t="s">
        <v>32</v>
      </c>
      <c r="O1135" t="s">
        <v>33</v>
      </c>
      <c r="P1135" t="s">
        <v>34</v>
      </c>
      <c r="Q1135">
        <v>5</v>
      </c>
      <c r="R1135">
        <f>IF(ventas_libreria[[#This Row],[valoracion_cliente]]="","Sin valoración",ventas_libreria[[#This Row],[valoracion_cliente]])</f>
        <v>5</v>
      </c>
    </row>
    <row r="1136" spans="1:18" x14ac:dyDescent="0.25">
      <c r="A1136" t="s">
        <v>1412</v>
      </c>
      <c r="B1136" t="s">
        <v>671</v>
      </c>
      <c r="C1136" t="s">
        <v>672</v>
      </c>
      <c r="D1136" t="s">
        <v>673</v>
      </c>
      <c r="E1136" t="s">
        <v>116</v>
      </c>
      <c r="F1136">
        <f>ventas_libreria[[#This Row],[precio_eur]]/100</f>
        <v>13.55</v>
      </c>
      <c r="G1136">
        <v>1355</v>
      </c>
      <c r="H1136">
        <v>1</v>
      </c>
      <c r="I1136">
        <f>ventas_libreria[[#This Row],[precio]]*ventas_libreria[[#This Row],[cantidad]]</f>
        <v>13.55</v>
      </c>
      <c r="J1136">
        <v>32</v>
      </c>
      <c r="K1136" t="s">
        <v>20</v>
      </c>
      <c r="L1136" s="1">
        <v>44938</v>
      </c>
      <c r="M1136" t="s">
        <v>43</v>
      </c>
      <c r="N1136" t="s">
        <v>32</v>
      </c>
      <c r="O1136" t="s">
        <v>33</v>
      </c>
      <c r="P1136" t="s">
        <v>84</v>
      </c>
      <c r="Q1136">
        <v>5</v>
      </c>
      <c r="R1136">
        <f>IF(ventas_libreria[[#This Row],[valoracion_cliente]]="","Sin valoración",ventas_libreria[[#This Row],[valoracion_cliente]])</f>
        <v>5</v>
      </c>
    </row>
    <row r="1137" spans="1:18" x14ac:dyDescent="0.25">
      <c r="A1137" t="s">
        <v>1413</v>
      </c>
      <c r="B1137" t="s">
        <v>160</v>
      </c>
      <c r="C1137" t="s">
        <v>161</v>
      </c>
      <c r="D1137" t="s">
        <v>162</v>
      </c>
      <c r="E1137" t="s">
        <v>29</v>
      </c>
      <c r="F1137">
        <f>ventas_libreria[[#This Row],[precio_eur]]/100</f>
        <v>17.75</v>
      </c>
      <c r="G1137">
        <v>1775</v>
      </c>
      <c r="H1137">
        <v>1</v>
      </c>
      <c r="I1137">
        <f>ventas_libreria[[#This Row],[precio]]*ventas_libreria[[#This Row],[cantidad]]</f>
        <v>17.75</v>
      </c>
      <c r="J1137">
        <v>41</v>
      </c>
      <c r="K1137" t="s">
        <v>38</v>
      </c>
      <c r="L1137" s="1">
        <v>45768</v>
      </c>
      <c r="M1137" t="s">
        <v>21</v>
      </c>
      <c r="N1137" t="s">
        <v>22</v>
      </c>
      <c r="O1137" t="s">
        <v>98</v>
      </c>
      <c r="P1137" t="s">
        <v>24</v>
      </c>
      <c r="Q1137">
        <v>4</v>
      </c>
      <c r="R1137">
        <f>IF(ventas_libreria[[#This Row],[valoracion_cliente]]="","Sin valoración",ventas_libreria[[#This Row],[valoracion_cliente]])</f>
        <v>4</v>
      </c>
    </row>
    <row r="1138" spans="1:18" x14ac:dyDescent="0.25">
      <c r="A1138" t="s">
        <v>1414</v>
      </c>
      <c r="B1138" t="s">
        <v>318</v>
      </c>
      <c r="C1138" t="s">
        <v>319</v>
      </c>
      <c r="D1138" t="s">
        <v>167</v>
      </c>
      <c r="E1138" t="s">
        <v>61</v>
      </c>
      <c r="F1138">
        <f>ventas_libreria[[#This Row],[precio_eur]]/100</f>
        <v>17.010000000000002</v>
      </c>
      <c r="G1138">
        <v>1701</v>
      </c>
      <c r="H1138">
        <v>1</v>
      </c>
      <c r="I1138">
        <f>ventas_libreria[[#This Row],[precio]]*ventas_libreria[[#This Row],[cantidad]]</f>
        <v>17.010000000000002</v>
      </c>
      <c r="J1138">
        <v>27</v>
      </c>
      <c r="K1138" t="s">
        <v>38</v>
      </c>
      <c r="L1138" s="1">
        <v>45554</v>
      </c>
      <c r="M1138" t="s">
        <v>43</v>
      </c>
      <c r="N1138" t="s">
        <v>32</v>
      </c>
      <c r="O1138" t="s">
        <v>33</v>
      </c>
      <c r="P1138" t="s">
        <v>34</v>
      </c>
      <c r="Q1138">
        <v>5</v>
      </c>
      <c r="R1138">
        <f>IF(ventas_libreria[[#This Row],[valoracion_cliente]]="","Sin valoración",ventas_libreria[[#This Row],[valoracion_cliente]])</f>
        <v>5</v>
      </c>
    </row>
    <row r="1139" spans="1:18" x14ac:dyDescent="0.25">
      <c r="A1139" t="s">
        <v>1415</v>
      </c>
      <c r="B1139" t="s">
        <v>220</v>
      </c>
      <c r="C1139" t="s">
        <v>221</v>
      </c>
      <c r="D1139" t="s">
        <v>222</v>
      </c>
      <c r="E1139" t="s">
        <v>116</v>
      </c>
      <c r="F1139">
        <f>ventas_libreria[[#This Row],[precio_eur]]/100</f>
        <v>10.32</v>
      </c>
      <c r="G1139">
        <v>1032</v>
      </c>
      <c r="H1139">
        <v>1</v>
      </c>
      <c r="I1139">
        <f>ventas_libreria[[#This Row],[precio]]*ventas_libreria[[#This Row],[cantidad]]</f>
        <v>10.32</v>
      </c>
      <c r="J1139">
        <v>23</v>
      </c>
      <c r="K1139" t="s">
        <v>62</v>
      </c>
      <c r="L1139" s="1">
        <v>45980</v>
      </c>
      <c r="M1139" t="s">
        <v>43</v>
      </c>
      <c r="N1139" t="s">
        <v>32</v>
      </c>
      <c r="O1139" t="s">
        <v>33</v>
      </c>
      <c r="P1139" t="s">
        <v>84</v>
      </c>
      <c r="Q1139">
        <v>2</v>
      </c>
      <c r="R1139">
        <f>IF(ventas_libreria[[#This Row],[valoracion_cliente]]="","Sin valoración",ventas_libreria[[#This Row],[valoracion_cliente]])</f>
        <v>2</v>
      </c>
    </row>
    <row r="1140" spans="1:18" x14ac:dyDescent="0.25">
      <c r="A1140" t="s">
        <v>1416</v>
      </c>
      <c r="B1140" t="s">
        <v>228</v>
      </c>
      <c r="C1140" t="s">
        <v>229</v>
      </c>
      <c r="D1140" t="s">
        <v>206</v>
      </c>
      <c r="E1140" t="s">
        <v>116</v>
      </c>
      <c r="F1140">
        <f>ventas_libreria[[#This Row],[precio_eur]]/100</f>
        <v>1.89</v>
      </c>
      <c r="G1140">
        <v>189</v>
      </c>
      <c r="H1140">
        <v>1</v>
      </c>
      <c r="I1140">
        <f>ventas_libreria[[#This Row],[precio]]*ventas_libreria[[#This Row],[cantidad]]</f>
        <v>1.89</v>
      </c>
      <c r="J1140">
        <v>51</v>
      </c>
      <c r="K1140" t="s">
        <v>30</v>
      </c>
      <c r="L1140" s="1">
        <v>45043</v>
      </c>
      <c r="M1140" t="s">
        <v>21</v>
      </c>
      <c r="N1140" t="s">
        <v>32</v>
      </c>
      <c r="O1140" t="s">
        <v>33</v>
      </c>
      <c r="P1140" t="s">
        <v>84</v>
      </c>
      <c r="Q1140">
        <v>5</v>
      </c>
      <c r="R1140">
        <f>IF(ventas_libreria[[#This Row],[valoracion_cliente]]="","Sin valoración",ventas_libreria[[#This Row],[valoracion_cliente]])</f>
        <v>5</v>
      </c>
    </row>
    <row r="1141" spans="1:18" x14ac:dyDescent="0.25">
      <c r="A1141" t="s">
        <v>1417</v>
      </c>
      <c r="B1141" t="s">
        <v>26</v>
      </c>
      <c r="C1141" t="s">
        <v>27</v>
      </c>
      <c r="D1141" t="s">
        <v>28</v>
      </c>
      <c r="E1141" t="s">
        <v>29</v>
      </c>
      <c r="F1141">
        <f>ventas_libreria[[#This Row],[precio_eur]]/100</f>
        <v>20.79</v>
      </c>
      <c r="G1141">
        <v>2079</v>
      </c>
      <c r="H1141">
        <v>2</v>
      </c>
      <c r="I1141">
        <f>ventas_libreria[[#This Row],[precio]]*ventas_libreria[[#This Row],[cantidad]]</f>
        <v>41.58</v>
      </c>
      <c r="J1141">
        <v>24</v>
      </c>
      <c r="K1141" t="s">
        <v>20</v>
      </c>
      <c r="L1141" s="1">
        <v>45243</v>
      </c>
      <c r="M1141" t="s">
        <v>31</v>
      </c>
      <c r="N1141" t="s">
        <v>32</v>
      </c>
      <c r="O1141" t="s">
        <v>33</v>
      </c>
      <c r="P1141" t="s">
        <v>24</v>
      </c>
      <c r="Q1141">
        <v>5</v>
      </c>
      <c r="R1141">
        <f>IF(ventas_libreria[[#This Row],[valoracion_cliente]]="","Sin valoración",ventas_libreria[[#This Row],[valoracion_cliente]])</f>
        <v>5</v>
      </c>
    </row>
    <row r="1142" spans="1:18" x14ac:dyDescent="0.25">
      <c r="A1142" t="s">
        <v>1418</v>
      </c>
      <c r="B1142" t="s">
        <v>353</v>
      </c>
      <c r="C1142" t="s">
        <v>354</v>
      </c>
      <c r="D1142" t="s">
        <v>226</v>
      </c>
      <c r="E1142" t="s">
        <v>116</v>
      </c>
      <c r="F1142">
        <f>ventas_libreria[[#This Row],[precio_eur]]/100</f>
        <v>15.21</v>
      </c>
      <c r="G1142">
        <v>1521</v>
      </c>
      <c r="H1142">
        <v>1</v>
      </c>
      <c r="I1142">
        <f>ventas_libreria[[#This Row],[precio]]*ventas_libreria[[#This Row],[cantidad]]</f>
        <v>15.21</v>
      </c>
      <c r="J1142">
        <v>17</v>
      </c>
      <c r="K1142" t="s">
        <v>20</v>
      </c>
      <c r="L1142" s="1">
        <v>45084</v>
      </c>
      <c r="M1142" t="s">
        <v>21</v>
      </c>
      <c r="N1142" t="s">
        <v>32</v>
      </c>
      <c r="O1142" t="s">
        <v>33</v>
      </c>
      <c r="P1142" t="s">
        <v>56</v>
      </c>
      <c r="Q1142">
        <v>5</v>
      </c>
      <c r="R1142">
        <f>IF(ventas_libreria[[#This Row],[valoracion_cliente]]="","Sin valoración",ventas_libreria[[#This Row],[valoracion_cliente]])</f>
        <v>5</v>
      </c>
    </row>
    <row r="1143" spans="1:18" x14ac:dyDescent="0.25">
      <c r="A1143" t="s">
        <v>1419</v>
      </c>
      <c r="B1143" t="s">
        <v>338</v>
      </c>
      <c r="C1143" t="s">
        <v>339</v>
      </c>
      <c r="D1143" t="s">
        <v>167</v>
      </c>
      <c r="E1143" t="s">
        <v>61</v>
      </c>
      <c r="F1143">
        <f>ventas_libreria[[#This Row],[precio_eur]]/100</f>
        <v>2.29</v>
      </c>
      <c r="G1143">
        <v>229</v>
      </c>
      <c r="H1143">
        <v>1</v>
      </c>
      <c r="I1143">
        <f>ventas_libreria[[#This Row],[precio]]*ventas_libreria[[#This Row],[cantidad]]</f>
        <v>2.29</v>
      </c>
      <c r="J1143">
        <v>56</v>
      </c>
      <c r="K1143" t="s">
        <v>62</v>
      </c>
      <c r="L1143" s="1">
        <v>45691</v>
      </c>
      <c r="M1143" t="s">
        <v>21</v>
      </c>
      <c r="N1143" t="s">
        <v>32</v>
      </c>
      <c r="O1143" t="s">
        <v>33</v>
      </c>
      <c r="P1143" t="s">
        <v>24</v>
      </c>
      <c r="Q1143">
        <v>5</v>
      </c>
      <c r="R1143">
        <f>IF(ventas_libreria[[#This Row],[valoracion_cliente]]="","Sin valoración",ventas_libreria[[#This Row],[valoracion_cliente]])</f>
        <v>5</v>
      </c>
    </row>
    <row r="1144" spans="1:18" x14ac:dyDescent="0.25">
      <c r="A1144" t="s">
        <v>1420</v>
      </c>
      <c r="B1144" t="s">
        <v>384</v>
      </c>
      <c r="C1144" t="s">
        <v>385</v>
      </c>
      <c r="D1144" t="s">
        <v>158</v>
      </c>
      <c r="E1144" t="s">
        <v>149</v>
      </c>
      <c r="F1144">
        <f>ventas_libreria[[#This Row],[precio_eur]]/100</f>
        <v>2.2999999999999998</v>
      </c>
      <c r="G1144">
        <v>230</v>
      </c>
      <c r="H1144">
        <v>2</v>
      </c>
      <c r="I1144">
        <f>ventas_libreria[[#This Row],[precio]]*ventas_libreria[[#This Row],[cantidad]]</f>
        <v>4.5999999999999996</v>
      </c>
      <c r="J1144">
        <v>65</v>
      </c>
      <c r="K1144" t="s">
        <v>20</v>
      </c>
      <c r="L1144" s="1">
        <v>45544</v>
      </c>
      <c r="M1144" t="s">
        <v>21</v>
      </c>
      <c r="N1144" t="s">
        <v>32</v>
      </c>
      <c r="O1144" t="s">
        <v>33</v>
      </c>
      <c r="P1144" t="s">
        <v>50</v>
      </c>
      <c r="Q1144">
        <v>5</v>
      </c>
      <c r="R1144">
        <f>IF(ventas_libreria[[#This Row],[valoracion_cliente]]="","Sin valoración",ventas_libreria[[#This Row],[valoracion_cliente]])</f>
        <v>5</v>
      </c>
    </row>
    <row r="1145" spans="1:18" x14ac:dyDescent="0.25">
      <c r="A1145" t="s">
        <v>1421</v>
      </c>
      <c r="B1145" t="s">
        <v>169</v>
      </c>
      <c r="C1145" t="s">
        <v>170</v>
      </c>
      <c r="D1145" t="s">
        <v>171</v>
      </c>
      <c r="E1145" t="s">
        <v>172</v>
      </c>
      <c r="F1145">
        <f>ventas_libreria[[#This Row],[precio_eur]]/100</f>
        <v>2.29</v>
      </c>
      <c r="G1145">
        <v>229</v>
      </c>
      <c r="H1145">
        <v>2</v>
      </c>
      <c r="I1145">
        <f>ventas_libreria[[#This Row],[precio]]*ventas_libreria[[#This Row],[cantidad]]</f>
        <v>4.58</v>
      </c>
      <c r="J1145">
        <v>19</v>
      </c>
      <c r="K1145" t="s">
        <v>30</v>
      </c>
      <c r="L1145" s="1">
        <v>45715</v>
      </c>
      <c r="M1145" t="s">
        <v>21</v>
      </c>
      <c r="N1145" t="s">
        <v>22</v>
      </c>
      <c r="O1145" t="s">
        <v>23</v>
      </c>
      <c r="P1145" t="s">
        <v>50</v>
      </c>
      <c r="Q1145">
        <v>5</v>
      </c>
      <c r="R1145">
        <f>IF(ventas_libreria[[#This Row],[valoracion_cliente]]="","Sin valoración",ventas_libreria[[#This Row],[valoracion_cliente]])</f>
        <v>5</v>
      </c>
    </row>
    <row r="1146" spans="1:18" x14ac:dyDescent="0.25">
      <c r="A1146" t="s">
        <v>1422</v>
      </c>
      <c r="B1146" t="s">
        <v>118</v>
      </c>
      <c r="C1146" t="s">
        <v>119</v>
      </c>
      <c r="D1146" t="s">
        <v>47</v>
      </c>
      <c r="E1146" t="s">
        <v>48</v>
      </c>
      <c r="F1146">
        <f>ventas_libreria[[#This Row],[precio_eur]]/100</f>
        <v>13.52</v>
      </c>
      <c r="G1146">
        <v>1352</v>
      </c>
      <c r="H1146">
        <v>1</v>
      </c>
      <c r="I1146">
        <f>ventas_libreria[[#This Row],[precio]]*ventas_libreria[[#This Row],[cantidad]]</f>
        <v>13.52</v>
      </c>
      <c r="J1146">
        <v>65</v>
      </c>
      <c r="K1146" t="s">
        <v>30</v>
      </c>
      <c r="L1146" s="1">
        <v>45597</v>
      </c>
      <c r="M1146" t="s">
        <v>21</v>
      </c>
      <c r="N1146" t="s">
        <v>32</v>
      </c>
      <c r="O1146" t="s">
        <v>33</v>
      </c>
      <c r="P1146" t="s">
        <v>34</v>
      </c>
      <c r="Q1146">
        <v>5</v>
      </c>
      <c r="R1146">
        <f>IF(ventas_libreria[[#This Row],[valoracion_cliente]]="","Sin valoración",ventas_libreria[[#This Row],[valoracion_cliente]])</f>
        <v>5</v>
      </c>
    </row>
    <row r="1147" spans="1:18" x14ac:dyDescent="0.25">
      <c r="A1147" t="s">
        <v>1423</v>
      </c>
      <c r="B1147" t="s">
        <v>40</v>
      </c>
      <c r="C1147" t="s">
        <v>41</v>
      </c>
      <c r="D1147" t="s">
        <v>42</v>
      </c>
      <c r="E1147" t="s">
        <v>19</v>
      </c>
      <c r="F1147">
        <f>ventas_libreria[[#This Row],[precio_eur]]/100</f>
        <v>13.55</v>
      </c>
      <c r="G1147">
        <v>1355</v>
      </c>
      <c r="H1147">
        <v>1</v>
      </c>
      <c r="I1147">
        <f>ventas_libreria[[#This Row],[precio]]*ventas_libreria[[#This Row],[cantidad]]</f>
        <v>13.55</v>
      </c>
      <c r="J1147">
        <v>61</v>
      </c>
      <c r="K1147" t="s">
        <v>20</v>
      </c>
      <c r="L1147" s="1">
        <v>45082</v>
      </c>
      <c r="M1147" t="s">
        <v>31</v>
      </c>
      <c r="N1147" t="s">
        <v>22</v>
      </c>
      <c r="O1147" t="s">
        <v>49</v>
      </c>
      <c r="P1147" t="s">
        <v>24</v>
      </c>
      <c r="Q1147">
        <v>4</v>
      </c>
      <c r="R1147">
        <f>IF(ventas_libreria[[#This Row],[valoracion_cliente]]="","Sin valoración",ventas_libreria[[#This Row],[valoracion_cliente]])</f>
        <v>4</v>
      </c>
    </row>
    <row r="1148" spans="1:18" x14ac:dyDescent="0.25">
      <c r="A1148" t="s">
        <v>1424</v>
      </c>
      <c r="B1148" t="s">
        <v>69</v>
      </c>
      <c r="C1148" t="s">
        <v>70</v>
      </c>
      <c r="D1148" t="s">
        <v>71</v>
      </c>
      <c r="E1148" t="s">
        <v>72</v>
      </c>
      <c r="F1148">
        <f>ventas_libreria[[#This Row],[precio_eur]]/100</f>
        <v>15.21</v>
      </c>
      <c r="G1148">
        <v>1521</v>
      </c>
      <c r="H1148">
        <v>2</v>
      </c>
      <c r="I1148">
        <f>ventas_libreria[[#This Row],[precio]]*ventas_libreria[[#This Row],[cantidad]]</f>
        <v>30.42</v>
      </c>
      <c r="J1148">
        <v>27</v>
      </c>
      <c r="K1148" t="s">
        <v>38</v>
      </c>
      <c r="L1148" s="1">
        <v>46022</v>
      </c>
      <c r="M1148" t="s">
        <v>21</v>
      </c>
      <c r="N1148" t="s">
        <v>22</v>
      </c>
      <c r="O1148" t="s">
        <v>132</v>
      </c>
      <c r="P1148" t="s">
        <v>50</v>
      </c>
      <c r="Q1148">
        <v>4</v>
      </c>
      <c r="R1148">
        <f>IF(ventas_libreria[[#This Row],[valoracion_cliente]]="","Sin valoración",ventas_libreria[[#This Row],[valoracion_cliente]])</f>
        <v>4</v>
      </c>
    </row>
    <row r="1149" spans="1:18" x14ac:dyDescent="0.25">
      <c r="A1149" t="s">
        <v>1425</v>
      </c>
      <c r="B1149" t="s">
        <v>69</v>
      </c>
      <c r="C1149" t="s">
        <v>70</v>
      </c>
      <c r="D1149" t="s">
        <v>71</v>
      </c>
      <c r="E1149" t="s">
        <v>72</v>
      </c>
      <c r="F1149">
        <f>ventas_libreria[[#This Row],[precio_eur]]/100</f>
        <v>18.59</v>
      </c>
      <c r="G1149">
        <v>1859</v>
      </c>
      <c r="H1149">
        <v>2</v>
      </c>
      <c r="I1149">
        <f>ventas_libreria[[#This Row],[precio]]*ventas_libreria[[#This Row],[cantidad]]</f>
        <v>37.18</v>
      </c>
      <c r="J1149">
        <v>35</v>
      </c>
      <c r="K1149" t="s">
        <v>20</v>
      </c>
      <c r="L1149" s="1">
        <v>45695</v>
      </c>
      <c r="M1149" t="s">
        <v>43</v>
      </c>
      <c r="N1149" t="s">
        <v>32</v>
      </c>
      <c r="O1149" t="s">
        <v>33</v>
      </c>
      <c r="P1149" t="s">
        <v>24</v>
      </c>
      <c r="Q1149">
        <v>5</v>
      </c>
      <c r="R1149">
        <f>IF(ventas_libreria[[#This Row],[valoracion_cliente]]="","Sin valoración",ventas_libreria[[#This Row],[valoracion_cliente]])</f>
        <v>5</v>
      </c>
    </row>
    <row r="1150" spans="1:18" x14ac:dyDescent="0.25">
      <c r="A1150" t="s">
        <v>1426</v>
      </c>
      <c r="B1150" t="s">
        <v>16</v>
      </c>
      <c r="C1150" t="s">
        <v>17</v>
      </c>
      <c r="D1150" t="s">
        <v>18</v>
      </c>
      <c r="E1150" t="s">
        <v>19</v>
      </c>
      <c r="F1150">
        <f>ventas_libreria[[#This Row],[precio_eur]]/100</f>
        <v>1.49</v>
      </c>
      <c r="G1150">
        <v>149</v>
      </c>
      <c r="H1150">
        <v>2</v>
      </c>
      <c r="I1150">
        <f>ventas_libreria[[#This Row],[precio]]*ventas_libreria[[#This Row],[cantidad]]</f>
        <v>2.98</v>
      </c>
      <c r="J1150">
        <v>48</v>
      </c>
      <c r="K1150" t="s">
        <v>20</v>
      </c>
      <c r="L1150" s="1">
        <v>45061</v>
      </c>
      <c r="M1150" t="s">
        <v>31</v>
      </c>
      <c r="N1150" t="s">
        <v>32</v>
      </c>
      <c r="O1150" t="s">
        <v>33</v>
      </c>
      <c r="P1150" t="s">
        <v>56</v>
      </c>
      <c r="Q1150">
        <v>5</v>
      </c>
      <c r="R1150">
        <f>IF(ventas_libreria[[#This Row],[valoracion_cliente]]="","Sin valoración",ventas_libreria[[#This Row],[valoracion_cliente]])</f>
        <v>5</v>
      </c>
    </row>
    <row r="1151" spans="1:18" x14ac:dyDescent="0.25">
      <c r="A1151" t="s">
        <v>1427</v>
      </c>
      <c r="B1151" t="s">
        <v>176</v>
      </c>
      <c r="C1151" t="s">
        <v>177</v>
      </c>
      <c r="D1151" t="s">
        <v>178</v>
      </c>
      <c r="E1151" t="s">
        <v>179</v>
      </c>
      <c r="F1151">
        <f>ventas_libreria[[#This Row],[precio_eur]]/100</f>
        <v>1.67</v>
      </c>
      <c r="G1151">
        <v>167</v>
      </c>
      <c r="H1151">
        <v>1</v>
      </c>
      <c r="I1151">
        <f>ventas_libreria[[#This Row],[precio]]*ventas_libreria[[#This Row],[cantidad]]</f>
        <v>1.67</v>
      </c>
      <c r="J1151">
        <v>18</v>
      </c>
      <c r="K1151" t="s">
        <v>38</v>
      </c>
      <c r="L1151" s="1">
        <v>44955</v>
      </c>
      <c r="M1151" t="s">
        <v>31</v>
      </c>
      <c r="N1151" t="s">
        <v>32</v>
      </c>
      <c r="O1151" t="s">
        <v>33</v>
      </c>
      <c r="P1151" t="s">
        <v>24</v>
      </c>
      <c r="Q1151">
        <v>5</v>
      </c>
      <c r="R1151">
        <f>IF(ventas_libreria[[#This Row],[valoracion_cliente]]="","Sin valoración",ventas_libreria[[#This Row],[valoracion_cliente]])</f>
        <v>5</v>
      </c>
    </row>
    <row r="1152" spans="1:18" x14ac:dyDescent="0.25">
      <c r="A1152" t="s">
        <v>1428</v>
      </c>
      <c r="B1152" t="s">
        <v>291</v>
      </c>
      <c r="C1152" t="s">
        <v>292</v>
      </c>
      <c r="D1152" t="s">
        <v>76</v>
      </c>
      <c r="E1152" t="s">
        <v>77</v>
      </c>
      <c r="F1152">
        <f>ventas_libreria[[#This Row],[precio_eur]]/100</f>
        <v>1.04</v>
      </c>
      <c r="G1152">
        <v>104</v>
      </c>
      <c r="H1152">
        <v>1</v>
      </c>
      <c r="I1152">
        <f>ventas_libreria[[#This Row],[precio]]*ventas_libreria[[#This Row],[cantidad]]</f>
        <v>1.04</v>
      </c>
      <c r="J1152">
        <v>9</v>
      </c>
      <c r="K1152" t="s">
        <v>20</v>
      </c>
      <c r="L1152" s="1">
        <v>45926</v>
      </c>
      <c r="M1152" t="s">
        <v>21</v>
      </c>
      <c r="N1152" t="s">
        <v>32</v>
      </c>
      <c r="O1152" t="s">
        <v>33</v>
      </c>
      <c r="P1152" t="s">
        <v>50</v>
      </c>
      <c r="Q1152">
        <v>5</v>
      </c>
      <c r="R1152">
        <f>IF(ventas_libreria[[#This Row],[valoracion_cliente]]="","Sin valoración",ventas_libreria[[#This Row],[valoracion_cliente]])</f>
        <v>5</v>
      </c>
    </row>
    <row r="1153" spans="1:18" x14ac:dyDescent="0.25">
      <c r="A1153" t="s">
        <v>1429</v>
      </c>
      <c r="B1153" t="s">
        <v>58</v>
      </c>
      <c r="C1153" t="s">
        <v>59</v>
      </c>
      <c r="D1153" t="s">
        <v>60</v>
      </c>
      <c r="E1153" t="s">
        <v>61</v>
      </c>
      <c r="F1153">
        <f>ventas_libreria[[#This Row],[precio_eur]]/100</f>
        <v>13.55</v>
      </c>
      <c r="G1153">
        <v>1355</v>
      </c>
      <c r="H1153">
        <v>2</v>
      </c>
      <c r="I1153">
        <f>ventas_libreria[[#This Row],[precio]]*ventas_libreria[[#This Row],[cantidad]]</f>
        <v>27.1</v>
      </c>
      <c r="J1153">
        <v>69</v>
      </c>
      <c r="K1153" t="s">
        <v>62</v>
      </c>
      <c r="L1153" s="1">
        <v>45252</v>
      </c>
      <c r="M1153" t="s">
        <v>43</v>
      </c>
      <c r="N1153" t="s">
        <v>32</v>
      </c>
      <c r="O1153" t="s">
        <v>33</v>
      </c>
      <c r="P1153" t="s">
        <v>34</v>
      </c>
      <c r="Q1153">
        <v>5</v>
      </c>
      <c r="R1153">
        <f>IF(ventas_libreria[[#This Row],[valoracion_cliente]]="","Sin valoración",ventas_libreria[[#This Row],[valoracion_cliente]])</f>
        <v>5</v>
      </c>
    </row>
    <row r="1154" spans="1:18" x14ac:dyDescent="0.25">
      <c r="A1154" t="s">
        <v>1430</v>
      </c>
      <c r="B1154" t="s">
        <v>165</v>
      </c>
      <c r="C1154" t="s">
        <v>166</v>
      </c>
      <c r="D1154" t="s">
        <v>167</v>
      </c>
      <c r="E1154" t="s">
        <v>61</v>
      </c>
      <c r="F1154">
        <f>ventas_libreria[[#This Row],[precio_eur]]/100</f>
        <v>1.49</v>
      </c>
      <c r="G1154">
        <v>149</v>
      </c>
      <c r="H1154">
        <v>1</v>
      </c>
      <c r="I1154">
        <f>ventas_libreria[[#This Row],[precio]]*ventas_libreria[[#This Row],[cantidad]]</f>
        <v>1.49</v>
      </c>
      <c r="J1154">
        <v>45</v>
      </c>
      <c r="K1154" t="s">
        <v>20</v>
      </c>
      <c r="L1154" s="1">
        <v>45287</v>
      </c>
      <c r="M1154" t="s">
        <v>21</v>
      </c>
      <c r="N1154" t="s">
        <v>32</v>
      </c>
      <c r="O1154" t="s">
        <v>33</v>
      </c>
      <c r="P1154" t="s">
        <v>56</v>
      </c>
      <c r="Q1154">
        <v>1</v>
      </c>
      <c r="R1154">
        <f>IF(ventas_libreria[[#This Row],[valoracion_cliente]]="","Sin valoración",ventas_libreria[[#This Row],[valoracion_cliente]])</f>
        <v>1</v>
      </c>
    </row>
    <row r="1155" spans="1:18" x14ac:dyDescent="0.25">
      <c r="A1155" t="s">
        <v>1431</v>
      </c>
      <c r="B1155" t="s">
        <v>141</v>
      </c>
      <c r="C1155" t="s">
        <v>142</v>
      </c>
      <c r="D1155" t="s">
        <v>143</v>
      </c>
      <c r="E1155" t="s">
        <v>116</v>
      </c>
      <c r="F1155">
        <f>ventas_libreria[[#This Row],[precio_eur]]/100</f>
        <v>15.65</v>
      </c>
      <c r="G1155">
        <v>1565</v>
      </c>
      <c r="H1155">
        <v>1</v>
      </c>
      <c r="I1155">
        <f>ventas_libreria[[#This Row],[precio]]*ventas_libreria[[#This Row],[cantidad]]</f>
        <v>15.65</v>
      </c>
      <c r="J1155">
        <v>30</v>
      </c>
      <c r="K1155" t="s">
        <v>62</v>
      </c>
      <c r="L1155" s="1">
        <v>45016</v>
      </c>
      <c r="M1155" t="s">
        <v>31</v>
      </c>
      <c r="N1155" t="s">
        <v>32</v>
      </c>
      <c r="O1155" t="s">
        <v>33</v>
      </c>
      <c r="P1155" t="s">
        <v>50</v>
      </c>
      <c r="Q1155">
        <v>5</v>
      </c>
      <c r="R1155">
        <f>IF(ventas_libreria[[#This Row],[valoracion_cliente]]="","Sin valoración",ventas_libreria[[#This Row],[valoracion_cliente]])</f>
        <v>5</v>
      </c>
    </row>
    <row r="1156" spans="1:18" x14ac:dyDescent="0.25">
      <c r="A1156" t="s">
        <v>1432</v>
      </c>
      <c r="B1156" t="s">
        <v>365</v>
      </c>
      <c r="C1156" t="s">
        <v>366</v>
      </c>
      <c r="D1156" t="s">
        <v>367</v>
      </c>
      <c r="E1156" t="s">
        <v>19</v>
      </c>
      <c r="F1156">
        <f>ventas_libreria[[#This Row],[precio_eur]]/100</f>
        <v>19.84</v>
      </c>
      <c r="G1156">
        <v>1984</v>
      </c>
      <c r="H1156">
        <v>1</v>
      </c>
      <c r="I1156">
        <f>ventas_libreria[[#This Row],[precio]]*ventas_libreria[[#This Row],[cantidad]]</f>
        <v>19.84</v>
      </c>
      <c r="J1156">
        <v>22</v>
      </c>
      <c r="K1156" t="s">
        <v>30</v>
      </c>
      <c r="L1156" s="1">
        <v>45343</v>
      </c>
      <c r="M1156" t="s">
        <v>21</v>
      </c>
      <c r="N1156" t="s">
        <v>22</v>
      </c>
      <c r="O1156" t="s">
        <v>67</v>
      </c>
      <c r="P1156" t="s">
        <v>50</v>
      </c>
      <c r="Q1156">
        <v>5</v>
      </c>
      <c r="R1156">
        <f>IF(ventas_libreria[[#This Row],[valoracion_cliente]]="","Sin valoración",ventas_libreria[[#This Row],[valoracion_cliente]])</f>
        <v>5</v>
      </c>
    </row>
    <row r="1157" spans="1:18" x14ac:dyDescent="0.25">
      <c r="A1157" t="s">
        <v>1433</v>
      </c>
      <c r="B1157" t="s">
        <v>86</v>
      </c>
      <c r="C1157" t="s">
        <v>87</v>
      </c>
      <c r="D1157" t="s">
        <v>88</v>
      </c>
      <c r="E1157" t="s">
        <v>77</v>
      </c>
      <c r="F1157">
        <f>ventas_libreria[[#This Row],[precio_eur]]/100</f>
        <v>1.25</v>
      </c>
      <c r="G1157">
        <v>125</v>
      </c>
      <c r="H1157">
        <v>1</v>
      </c>
      <c r="I1157">
        <f>ventas_libreria[[#This Row],[precio]]*ventas_libreria[[#This Row],[cantidad]]</f>
        <v>1.25</v>
      </c>
      <c r="J1157">
        <v>9</v>
      </c>
      <c r="K1157" t="s">
        <v>38</v>
      </c>
      <c r="L1157" s="1">
        <v>45476</v>
      </c>
      <c r="M1157" t="s">
        <v>31</v>
      </c>
      <c r="N1157" t="s">
        <v>32</v>
      </c>
      <c r="O1157" t="s">
        <v>33</v>
      </c>
      <c r="P1157" t="s">
        <v>24</v>
      </c>
      <c r="Q1157">
        <v>4</v>
      </c>
      <c r="R1157">
        <f>IF(ventas_libreria[[#This Row],[valoracion_cliente]]="","Sin valoración",ventas_libreria[[#This Row],[valoracion_cliente]])</f>
        <v>4</v>
      </c>
    </row>
    <row r="1158" spans="1:18" x14ac:dyDescent="0.25">
      <c r="A1158" t="s">
        <v>1434</v>
      </c>
      <c r="B1158" t="s">
        <v>151</v>
      </c>
      <c r="C1158" t="s">
        <v>152</v>
      </c>
      <c r="D1158" t="s">
        <v>153</v>
      </c>
      <c r="E1158" t="s">
        <v>154</v>
      </c>
      <c r="F1158">
        <f>ventas_libreria[[#This Row],[precio_eur]]/100</f>
        <v>1.69</v>
      </c>
      <c r="G1158">
        <v>169</v>
      </c>
      <c r="H1158">
        <v>2</v>
      </c>
      <c r="I1158">
        <f>ventas_libreria[[#This Row],[precio]]*ventas_libreria[[#This Row],[cantidad]]</f>
        <v>3.38</v>
      </c>
      <c r="J1158">
        <v>68</v>
      </c>
      <c r="K1158" t="s">
        <v>20</v>
      </c>
      <c r="L1158" s="1">
        <v>45211</v>
      </c>
      <c r="M1158" t="s">
        <v>43</v>
      </c>
      <c r="N1158" t="s">
        <v>32</v>
      </c>
      <c r="O1158" t="s">
        <v>33</v>
      </c>
      <c r="P1158" t="s">
        <v>50</v>
      </c>
      <c r="Q1158">
        <v>5</v>
      </c>
      <c r="R1158">
        <f>IF(ventas_libreria[[#This Row],[valoracion_cliente]]="","Sin valoración",ventas_libreria[[#This Row],[valoracion_cliente]])</f>
        <v>5</v>
      </c>
    </row>
    <row r="1159" spans="1:18" x14ac:dyDescent="0.25">
      <c r="A1159" t="s">
        <v>1435</v>
      </c>
      <c r="B1159" t="s">
        <v>125</v>
      </c>
      <c r="C1159" t="s">
        <v>126</v>
      </c>
      <c r="D1159" t="s">
        <v>127</v>
      </c>
      <c r="E1159" t="s">
        <v>29</v>
      </c>
      <c r="F1159">
        <f>ventas_libreria[[#This Row],[precio_eur]]/100</f>
        <v>14.32</v>
      </c>
      <c r="G1159">
        <v>1432</v>
      </c>
      <c r="H1159">
        <v>2</v>
      </c>
      <c r="I1159">
        <f>ventas_libreria[[#This Row],[precio]]*ventas_libreria[[#This Row],[cantidad]]</f>
        <v>28.64</v>
      </c>
      <c r="J1159">
        <v>65</v>
      </c>
      <c r="K1159" t="s">
        <v>20</v>
      </c>
      <c r="L1159" s="1">
        <v>45458</v>
      </c>
      <c r="M1159" t="s">
        <v>21</v>
      </c>
      <c r="N1159" t="s">
        <v>22</v>
      </c>
      <c r="O1159" t="s">
        <v>98</v>
      </c>
      <c r="P1159" t="s">
        <v>84</v>
      </c>
      <c r="Q1159">
        <v>4</v>
      </c>
      <c r="R1159">
        <f>IF(ventas_libreria[[#This Row],[valoracion_cliente]]="","Sin valoración",ventas_libreria[[#This Row],[valoracion_cliente]])</f>
        <v>4</v>
      </c>
    </row>
    <row r="1160" spans="1:18" x14ac:dyDescent="0.25">
      <c r="A1160" t="s">
        <v>1436</v>
      </c>
      <c r="B1160" t="s">
        <v>45</v>
      </c>
      <c r="C1160" t="s">
        <v>46</v>
      </c>
      <c r="D1160" t="s">
        <v>47</v>
      </c>
      <c r="E1160" t="s">
        <v>48</v>
      </c>
      <c r="F1160">
        <f>ventas_libreria[[#This Row],[precio_eur]]/100</f>
        <v>1.99</v>
      </c>
      <c r="G1160">
        <v>199</v>
      </c>
      <c r="H1160">
        <v>1</v>
      </c>
      <c r="I1160">
        <f>ventas_libreria[[#This Row],[precio]]*ventas_libreria[[#This Row],[cantidad]]</f>
        <v>1.99</v>
      </c>
      <c r="J1160">
        <v>52</v>
      </c>
      <c r="K1160" t="s">
        <v>20</v>
      </c>
      <c r="L1160" s="1">
        <v>45831</v>
      </c>
      <c r="M1160" t="s">
        <v>43</v>
      </c>
      <c r="N1160" t="s">
        <v>32</v>
      </c>
      <c r="O1160" t="s">
        <v>33</v>
      </c>
      <c r="P1160" t="s">
        <v>56</v>
      </c>
      <c r="Q1160">
        <v>5</v>
      </c>
      <c r="R1160">
        <f>IF(ventas_libreria[[#This Row],[valoracion_cliente]]="","Sin valoración",ventas_libreria[[#This Row],[valoracion_cliente]])</f>
        <v>5</v>
      </c>
    </row>
    <row r="1161" spans="1:18" x14ac:dyDescent="0.25">
      <c r="A1161" t="s">
        <v>1437</v>
      </c>
      <c r="B1161" t="s">
        <v>95</v>
      </c>
      <c r="C1161" t="s">
        <v>96</v>
      </c>
      <c r="D1161" t="s">
        <v>97</v>
      </c>
      <c r="E1161" t="s">
        <v>29</v>
      </c>
      <c r="F1161">
        <f>ventas_libreria[[#This Row],[precio_eur]]/100</f>
        <v>18.79</v>
      </c>
      <c r="G1161">
        <v>1879</v>
      </c>
      <c r="H1161">
        <v>1</v>
      </c>
      <c r="I1161">
        <f>ventas_libreria[[#This Row],[precio]]*ventas_libreria[[#This Row],[cantidad]]</f>
        <v>18.79</v>
      </c>
      <c r="J1161">
        <v>65</v>
      </c>
      <c r="K1161" t="s">
        <v>30</v>
      </c>
      <c r="L1161" s="1">
        <v>44987</v>
      </c>
      <c r="M1161" t="s">
        <v>31</v>
      </c>
      <c r="N1161" t="s">
        <v>22</v>
      </c>
      <c r="O1161" t="s">
        <v>132</v>
      </c>
      <c r="P1161" t="s">
        <v>50</v>
      </c>
      <c r="Q1161">
        <v>5</v>
      </c>
      <c r="R1161">
        <f>IF(ventas_libreria[[#This Row],[valoracion_cliente]]="","Sin valoración",ventas_libreria[[#This Row],[valoracion_cliente]])</f>
        <v>5</v>
      </c>
    </row>
    <row r="1162" spans="1:18" x14ac:dyDescent="0.25">
      <c r="A1162" t="s">
        <v>1438</v>
      </c>
      <c r="B1162" t="s">
        <v>406</v>
      </c>
      <c r="C1162" t="s">
        <v>407</v>
      </c>
      <c r="D1162" t="s">
        <v>88</v>
      </c>
      <c r="E1162" t="s">
        <v>77</v>
      </c>
      <c r="F1162">
        <f>ventas_libreria[[#This Row],[precio_eur]]/100</f>
        <v>1.19</v>
      </c>
      <c r="G1162">
        <v>119</v>
      </c>
      <c r="H1162">
        <v>1</v>
      </c>
      <c r="I1162">
        <f>ventas_libreria[[#This Row],[precio]]*ventas_libreria[[#This Row],[cantidad]]</f>
        <v>1.19</v>
      </c>
      <c r="J1162">
        <v>12</v>
      </c>
      <c r="K1162" t="s">
        <v>20</v>
      </c>
      <c r="L1162" s="1">
        <v>45369</v>
      </c>
      <c r="M1162" t="s">
        <v>31</v>
      </c>
      <c r="N1162" t="s">
        <v>22</v>
      </c>
      <c r="O1162" t="s">
        <v>49</v>
      </c>
      <c r="P1162" t="s">
        <v>84</v>
      </c>
      <c r="Q1162">
        <v>4</v>
      </c>
      <c r="R1162">
        <f>IF(ventas_libreria[[#This Row],[valoracion_cliente]]="","Sin valoración",ventas_libreria[[#This Row],[valoracion_cliente]])</f>
        <v>4</v>
      </c>
    </row>
    <row r="1163" spans="1:18" x14ac:dyDescent="0.25">
      <c r="A1163" t="s">
        <v>1439</v>
      </c>
      <c r="B1163" t="s">
        <v>461</v>
      </c>
      <c r="C1163" t="s">
        <v>462</v>
      </c>
      <c r="D1163" t="s">
        <v>143</v>
      </c>
      <c r="E1163" t="s">
        <v>116</v>
      </c>
      <c r="F1163">
        <f>ventas_libreria[[#This Row],[precio_eur]]/100</f>
        <v>12.51</v>
      </c>
      <c r="G1163">
        <v>1251</v>
      </c>
      <c r="H1163">
        <v>1</v>
      </c>
      <c r="I1163">
        <f>ventas_libreria[[#This Row],[precio]]*ventas_libreria[[#This Row],[cantidad]]</f>
        <v>12.51</v>
      </c>
      <c r="J1163">
        <v>20</v>
      </c>
      <c r="K1163" t="s">
        <v>30</v>
      </c>
      <c r="L1163" s="1">
        <v>45807</v>
      </c>
      <c r="M1163" t="s">
        <v>31</v>
      </c>
      <c r="N1163" t="s">
        <v>22</v>
      </c>
      <c r="O1163" t="s">
        <v>23</v>
      </c>
      <c r="P1163" t="s">
        <v>24</v>
      </c>
      <c r="Q1163">
        <v>4</v>
      </c>
      <c r="R1163">
        <f>IF(ventas_libreria[[#This Row],[valoracion_cliente]]="","Sin valoración",ventas_libreria[[#This Row],[valoracion_cliente]])</f>
        <v>4</v>
      </c>
    </row>
    <row r="1164" spans="1:18" x14ac:dyDescent="0.25">
      <c r="A1164" t="s">
        <v>1440</v>
      </c>
      <c r="B1164" t="s">
        <v>273</v>
      </c>
      <c r="C1164" t="s">
        <v>274</v>
      </c>
      <c r="D1164" t="s">
        <v>262</v>
      </c>
      <c r="E1164" t="s">
        <v>263</v>
      </c>
      <c r="F1164">
        <f>ventas_libreria[[#This Row],[precio_eur]]/100</f>
        <v>24.09</v>
      </c>
      <c r="G1164">
        <v>2409</v>
      </c>
      <c r="H1164">
        <v>1</v>
      </c>
      <c r="I1164">
        <f>ventas_libreria[[#This Row],[precio]]*ventas_libreria[[#This Row],[cantidad]]</f>
        <v>24.09</v>
      </c>
      <c r="J1164">
        <v>32</v>
      </c>
      <c r="K1164" t="s">
        <v>62</v>
      </c>
      <c r="L1164" s="1">
        <v>45893</v>
      </c>
      <c r="M1164" t="s">
        <v>21</v>
      </c>
      <c r="N1164" t="s">
        <v>22</v>
      </c>
      <c r="O1164" t="s">
        <v>67</v>
      </c>
      <c r="P1164" t="s">
        <v>24</v>
      </c>
      <c r="Q1164">
        <v>5</v>
      </c>
      <c r="R1164">
        <f>IF(ventas_libreria[[#This Row],[valoracion_cliente]]="","Sin valoración",ventas_libreria[[#This Row],[valoracion_cliente]])</f>
        <v>5</v>
      </c>
    </row>
    <row r="1165" spans="1:18" x14ac:dyDescent="0.25">
      <c r="A1165" t="s">
        <v>1441</v>
      </c>
      <c r="B1165" t="s">
        <v>141</v>
      </c>
      <c r="C1165" t="s">
        <v>142</v>
      </c>
      <c r="D1165" t="s">
        <v>143</v>
      </c>
      <c r="E1165" t="s">
        <v>116</v>
      </c>
      <c r="F1165">
        <f>ventas_libreria[[#This Row],[precio_eur]]/100</f>
        <v>11.92</v>
      </c>
      <c r="G1165">
        <v>1192</v>
      </c>
      <c r="H1165">
        <v>2</v>
      </c>
      <c r="I1165">
        <f>ventas_libreria[[#This Row],[precio]]*ventas_libreria[[#This Row],[cantidad]]</f>
        <v>23.84</v>
      </c>
      <c r="J1165">
        <v>67</v>
      </c>
      <c r="K1165" t="s">
        <v>30</v>
      </c>
      <c r="L1165" s="1">
        <v>45277</v>
      </c>
      <c r="M1165" t="s">
        <v>43</v>
      </c>
      <c r="N1165" t="s">
        <v>32</v>
      </c>
      <c r="O1165" t="s">
        <v>33</v>
      </c>
      <c r="P1165" t="s">
        <v>84</v>
      </c>
      <c r="Q1165">
        <v>5</v>
      </c>
      <c r="R1165">
        <f>IF(ventas_libreria[[#This Row],[valoracion_cliente]]="","Sin valoración",ventas_libreria[[#This Row],[valoracion_cliente]])</f>
        <v>5</v>
      </c>
    </row>
    <row r="1166" spans="1:18" x14ac:dyDescent="0.25">
      <c r="A1166" t="s">
        <v>1442</v>
      </c>
      <c r="B1166" t="s">
        <v>418</v>
      </c>
      <c r="C1166" t="s">
        <v>419</v>
      </c>
      <c r="D1166" t="s">
        <v>420</v>
      </c>
      <c r="E1166" t="s">
        <v>149</v>
      </c>
      <c r="F1166">
        <f>ventas_libreria[[#This Row],[precio_eur]]/100</f>
        <v>14.36</v>
      </c>
      <c r="G1166">
        <v>1436</v>
      </c>
      <c r="H1166">
        <v>1</v>
      </c>
      <c r="I1166">
        <f>ventas_libreria[[#This Row],[precio]]*ventas_libreria[[#This Row],[cantidad]]</f>
        <v>14.36</v>
      </c>
      <c r="J1166">
        <v>49</v>
      </c>
      <c r="K1166" t="s">
        <v>62</v>
      </c>
      <c r="L1166" s="1">
        <v>46009</v>
      </c>
      <c r="M1166" t="s">
        <v>43</v>
      </c>
      <c r="N1166" t="s">
        <v>32</v>
      </c>
      <c r="O1166" t="s">
        <v>33</v>
      </c>
      <c r="P1166" t="s">
        <v>84</v>
      </c>
      <c r="Q1166">
        <v>5</v>
      </c>
      <c r="R1166">
        <f>IF(ventas_libreria[[#This Row],[valoracion_cliente]]="","Sin valoración",ventas_libreria[[#This Row],[valoracion_cliente]])</f>
        <v>5</v>
      </c>
    </row>
    <row r="1167" spans="1:18" x14ac:dyDescent="0.25">
      <c r="A1167" t="s">
        <v>1443</v>
      </c>
      <c r="B1167" t="s">
        <v>45</v>
      </c>
      <c r="C1167" t="s">
        <v>46</v>
      </c>
      <c r="D1167" t="s">
        <v>47</v>
      </c>
      <c r="E1167" t="s">
        <v>48</v>
      </c>
      <c r="F1167">
        <f>ventas_libreria[[#This Row],[precio_eur]]/100</f>
        <v>1.99</v>
      </c>
      <c r="G1167">
        <v>199</v>
      </c>
      <c r="H1167">
        <v>1</v>
      </c>
      <c r="I1167">
        <f>ventas_libreria[[#This Row],[precio]]*ventas_libreria[[#This Row],[cantidad]]</f>
        <v>1.99</v>
      </c>
      <c r="J1167">
        <v>18</v>
      </c>
      <c r="K1167" t="s">
        <v>20</v>
      </c>
      <c r="L1167" s="1">
        <v>45547</v>
      </c>
      <c r="M1167" t="s">
        <v>43</v>
      </c>
      <c r="N1167" t="s">
        <v>32</v>
      </c>
      <c r="O1167" t="s">
        <v>33</v>
      </c>
      <c r="P1167" t="s">
        <v>50</v>
      </c>
      <c r="Q1167">
        <v>5</v>
      </c>
      <c r="R1167">
        <f>IF(ventas_libreria[[#This Row],[valoracion_cliente]]="","Sin valoración",ventas_libreria[[#This Row],[valoracion_cliente]])</f>
        <v>5</v>
      </c>
    </row>
    <row r="1168" spans="1:18" x14ac:dyDescent="0.25">
      <c r="A1168" t="s">
        <v>1444</v>
      </c>
      <c r="B1168" t="s">
        <v>151</v>
      </c>
      <c r="C1168" t="s">
        <v>152</v>
      </c>
      <c r="D1168" t="s">
        <v>153</v>
      </c>
      <c r="E1168" t="s">
        <v>154</v>
      </c>
      <c r="F1168">
        <f>ventas_libreria[[#This Row],[precio_eur]]/100</f>
        <v>14.36</v>
      </c>
      <c r="G1168">
        <v>1436</v>
      </c>
      <c r="H1168">
        <v>1</v>
      </c>
      <c r="I1168">
        <f>ventas_libreria[[#This Row],[precio]]*ventas_libreria[[#This Row],[cantidad]]</f>
        <v>14.36</v>
      </c>
      <c r="J1168">
        <v>66</v>
      </c>
      <c r="K1168" t="s">
        <v>30</v>
      </c>
      <c r="L1168" s="1">
        <v>45042</v>
      </c>
      <c r="M1168" t="s">
        <v>31</v>
      </c>
      <c r="N1168" t="s">
        <v>32</v>
      </c>
      <c r="O1168" t="s">
        <v>33</v>
      </c>
      <c r="P1168" t="s">
        <v>50</v>
      </c>
      <c r="Q1168">
        <v>2</v>
      </c>
      <c r="R1168">
        <f>IF(ventas_libreria[[#This Row],[valoracion_cliente]]="","Sin valoración",ventas_libreria[[#This Row],[valoracion_cliente]])</f>
        <v>2</v>
      </c>
    </row>
    <row r="1169" spans="1:18" x14ac:dyDescent="0.25">
      <c r="A1169" t="s">
        <v>1445</v>
      </c>
      <c r="B1169" t="s">
        <v>508</v>
      </c>
      <c r="C1169" t="s">
        <v>509</v>
      </c>
      <c r="D1169" t="s">
        <v>199</v>
      </c>
      <c r="E1169" t="s">
        <v>55</v>
      </c>
      <c r="F1169">
        <f>ventas_libreria[[#This Row],[precio_eur]]/100</f>
        <v>20.79</v>
      </c>
      <c r="G1169">
        <v>2079</v>
      </c>
      <c r="H1169">
        <v>2</v>
      </c>
      <c r="I1169">
        <f>ventas_libreria[[#This Row],[precio]]*ventas_libreria[[#This Row],[cantidad]]</f>
        <v>41.58</v>
      </c>
      <c r="J1169">
        <v>71</v>
      </c>
      <c r="K1169" t="s">
        <v>20</v>
      </c>
      <c r="L1169" s="1">
        <v>45894</v>
      </c>
      <c r="M1169" t="s">
        <v>21</v>
      </c>
      <c r="N1169" t="s">
        <v>22</v>
      </c>
      <c r="O1169" t="s">
        <v>98</v>
      </c>
      <c r="P1169" t="s">
        <v>34</v>
      </c>
      <c r="Q1169">
        <v>5</v>
      </c>
      <c r="R1169">
        <f>IF(ventas_libreria[[#This Row],[valoracion_cliente]]="","Sin valoración",ventas_libreria[[#This Row],[valoracion_cliente]])</f>
        <v>5</v>
      </c>
    </row>
    <row r="1170" spans="1:18" x14ac:dyDescent="0.25">
      <c r="A1170" t="s">
        <v>1446</v>
      </c>
      <c r="B1170" t="s">
        <v>204</v>
      </c>
      <c r="C1170" t="s">
        <v>205</v>
      </c>
      <c r="D1170" t="s">
        <v>206</v>
      </c>
      <c r="E1170" t="s">
        <v>116</v>
      </c>
      <c r="F1170">
        <f>ventas_libreria[[#This Row],[precio_eur]]/100</f>
        <v>10.96</v>
      </c>
      <c r="G1170">
        <v>1096</v>
      </c>
      <c r="H1170">
        <v>1</v>
      </c>
      <c r="I1170">
        <f>ventas_libreria[[#This Row],[precio]]*ventas_libreria[[#This Row],[cantidad]]</f>
        <v>10.96</v>
      </c>
      <c r="J1170">
        <v>37</v>
      </c>
      <c r="K1170" t="s">
        <v>62</v>
      </c>
      <c r="L1170" s="1">
        <v>45079</v>
      </c>
      <c r="M1170" t="s">
        <v>43</v>
      </c>
      <c r="N1170" t="s">
        <v>32</v>
      </c>
      <c r="O1170" t="s">
        <v>33</v>
      </c>
      <c r="P1170" t="s">
        <v>50</v>
      </c>
      <c r="Q1170">
        <v>4</v>
      </c>
      <c r="R1170">
        <f>IF(ventas_libreria[[#This Row],[valoracion_cliente]]="","Sin valoración",ventas_libreria[[#This Row],[valoracion_cliente]])</f>
        <v>4</v>
      </c>
    </row>
    <row r="1171" spans="1:18" x14ac:dyDescent="0.25">
      <c r="A1171" t="s">
        <v>1447</v>
      </c>
      <c r="B1171" t="s">
        <v>40</v>
      </c>
      <c r="C1171" t="s">
        <v>41</v>
      </c>
      <c r="D1171" t="s">
        <v>42</v>
      </c>
      <c r="E1171" t="s">
        <v>19</v>
      </c>
      <c r="F1171">
        <f>ventas_libreria[[#This Row],[precio_eur]]/100</f>
        <v>1.29</v>
      </c>
      <c r="G1171">
        <v>129</v>
      </c>
      <c r="H1171">
        <v>1</v>
      </c>
      <c r="I1171">
        <f>ventas_libreria[[#This Row],[precio]]*ventas_libreria[[#This Row],[cantidad]]</f>
        <v>1.29</v>
      </c>
      <c r="J1171">
        <v>57</v>
      </c>
      <c r="K1171" t="s">
        <v>20</v>
      </c>
      <c r="L1171" s="1">
        <v>45067</v>
      </c>
      <c r="M1171" t="s">
        <v>31</v>
      </c>
      <c r="N1171" t="s">
        <v>32</v>
      </c>
      <c r="O1171" t="s">
        <v>33</v>
      </c>
      <c r="P1171" t="s">
        <v>56</v>
      </c>
      <c r="Q1171">
        <v>5</v>
      </c>
      <c r="R1171">
        <f>IF(ventas_libreria[[#This Row],[valoracion_cliente]]="","Sin valoración",ventas_libreria[[#This Row],[valoracion_cliente]])</f>
        <v>5</v>
      </c>
    </row>
    <row r="1172" spans="1:18" x14ac:dyDescent="0.25">
      <c r="A1172" t="s">
        <v>1448</v>
      </c>
      <c r="B1172" t="s">
        <v>204</v>
      </c>
      <c r="C1172" t="s">
        <v>205</v>
      </c>
      <c r="D1172" t="s">
        <v>206</v>
      </c>
      <c r="E1172" t="s">
        <v>116</v>
      </c>
      <c r="F1172">
        <f>ventas_libreria[[#This Row],[precio_eur]]/100</f>
        <v>1.29</v>
      </c>
      <c r="G1172">
        <v>129</v>
      </c>
      <c r="H1172">
        <v>1</v>
      </c>
      <c r="I1172">
        <f>ventas_libreria[[#This Row],[precio]]*ventas_libreria[[#This Row],[cantidad]]</f>
        <v>1.29</v>
      </c>
      <c r="J1172">
        <v>21</v>
      </c>
      <c r="K1172" t="s">
        <v>30</v>
      </c>
      <c r="L1172" s="1">
        <v>45774</v>
      </c>
      <c r="M1172" t="s">
        <v>43</v>
      </c>
      <c r="N1172" t="s">
        <v>32</v>
      </c>
      <c r="O1172" t="s">
        <v>33</v>
      </c>
      <c r="P1172" t="s">
        <v>84</v>
      </c>
      <c r="Q1172">
        <v>4</v>
      </c>
      <c r="R1172">
        <f>IF(ventas_libreria[[#This Row],[valoracion_cliente]]="","Sin valoración",ventas_libreria[[#This Row],[valoracion_cliente]])</f>
        <v>4</v>
      </c>
    </row>
    <row r="1173" spans="1:18" x14ac:dyDescent="0.25">
      <c r="A1173" t="s">
        <v>1449</v>
      </c>
      <c r="B1173" t="s">
        <v>64</v>
      </c>
      <c r="C1173" t="s">
        <v>65</v>
      </c>
      <c r="D1173" t="s">
        <v>66</v>
      </c>
      <c r="E1173" t="s">
        <v>29</v>
      </c>
      <c r="F1173">
        <f>ventas_libreria[[#This Row],[precio_eur]]/100</f>
        <v>17.32</v>
      </c>
      <c r="G1173">
        <v>1732</v>
      </c>
      <c r="H1173">
        <v>1</v>
      </c>
      <c r="I1173">
        <f>ventas_libreria[[#This Row],[precio]]*ventas_libreria[[#This Row],[cantidad]]</f>
        <v>17.32</v>
      </c>
      <c r="J1173">
        <v>66</v>
      </c>
      <c r="K1173" t="s">
        <v>62</v>
      </c>
      <c r="L1173" s="1">
        <v>45594</v>
      </c>
      <c r="M1173" t="s">
        <v>31</v>
      </c>
      <c r="N1173" t="s">
        <v>22</v>
      </c>
      <c r="O1173" t="s">
        <v>49</v>
      </c>
      <c r="P1173" t="s">
        <v>84</v>
      </c>
      <c r="Q1173">
        <v>5</v>
      </c>
      <c r="R1173">
        <f>IF(ventas_libreria[[#This Row],[valoracion_cliente]]="","Sin valoración",ventas_libreria[[#This Row],[valoracion_cliente]])</f>
        <v>5</v>
      </c>
    </row>
    <row r="1174" spans="1:18" x14ac:dyDescent="0.25">
      <c r="A1174" t="s">
        <v>1450</v>
      </c>
      <c r="B1174" t="s">
        <v>413</v>
      </c>
      <c r="C1174" t="s">
        <v>414</v>
      </c>
      <c r="D1174" t="s">
        <v>270</v>
      </c>
      <c r="E1174" t="s">
        <v>415</v>
      </c>
      <c r="F1174">
        <f>ventas_libreria[[#This Row],[precio_eur]]/100</f>
        <v>10.89</v>
      </c>
      <c r="G1174">
        <v>1089</v>
      </c>
      <c r="H1174">
        <v>2</v>
      </c>
      <c r="I1174">
        <f>ventas_libreria[[#This Row],[precio]]*ventas_libreria[[#This Row],[cantidad]]</f>
        <v>21.78</v>
      </c>
      <c r="J1174">
        <v>19</v>
      </c>
      <c r="K1174" t="s">
        <v>38</v>
      </c>
      <c r="L1174" s="1">
        <v>45284</v>
      </c>
      <c r="M1174" t="s">
        <v>43</v>
      </c>
      <c r="N1174" t="s">
        <v>32</v>
      </c>
      <c r="O1174" t="s">
        <v>33</v>
      </c>
      <c r="P1174" t="s">
        <v>34</v>
      </c>
      <c r="Q1174">
        <v>4</v>
      </c>
      <c r="R1174">
        <f>IF(ventas_libreria[[#This Row],[valoracion_cliente]]="","Sin valoración",ventas_libreria[[#This Row],[valoracion_cliente]])</f>
        <v>4</v>
      </c>
    </row>
    <row r="1175" spans="1:18" x14ac:dyDescent="0.25">
      <c r="A1175" t="s">
        <v>1451</v>
      </c>
      <c r="B1175" t="s">
        <v>146</v>
      </c>
      <c r="C1175" t="s">
        <v>147</v>
      </c>
      <c r="D1175" t="s">
        <v>148</v>
      </c>
      <c r="E1175" t="s">
        <v>149</v>
      </c>
      <c r="F1175">
        <f>ventas_libreria[[#This Row],[precio_eur]]/100</f>
        <v>13.52</v>
      </c>
      <c r="G1175">
        <v>1352</v>
      </c>
      <c r="H1175">
        <v>1</v>
      </c>
      <c r="I1175">
        <f>ventas_libreria[[#This Row],[precio]]*ventas_libreria[[#This Row],[cantidad]]</f>
        <v>13.52</v>
      </c>
      <c r="J1175">
        <v>43</v>
      </c>
      <c r="K1175" t="s">
        <v>62</v>
      </c>
      <c r="L1175" s="1">
        <v>45641</v>
      </c>
      <c r="M1175" t="s">
        <v>31</v>
      </c>
      <c r="N1175" t="s">
        <v>32</v>
      </c>
      <c r="O1175" t="s">
        <v>33</v>
      </c>
      <c r="P1175" t="s">
        <v>34</v>
      </c>
      <c r="Q1175">
        <v>5</v>
      </c>
      <c r="R1175">
        <f>IF(ventas_libreria[[#This Row],[valoracion_cliente]]="","Sin valoración",ventas_libreria[[#This Row],[valoracion_cliente]])</f>
        <v>5</v>
      </c>
    </row>
    <row r="1176" spans="1:18" x14ac:dyDescent="0.25">
      <c r="A1176" t="s">
        <v>1452</v>
      </c>
      <c r="B1176" t="s">
        <v>461</v>
      </c>
      <c r="C1176" t="s">
        <v>462</v>
      </c>
      <c r="D1176" t="s">
        <v>143</v>
      </c>
      <c r="E1176" t="s">
        <v>116</v>
      </c>
      <c r="F1176">
        <f>ventas_libreria[[#This Row],[precio_eur]]/100</f>
        <v>1.39</v>
      </c>
      <c r="G1176">
        <v>139</v>
      </c>
      <c r="H1176">
        <v>3</v>
      </c>
      <c r="I1176">
        <f>ventas_libreria[[#This Row],[precio]]*ventas_libreria[[#This Row],[cantidad]]</f>
        <v>4.17</v>
      </c>
      <c r="J1176">
        <v>55</v>
      </c>
      <c r="K1176" t="s">
        <v>20</v>
      </c>
      <c r="L1176" s="1">
        <v>45883</v>
      </c>
      <c r="M1176" t="s">
        <v>31</v>
      </c>
      <c r="N1176" t="s">
        <v>22</v>
      </c>
      <c r="O1176" t="s">
        <v>23</v>
      </c>
      <c r="P1176" t="s">
        <v>50</v>
      </c>
      <c r="Q1176">
        <v>5</v>
      </c>
      <c r="R1176">
        <f>IF(ventas_libreria[[#This Row],[valoracion_cliente]]="","Sin valoración",ventas_libreria[[#This Row],[valoracion_cliente]])</f>
        <v>5</v>
      </c>
    </row>
    <row r="1177" spans="1:18" x14ac:dyDescent="0.25">
      <c r="A1177" t="s">
        <v>1453</v>
      </c>
      <c r="B1177" t="s">
        <v>398</v>
      </c>
      <c r="C1177" t="s">
        <v>399</v>
      </c>
      <c r="D1177" t="s">
        <v>167</v>
      </c>
      <c r="E1177" t="s">
        <v>61</v>
      </c>
      <c r="F1177">
        <f>ventas_libreria[[#This Row],[precio_eur]]/100</f>
        <v>17.75</v>
      </c>
      <c r="G1177">
        <v>1775</v>
      </c>
      <c r="H1177">
        <v>1</v>
      </c>
      <c r="I1177">
        <f>ventas_libreria[[#This Row],[precio]]*ventas_libreria[[#This Row],[cantidad]]</f>
        <v>17.75</v>
      </c>
      <c r="J1177">
        <v>62</v>
      </c>
      <c r="K1177" t="s">
        <v>62</v>
      </c>
      <c r="L1177" s="1">
        <v>45795</v>
      </c>
      <c r="M1177" t="s">
        <v>21</v>
      </c>
      <c r="N1177" t="s">
        <v>32</v>
      </c>
      <c r="O1177" t="s">
        <v>33</v>
      </c>
      <c r="P1177" t="s">
        <v>56</v>
      </c>
      <c r="R1177" t="str">
        <f>IF(ventas_libreria[[#This Row],[valoracion_cliente]]="","Sin valoración",ventas_libreria[[#This Row],[valoracion_cliente]])</f>
        <v>Sin valoración</v>
      </c>
    </row>
    <row r="1178" spans="1:18" x14ac:dyDescent="0.25">
      <c r="A1178" t="s">
        <v>1454</v>
      </c>
      <c r="B1178" t="s">
        <v>45</v>
      </c>
      <c r="C1178" t="s">
        <v>46</v>
      </c>
      <c r="D1178" t="s">
        <v>47</v>
      </c>
      <c r="E1178" t="s">
        <v>48</v>
      </c>
      <c r="F1178">
        <f>ventas_libreria[[#This Row],[precio_eur]]/100</f>
        <v>21.89</v>
      </c>
      <c r="G1178">
        <v>2189</v>
      </c>
      <c r="H1178">
        <v>2</v>
      </c>
      <c r="I1178">
        <f>ventas_libreria[[#This Row],[precio]]*ventas_libreria[[#This Row],[cantidad]]</f>
        <v>43.78</v>
      </c>
      <c r="J1178">
        <v>23</v>
      </c>
      <c r="K1178" t="s">
        <v>20</v>
      </c>
      <c r="L1178" s="1">
        <v>45343</v>
      </c>
      <c r="M1178" t="s">
        <v>21</v>
      </c>
      <c r="N1178" t="s">
        <v>22</v>
      </c>
      <c r="O1178" t="s">
        <v>67</v>
      </c>
      <c r="P1178" t="s">
        <v>34</v>
      </c>
      <c r="Q1178">
        <v>4</v>
      </c>
      <c r="R1178">
        <f>IF(ventas_libreria[[#This Row],[valoracion_cliente]]="","Sin valoración",ventas_libreria[[#This Row],[valoracion_cliente]])</f>
        <v>4</v>
      </c>
    </row>
    <row r="1179" spans="1:18" x14ac:dyDescent="0.25">
      <c r="A1179" t="s">
        <v>1455</v>
      </c>
      <c r="B1179" t="s">
        <v>384</v>
      </c>
      <c r="C1179" t="s">
        <v>385</v>
      </c>
      <c r="D1179" t="s">
        <v>158</v>
      </c>
      <c r="E1179" t="s">
        <v>149</v>
      </c>
      <c r="F1179">
        <f>ventas_libreria[[#This Row],[precio_eur]]/100</f>
        <v>18.61</v>
      </c>
      <c r="G1179">
        <v>1861</v>
      </c>
      <c r="H1179">
        <v>1</v>
      </c>
      <c r="I1179">
        <f>ventas_libreria[[#This Row],[precio]]*ventas_libreria[[#This Row],[cantidad]]</f>
        <v>18.61</v>
      </c>
      <c r="J1179">
        <v>42</v>
      </c>
      <c r="K1179" t="s">
        <v>62</v>
      </c>
      <c r="L1179" s="1">
        <v>45186</v>
      </c>
      <c r="M1179" t="s">
        <v>21</v>
      </c>
      <c r="N1179" t="s">
        <v>22</v>
      </c>
      <c r="O1179" t="s">
        <v>98</v>
      </c>
      <c r="P1179" t="s">
        <v>50</v>
      </c>
      <c r="R1179" t="str">
        <f>IF(ventas_libreria[[#This Row],[valoracion_cliente]]="","Sin valoración",ventas_libreria[[#This Row],[valoracion_cliente]])</f>
        <v>Sin valoración</v>
      </c>
    </row>
    <row r="1180" spans="1:18" x14ac:dyDescent="0.25">
      <c r="A1180" t="s">
        <v>1456</v>
      </c>
      <c r="B1180" t="s">
        <v>186</v>
      </c>
      <c r="C1180" t="s">
        <v>187</v>
      </c>
      <c r="D1180" t="s">
        <v>188</v>
      </c>
      <c r="E1180" t="s">
        <v>189</v>
      </c>
      <c r="F1180">
        <f>ventas_libreria[[#This Row],[precio_eur]]/100</f>
        <v>1.99</v>
      </c>
      <c r="G1180">
        <v>199</v>
      </c>
      <c r="H1180">
        <v>1</v>
      </c>
      <c r="I1180">
        <f>ventas_libreria[[#This Row],[precio]]*ventas_libreria[[#This Row],[cantidad]]</f>
        <v>1.99</v>
      </c>
      <c r="J1180">
        <v>54</v>
      </c>
      <c r="K1180" t="s">
        <v>20</v>
      </c>
      <c r="L1180" s="1">
        <v>45950</v>
      </c>
      <c r="M1180" t="s">
        <v>31</v>
      </c>
      <c r="N1180" t="s">
        <v>32</v>
      </c>
      <c r="O1180" t="s">
        <v>33</v>
      </c>
      <c r="P1180" t="s">
        <v>34</v>
      </c>
      <c r="Q1180">
        <v>1</v>
      </c>
      <c r="R1180">
        <f>IF(ventas_libreria[[#This Row],[valoracion_cliente]]="","Sin valoración",ventas_libreria[[#This Row],[valoracion_cliente]])</f>
        <v>1</v>
      </c>
    </row>
    <row r="1181" spans="1:18" x14ac:dyDescent="0.25">
      <c r="A1181" t="s">
        <v>1457</v>
      </c>
      <c r="B1181" t="s">
        <v>243</v>
      </c>
      <c r="C1181" t="s">
        <v>244</v>
      </c>
      <c r="D1181" t="s">
        <v>245</v>
      </c>
      <c r="E1181" t="s">
        <v>48</v>
      </c>
      <c r="F1181">
        <f>ventas_libreria[[#This Row],[precio_eur]]/100</f>
        <v>19.71</v>
      </c>
      <c r="G1181">
        <v>1971</v>
      </c>
      <c r="H1181">
        <v>1</v>
      </c>
      <c r="I1181">
        <f>ventas_libreria[[#This Row],[precio]]*ventas_libreria[[#This Row],[cantidad]]</f>
        <v>19.71</v>
      </c>
      <c r="J1181">
        <v>68</v>
      </c>
      <c r="K1181" t="s">
        <v>30</v>
      </c>
      <c r="L1181" s="1">
        <v>45902</v>
      </c>
      <c r="M1181" t="s">
        <v>43</v>
      </c>
      <c r="N1181" t="s">
        <v>32</v>
      </c>
      <c r="O1181" t="s">
        <v>33</v>
      </c>
      <c r="P1181" t="s">
        <v>34</v>
      </c>
      <c r="Q1181">
        <v>4</v>
      </c>
      <c r="R1181">
        <f>IF(ventas_libreria[[#This Row],[valoracion_cliente]]="","Sin valoración",ventas_libreria[[#This Row],[valoracion_cliente]])</f>
        <v>4</v>
      </c>
    </row>
    <row r="1182" spans="1:18" x14ac:dyDescent="0.25">
      <c r="A1182" t="s">
        <v>1458</v>
      </c>
      <c r="B1182" t="s">
        <v>201</v>
      </c>
      <c r="C1182" t="s">
        <v>202</v>
      </c>
      <c r="D1182" t="s">
        <v>47</v>
      </c>
      <c r="E1182" t="s">
        <v>107</v>
      </c>
      <c r="F1182">
        <f>ventas_libreria[[#This Row],[precio_eur]]/100</f>
        <v>1.46</v>
      </c>
      <c r="G1182">
        <v>146</v>
      </c>
      <c r="H1182">
        <v>1</v>
      </c>
      <c r="I1182">
        <f>ventas_libreria[[#This Row],[precio]]*ventas_libreria[[#This Row],[cantidad]]</f>
        <v>1.46</v>
      </c>
      <c r="J1182">
        <v>13</v>
      </c>
      <c r="K1182" t="s">
        <v>20</v>
      </c>
      <c r="L1182" s="1">
        <v>45428</v>
      </c>
      <c r="M1182" t="s">
        <v>43</v>
      </c>
      <c r="N1182" t="s">
        <v>32</v>
      </c>
      <c r="O1182" t="s">
        <v>33</v>
      </c>
      <c r="P1182" t="s">
        <v>84</v>
      </c>
      <c r="Q1182">
        <v>5</v>
      </c>
      <c r="R1182">
        <f>IF(ventas_libreria[[#This Row],[valoracion_cliente]]="","Sin valoración",ventas_libreria[[#This Row],[valoracion_cliente]])</f>
        <v>5</v>
      </c>
    </row>
    <row r="1183" spans="1:18" x14ac:dyDescent="0.25">
      <c r="A1183" t="s">
        <v>1459</v>
      </c>
      <c r="B1183" t="s">
        <v>508</v>
      </c>
      <c r="C1183" t="s">
        <v>509</v>
      </c>
      <c r="D1183" t="s">
        <v>199</v>
      </c>
      <c r="E1183" t="s">
        <v>55</v>
      </c>
      <c r="F1183">
        <f>ventas_libreria[[#This Row],[precio_eur]]/100</f>
        <v>17.010000000000002</v>
      </c>
      <c r="G1183">
        <v>1701</v>
      </c>
      <c r="H1183">
        <v>1</v>
      </c>
      <c r="I1183">
        <f>ventas_libreria[[#This Row],[precio]]*ventas_libreria[[#This Row],[cantidad]]</f>
        <v>17.010000000000002</v>
      </c>
      <c r="J1183">
        <v>69</v>
      </c>
      <c r="K1183" t="s">
        <v>62</v>
      </c>
      <c r="L1183" s="1">
        <v>45626</v>
      </c>
      <c r="M1183" t="s">
        <v>21</v>
      </c>
      <c r="N1183" t="s">
        <v>32</v>
      </c>
      <c r="O1183" t="s">
        <v>33</v>
      </c>
      <c r="P1183" t="s">
        <v>34</v>
      </c>
      <c r="Q1183">
        <v>5</v>
      </c>
      <c r="R1183">
        <f>IF(ventas_libreria[[#This Row],[valoracion_cliente]]="","Sin valoración",ventas_libreria[[#This Row],[valoracion_cliente]])</f>
        <v>5</v>
      </c>
    </row>
    <row r="1184" spans="1:18" x14ac:dyDescent="0.25">
      <c r="A1184" t="s">
        <v>1460</v>
      </c>
      <c r="B1184" t="s">
        <v>169</v>
      </c>
      <c r="C1184" t="s">
        <v>170</v>
      </c>
      <c r="D1184" t="s">
        <v>171</v>
      </c>
      <c r="E1184" t="s">
        <v>172</v>
      </c>
      <c r="F1184">
        <f>ventas_libreria[[#This Row],[precio_eur]]/100</f>
        <v>2.29</v>
      </c>
      <c r="G1184">
        <v>229</v>
      </c>
      <c r="H1184">
        <v>1</v>
      </c>
      <c r="I1184">
        <f>ventas_libreria[[#This Row],[precio]]*ventas_libreria[[#This Row],[cantidad]]</f>
        <v>2.29</v>
      </c>
      <c r="J1184">
        <v>38</v>
      </c>
      <c r="K1184" t="s">
        <v>30</v>
      </c>
      <c r="L1184" s="1">
        <v>45658</v>
      </c>
      <c r="M1184" t="s">
        <v>43</v>
      </c>
      <c r="N1184" t="s">
        <v>32</v>
      </c>
      <c r="O1184" t="s">
        <v>33</v>
      </c>
      <c r="P1184" t="s">
        <v>84</v>
      </c>
      <c r="Q1184">
        <v>2</v>
      </c>
      <c r="R1184">
        <f>IF(ventas_libreria[[#This Row],[valoracion_cliente]]="","Sin valoración",ventas_libreria[[#This Row],[valoracion_cliente]])</f>
        <v>2</v>
      </c>
    </row>
    <row r="1185" spans="1:18" x14ac:dyDescent="0.25">
      <c r="A1185" t="s">
        <v>1461</v>
      </c>
      <c r="B1185" t="s">
        <v>353</v>
      </c>
      <c r="C1185" t="s">
        <v>354</v>
      </c>
      <c r="D1185" t="s">
        <v>226</v>
      </c>
      <c r="E1185" t="s">
        <v>116</v>
      </c>
      <c r="F1185">
        <f>ventas_libreria[[#This Row],[precio_eur]]/100</f>
        <v>13.52</v>
      </c>
      <c r="G1185">
        <v>1352</v>
      </c>
      <c r="H1185">
        <v>1</v>
      </c>
      <c r="I1185">
        <f>ventas_libreria[[#This Row],[precio]]*ventas_libreria[[#This Row],[cantidad]]</f>
        <v>13.52</v>
      </c>
      <c r="J1185">
        <v>71</v>
      </c>
      <c r="K1185" t="s">
        <v>62</v>
      </c>
      <c r="L1185" s="1">
        <v>45727</v>
      </c>
      <c r="M1185" t="s">
        <v>21</v>
      </c>
      <c r="N1185" t="s">
        <v>32</v>
      </c>
      <c r="O1185" t="s">
        <v>33</v>
      </c>
      <c r="P1185" t="s">
        <v>84</v>
      </c>
      <c r="Q1185">
        <v>5</v>
      </c>
      <c r="R1185">
        <f>IF(ventas_libreria[[#This Row],[valoracion_cliente]]="","Sin valoración",ventas_libreria[[#This Row],[valoracion_cliente]])</f>
        <v>5</v>
      </c>
    </row>
    <row r="1186" spans="1:18" x14ac:dyDescent="0.25">
      <c r="A1186" t="s">
        <v>1462</v>
      </c>
      <c r="B1186" t="s">
        <v>86</v>
      </c>
      <c r="C1186" t="s">
        <v>87</v>
      </c>
      <c r="D1186" t="s">
        <v>88</v>
      </c>
      <c r="E1186" t="s">
        <v>77</v>
      </c>
      <c r="F1186">
        <f>ventas_libreria[[#This Row],[precio_eur]]/100</f>
        <v>1.19</v>
      </c>
      <c r="G1186">
        <v>119</v>
      </c>
      <c r="H1186">
        <v>2</v>
      </c>
      <c r="I1186">
        <f>ventas_libreria[[#This Row],[precio]]*ventas_libreria[[#This Row],[cantidad]]</f>
        <v>2.38</v>
      </c>
      <c r="J1186">
        <v>7</v>
      </c>
      <c r="K1186" t="s">
        <v>38</v>
      </c>
      <c r="L1186" s="1">
        <v>45264</v>
      </c>
      <c r="M1186" t="s">
        <v>21</v>
      </c>
      <c r="N1186" t="s">
        <v>32</v>
      </c>
      <c r="O1186" t="s">
        <v>33</v>
      </c>
      <c r="P1186" t="s">
        <v>56</v>
      </c>
      <c r="Q1186">
        <v>5</v>
      </c>
      <c r="R1186">
        <f>IF(ventas_libreria[[#This Row],[valoracion_cliente]]="","Sin valoración",ventas_libreria[[#This Row],[valoracion_cliente]])</f>
        <v>5</v>
      </c>
    </row>
    <row r="1187" spans="1:18" x14ac:dyDescent="0.25">
      <c r="A1187" t="s">
        <v>1463</v>
      </c>
      <c r="B1187" t="s">
        <v>406</v>
      </c>
      <c r="C1187" t="s">
        <v>407</v>
      </c>
      <c r="D1187" t="s">
        <v>88</v>
      </c>
      <c r="E1187" t="s">
        <v>77</v>
      </c>
      <c r="F1187">
        <f>ventas_libreria[[#This Row],[precio_eur]]/100</f>
        <v>1.25</v>
      </c>
      <c r="G1187">
        <v>125</v>
      </c>
      <c r="H1187">
        <v>3</v>
      </c>
      <c r="I1187">
        <f>ventas_libreria[[#This Row],[precio]]*ventas_libreria[[#This Row],[cantidad]]</f>
        <v>3.75</v>
      </c>
      <c r="J1187">
        <v>6</v>
      </c>
      <c r="K1187" t="s">
        <v>30</v>
      </c>
      <c r="L1187" s="1">
        <v>45665</v>
      </c>
      <c r="M1187" t="s">
        <v>43</v>
      </c>
      <c r="N1187" t="s">
        <v>32</v>
      </c>
      <c r="O1187" t="s">
        <v>33</v>
      </c>
      <c r="P1187" t="s">
        <v>50</v>
      </c>
      <c r="Q1187">
        <v>5</v>
      </c>
      <c r="R1187">
        <f>IF(ventas_libreria[[#This Row],[valoracion_cliente]]="","Sin valoración",ventas_libreria[[#This Row],[valoracion_cliente]])</f>
        <v>5</v>
      </c>
    </row>
    <row r="1188" spans="1:18" x14ac:dyDescent="0.25">
      <c r="A1188" t="s">
        <v>1464</v>
      </c>
      <c r="B1188" t="s">
        <v>437</v>
      </c>
      <c r="C1188" t="s">
        <v>438</v>
      </c>
      <c r="D1188" t="s">
        <v>178</v>
      </c>
      <c r="E1188" t="s">
        <v>55</v>
      </c>
      <c r="F1188">
        <f>ventas_libreria[[#This Row],[precio_eur]]/100</f>
        <v>1.79</v>
      </c>
      <c r="G1188">
        <v>179</v>
      </c>
      <c r="H1188">
        <v>1</v>
      </c>
      <c r="I1188">
        <f>ventas_libreria[[#This Row],[precio]]*ventas_libreria[[#This Row],[cantidad]]</f>
        <v>1.79</v>
      </c>
      <c r="J1188">
        <v>35</v>
      </c>
      <c r="K1188" t="s">
        <v>38</v>
      </c>
      <c r="L1188" s="1">
        <v>45703</v>
      </c>
      <c r="M1188" t="s">
        <v>43</v>
      </c>
      <c r="N1188" t="s">
        <v>32</v>
      </c>
      <c r="O1188" t="s">
        <v>33</v>
      </c>
      <c r="P1188" t="s">
        <v>56</v>
      </c>
      <c r="Q1188">
        <v>4</v>
      </c>
      <c r="R1188">
        <f>IF(ventas_libreria[[#This Row],[valoracion_cliente]]="","Sin valoración",ventas_libreria[[#This Row],[valoracion_cliente]])</f>
        <v>4</v>
      </c>
    </row>
    <row r="1189" spans="1:18" x14ac:dyDescent="0.25">
      <c r="A1189" t="s">
        <v>1465</v>
      </c>
      <c r="B1189" t="s">
        <v>286</v>
      </c>
      <c r="C1189" t="s">
        <v>287</v>
      </c>
      <c r="D1189" t="s">
        <v>288</v>
      </c>
      <c r="E1189" t="s">
        <v>289</v>
      </c>
      <c r="F1189">
        <f>ventas_libreria[[#This Row],[precio_eur]]/100</f>
        <v>2.2999999999999998</v>
      </c>
      <c r="G1189">
        <v>230</v>
      </c>
      <c r="H1189">
        <v>1</v>
      </c>
      <c r="I1189">
        <f>ventas_libreria[[#This Row],[precio]]*ventas_libreria[[#This Row],[cantidad]]</f>
        <v>2.2999999999999998</v>
      </c>
      <c r="J1189">
        <v>41</v>
      </c>
      <c r="K1189" t="s">
        <v>38</v>
      </c>
      <c r="L1189" s="1">
        <v>45855</v>
      </c>
      <c r="M1189" t="s">
        <v>31</v>
      </c>
      <c r="N1189" t="s">
        <v>32</v>
      </c>
      <c r="O1189" t="s">
        <v>33</v>
      </c>
      <c r="P1189" t="s">
        <v>50</v>
      </c>
      <c r="Q1189">
        <v>4</v>
      </c>
      <c r="R1189">
        <f>IF(ventas_libreria[[#This Row],[valoracion_cliente]]="","Sin valoración",ventas_libreria[[#This Row],[valoracion_cliente]])</f>
        <v>4</v>
      </c>
    </row>
    <row r="1190" spans="1:18" x14ac:dyDescent="0.25">
      <c r="A1190" t="s">
        <v>1466</v>
      </c>
      <c r="B1190" t="s">
        <v>86</v>
      </c>
      <c r="C1190" t="s">
        <v>87</v>
      </c>
      <c r="D1190" t="s">
        <v>88</v>
      </c>
      <c r="E1190" t="s">
        <v>77</v>
      </c>
      <c r="F1190">
        <f>ventas_libreria[[#This Row],[precio_eur]]/100</f>
        <v>9.52</v>
      </c>
      <c r="G1190">
        <v>952</v>
      </c>
      <c r="H1190">
        <v>2</v>
      </c>
      <c r="I1190">
        <f>ventas_libreria[[#This Row],[precio]]*ventas_libreria[[#This Row],[cantidad]]</f>
        <v>19.04</v>
      </c>
      <c r="J1190">
        <v>7</v>
      </c>
      <c r="K1190" t="s">
        <v>38</v>
      </c>
      <c r="L1190" s="1">
        <v>45263</v>
      </c>
      <c r="M1190" t="s">
        <v>43</v>
      </c>
      <c r="N1190" t="s">
        <v>32</v>
      </c>
      <c r="O1190" t="s">
        <v>33</v>
      </c>
      <c r="P1190" t="s">
        <v>50</v>
      </c>
      <c r="Q1190">
        <v>4</v>
      </c>
      <c r="R1190">
        <f>IF(ventas_libreria[[#This Row],[valoracion_cliente]]="","Sin valoración",ventas_libreria[[#This Row],[valoracion_cliente]])</f>
        <v>4</v>
      </c>
    </row>
    <row r="1191" spans="1:18" x14ac:dyDescent="0.25">
      <c r="A1191" t="s">
        <v>1467</v>
      </c>
      <c r="B1191" t="s">
        <v>365</v>
      </c>
      <c r="C1191" t="s">
        <v>366</v>
      </c>
      <c r="D1191" t="s">
        <v>367</v>
      </c>
      <c r="E1191" t="s">
        <v>19</v>
      </c>
      <c r="F1191">
        <f>ventas_libreria[[#This Row],[precio_eur]]/100</f>
        <v>15.12</v>
      </c>
      <c r="G1191">
        <v>1512</v>
      </c>
      <c r="H1191">
        <v>1</v>
      </c>
      <c r="I1191">
        <f>ventas_libreria[[#This Row],[precio]]*ventas_libreria[[#This Row],[cantidad]]</f>
        <v>15.12</v>
      </c>
      <c r="J1191">
        <v>43</v>
      </c>
      <c r="K1191" t="s">
        <v>30</v>
      </c>
      <c r="L1191" s="1">
        <v>45213</v>
      </c>
      <c r="M1191" t="s">
        <v>21</v>
      </c>
      <c r="N1191" t="s">
        <v>22</v>
      </c>
      <c r="O1191" t="s">
        <v>49</v>
      </c>
      <c r="P1191" t="s">
        <v>84</v>
      </c>
      <c r="Q1191">
        <v>5</v>
      </c>
      <c r="R1191">
        <f>IF(ventas_libreria[[#This Row],[valoracion_cliente]]="","Sin valoración",ventas_libreria[[#This Row],[valoracion_cliente]])</f>
        <v>5</v>
      </c>
    </row>
    <row r="1192" spans="1:18" x14ac:dyDescent="0.25">
      <c r="A1192" t="s">
        <v>1468</v>
      </c>
      <c r="B1192" t="s">
        <v>243</v>
      </c>
      <c r="C1192" t="s">
        <v>244</v>
      </c>
      <c r="D1192" t="s">
        <v>245</v>
      </c>
      <c r="E1192" t="s">
        <v>48</v>
      </c>
      <c r="F1192">
        <f>ventas_libreria[[#This Row],[precio_eur]]/100</f>
        <v>24.09</v>
      </c>
      <c r="G1192">
        <v>2409</v>
      </c>
      <c r="H1192">
        <v>2</v>
      </c>
      <c r="I1192">
        <f>ventas_libreria[[#This Row],[precio]]*ventas_libreria[[#This Row],[cantidad]]</f>
        <v>48.18</v>
      </c>
      <c r="J1192">
        <v>68</v>
      </c>
      <c r="K1192" t="s">
        <v>62</v>
      </c>
      <c r="L1192" s="1">
        <v>45457</v>
      </c>
      <c r="M1192" t="s">
        <v>43</v>
      </c>
      <c r="N1192" t="s">
        <v>32</v>
      </c>
      <c r="O1192" t="s">
        <v>33</v>
      </c>
      <c r="P1192" t="s">
        <v>24</v>
      </c>
      <c r="Q1192">
        <v>4</v>
      </c>
      <c r="R1192">
        <f>IF(ventas_libreria[[#This Row],[valoracion_cliente]]="","Sin valoración",ventas_libreria[[#This Row],[valoracion_cliente]])</f>
        <v>4</v>
      </c>
    </row>
    <row r="1193" spans="1:18" x14ac:dyDescent="0.25">
      <c r="A1193" t="s">
        <v>1469</v>
      </c>
      <c r="B1193" t="s">
        <v>137</v>
      </c>
      <c r="C1193" t="s">
        <v>138</v>
      </c>
      <c r="D1193" t="s">
        <v>139</v>
      </c>
      <c r="E1193" t="s">
        <v>116</v>
      </c>
      <c r="F1193">
        <f>ventas_libreria[[#This Row],[precio_eur]]/100</f>
        <v>14.19</v>
      </c>
      <c r="G1193">
        <v>1419</v>
      </c>
      <c r="H1193">
        <v>1</v>
      </c>
      <c r="I1193">
        <f>ventas_libreria[[#This Row],[precio]]*ventas_libreria[[#This Row],[cantidad]]</f>
        <v>14.19</v>
      </c>
      <c r="J1193">
        <v>27</v>
      </c>
      <c r="K1193" t="s">
        <v>62</v>
      </c>
      <c r="L1193" s="1">
        <v>45527</v>
      </c>
      <c r="M1193" t="s">
        <v>43</v>
      </c>
      <c r="N1193" t="s">
        <v>32</v>
      </c>
      <c r="O1193" t="s">
        <v>33</v>
      </c>
      <c r="P1193" t="s">
        <v>84</v>
      </c>
      <c r="Q1193">
        <v>3</v>
      </c>
      <c r="R1193">
        <f>IF(ventas_libreria[[#This Row],[valoracion_cliente]]="","Sin valoración",ventas_libreria[[#This Row],[valoracion_cliente]])</f>
        <v>3</v>
      </c>
    </row>
    <row r="1194" spans="1:18" x14ac:dyDescent="0.25">
      <c r="A1194" t="s">
        <v>1470</v>
      </c>
      <c r="B1194" t="s">
        <v>541</v>
      </c>
      <c r="C1194" t="s">
        <v>542</v>
      </c>
      <c r="D1194" t="s">
        <v>131</v>
      </c>
      <c r="E1194" t="s">
        <v>107</v>
      </c>
      <c r="F1194">
        <f>ventas_libreria[[#This Row],[precio_eur]]/100</f>
        <v>1.67</v>
      </c>
      <c r="G1194">
        <v>167</v>
      </c>
      <c r="H1194">
        <v>1</v>
      </c>
      <c r="I1194">
        <f>ventas_libreria[[#This Row],[precio]]*ventas_libreria[[#This Row],[cantidad]]</f>
        <v>1.67</v>
      </c>
      <c r="J1194">
        <v>20</v>
      </c>
      <c r="K1194" t="s">
        <v>30</v>
      </c>
      <c r="L1194" s="1">
        <v>45637</v>
      </c>
      <c r="M1194" t="s">
        <v>21</v>
      </c>
      <c r="N1194" t="s">
        <v>32</v>
      </c>
      <c r="O1194" t="s">
        <v>33</v>
      </c>
      <c r="P1194" t="s">
        <v>50</v>
      </c>
      <c r="Q1194">
        <v>3</v>
      </c>
      <c r="R1194">
        <f>IF(ventas_libreria[[#This Row],[valoracion_cliente]]="","Sin valoración",ventas_libreria[[#This Row],[valoracion_cliente]])</f>
        <v>3</v>
      </c>
    </row>
    <row r="1195" spans="1:18" x14ac:dyDescent="0.25">
      <c r="A1195" t="s">
        <v>1471</v>
      </c>
      <c r="B1195" t="s">
        <v>95</v>
      </c>
      <c r="C1195" t="s">
        <v>96</v>
      </c>
      <c r="D1195" t="s">
        <v>97</v>
      </c>
      <c r="E1195" t="s">
        <v>29</v>
      </c>
      <c r="F1195">
        <f>ventas_libreria[[#This Row],[precio_eur]]/100</f>
        <v>14.32</v>
      </c>
      <c r="G1195">
        <v>1432</v>
      </c>
      <c r="H1195">
        <v>1</v>
      </c>
      <c r="I1195">
        <f>ventas_libreria[[#This Row],[precio]]*ventas_libreria[[#This Row],[cantidad]]</f>
        <v>14.32</v>
      </c>
      <c r="J1195">
        <v>22</v>
      </c>
      <c r="K1195" t="s">
        <v>20</v>
      </c>
      <c r="L1195" s="1">
        <v>45960</v>
      </c>
      <c r="M1195" t="s">
        <v>21</v>
      </c>
      <c r="N1195" t="s">
        <v>22</v>
      </c>
      <c r="O1195" t="s">
        <v>67</v>
      </c>
      <c r="P1195" t="s">
        <v>34</v>
      </c>
      <c r="Q1195">
        <v>5</v>
      </c>
      <c r="R1195">
        <f>IF(ventas_libreria[[#This Row],[valoracion_cliente]]="","Sin valoración",ventas_libreria[[#This Row],[valoracion_cliente]])</f>
        <v>5</v>
      </c>
    </row>
    <row r="1196" spans="1:18" x14ac:dyDescent="0.25">
      <c r="A1196" t="s">
        <v>1472</v>
      </c>
      <c r="B1196" t="s">
        <v>362</v>
      </c>
      <c r="C1196" t="s">
        <v>363</v>
      </c>
      <c r="D1196" t="s">
        <v>249</v>
      </c>
      <c r="E1196" t="s">
        <v>172</v>
      </c>
      <c r="F1196">
        <f>ventas_libreria[[#This Row],[precio_eur]]/100</f>
        <v>1.52</v>
      </c>
      <c r="G1196">
        <v>152</v>
      </c>
      <c r="H1196">
        <v>1</v>
      </c>
      <c r="I1196">
        <f>ventas_libreria[[#This Row],[precio]]*ventas_libreria[[#This Row],[cantidad]]</f>
        <v>1.52</v>
      </c>
      <c r="J1196">
        <v>63</v>
      </c>
      <c r="K1196" t="s">
        <v>38</v>
      </c>
      <c r="L1196" s="1">
        <v>45287</v>
      </c>
      <c r="M1196" t="s">
        <v>21</v>
      </c>
      <c r="N1196" t="s">
        <v>32</v>
      </c>
      <c r="O1196" t="s">
        <v>33</v>
      </c>
      <c r="P1196" t="s">
        <v>84</v>
      </c>
      <c r="Q1196">
        <v>5</v>
      </c>
      <c r="R1196">
        <f>IF(ventas_libreria[[#This Row],[valoracion_cliente]]="","Sin valoración",ventas_libreria[[#This Row],[valoracion_cliente]])</f>
        <v>5</v>
      </c>
    </row>
    <row r="1197" spans="1:18" x14ac:dyDescent="0.25">
      <c r="A1197" t="s">
        <v>1473</v>
      </c>
      <c r="B1197" t="s">
        <v>95</v>
      </c>
      <c r="C1197" t="s">
        <v>96</v>
      </c>
      <c r="D1197" t="s">
        <v>97</v>
      </c>
      <c r="E1197" t="s">
        <v>29</v>
      </c>
      <c r="F1197">
        <f>ventas_libreria[[#This Row],[precio_eur]]/100</f>
        <v>18.79</v>
      </c>
      <c r="G1197">
        <v>1879</v>
      </c>
      <c r="H1197">
        <v>1</v>
      </c>
      <c r="I1197">
        <f>ventas_libreria[[#This Row],[precio]]*ventas_libreria[[#This Row],[cantidad]]</f>
        <v>18.79</v>
      </c>
      <c r="J1197">
        <v>36</v>
      </c>
      <c r="K1197" t="s">
        <v>38</v>
      </c>
      <c r="L1197" s="1">
        <v>45208</v>
      </c>
      <c r="M1197" t="s">
        <v>31</v>
      </c>
      <c r="N1197" t="s">
        <v>22</v>
      </c>
      <c r="O1197" t="s">
        <v>49</v>
      </c>
      <c r="P1197" t="s">
        <v>24</v>
      </c>
      <c r="Q1197">
        <v>4</v>
      </c>
      <c r="R1197">
        <f>IF(ventas_libreria[[#This Row],[valoracion_cliente]]="","Sin valoración",ventas_libreria[[#This Row],[valoracion_cliente]])</f>
        <v>4</v>
      </c>
    </row>
    <row r="1198" spans="1:18" x14ac:dyDescent="0.25">
      <c r="A1198" t="s">
        <v>1474</v>
      </c>
      <c r="B1198" t="s">
        <v>58</v>
      </c>
      <c r="C1198" t="s">
        <v>59</v>
      </c>
      <c r="D1198" t="s">
        <v>60</v>
      </c>
      <c r="E1198" t="s">
        <v>61</v>
      </c>
      <c r="F1198">
        <f>ventas_libreria[[#This Row],[precio_eur]]/100</f>
        <v>1.29</v>
      </c>
      <c r="G1198">
        <v>129</v>
      </c>
      <c r="H1198">
        <v>4</v>
      </c>
      <c r="I1198">
        <f>ventas_libreria[[#This Row],[precio]]*ventas_libreria[[#This Row],[cantidad]]</f>
        <v>5.16</v>
      </c>
      <c r="J1198">
        <v>54</v>
      </c>
      <c r="K1198" t="s">
        <v>30</v>
      </c>
      <c r="L1198" s="1">
        <v>44995</v>
      </c>
      <c r="M1198" t="s">
        <v>31</v>
      </c>
      <c r="N1198" t="s">
        <v>22</v>
      </c>
      <c r="O1198" t="s">
        <v>132</v>
      </c>
      <c r="P1198" t="s">
        <v>24</v>
      </c>
      <c r="Q1198">
        <v>5</v>
      </c>
      <c r="R1198">
        <f>IF(ventas_libreria[[#This Row],[valoracion_cliente]]="","Sin valoración",ventas_libreria[[#This Row],[valoracion_cliente]])</f>
        <v>5</v>
      </c>
    </row>
    <row r="1199" spans="1:18" x14ac:dyDescent="0.25">
      <c r="A1199" t="s">
        <v>1475</v>
      </c>
      <c r="B1199" t="s">
        <v>74</v>
      </c>
      <c r="C1199" t="s">
        <v>75</v>
      </c>
      <c r="D1199" t="s">
        <v>76</v>
      </c>
      <c r="E1199" t="s">
        <v>77</v>
      </c>
      <c r="F1199">
        <f>ventas_libreria[[#This Row],[precio_eur]]/100</f>
        <v>12.72</v>
      </c>
      <c r="G1199">
        <v>1272</v>
      </c>
      <c r="H1199">
        <v>1</v>
      </c>
      <c r="I1199">
        <f>ventas_libreria[[#This Row],[precio]]*ventas_libreria[[#This Row],[cantidad]]</f>
        <v>12.72</v>
      </c>
      <c r="J1199">
        <v>11</v>
      </c>
      <c r="K1199" t="s">
        <v>20</v>
      </c>
      <c r="L1199" s="1">
        <v>45594</v>
      </c>
      <c r="M1199" t="s">
        <v>21</v>
      </c>
      <c r="N1199" t="s">
        <v>32</v>
      </c>
      <c r="O1199" t="s">
        <v>33</v>
      </c>
      <c r="P1199" t="s">
        <v>56</v>
      </c>
      <c r="Q1199">
        <v>5</v>
      </c>
      <c r="R1199">
        <f>IF(ventas_libreria[[#This Row],[valoracion_cliente]]="","Sin valoración",ventas_libreria[[#This Row],[valoracion_cliente]])</f>
        <v>5</v>
      </c>
    </row>
    <row r="1200" spans="1:18" x14ac:dyDescent="0.25">
      <c r="A1200" t="s">
        <v>1476</v>
      </c>
      <c r="B1200" t="s">
        <v>220</v>
      </c>
      <c r="C1200" t="s">
        <v>221</v>
      </c>
      <c r="D1200" t="s">
        <v>222</v>
      </c>
      <c r="E1200" t="s">
        <v>116</v>
      </c>
      <c r="F1200">
        <f>ventas_libreria[[#This Row],[precio_eur]]/100</f>
        <v>1.29</v>
      </c>
      <c r="G1200">
        <v>129</v>
      </c>
      <c r="H1200">
        <v>1</v>
      </c>
      <c r="I1200">
        <f>ventas_libreria[[#This Row],[precio]]*ventas_libreria[[#This Row],[cantidad]]</f>
        <v>1.29</v>
      </c>
      <c r="J1200">
        <v>40</v>
      </c>
      <c r="K1200" t="s">
        <v>62</v>
      </c>
      <c r="L1200" s="1">
        <v>44933</v>
      </c>
      <c r="M1200" t="s">
        <v>21</v>
      </c>
      <c r="N1200" t="s">
        <v>22</v>
      </c>
      <c r="O1200" t="s">
        <v>67</v>
      </c>
      <c r="P1200" t="s">
        <v>50</v>
      </c>
      <c r="R1200" t="str">
        <f>IF(ventas_libreria[[#This Row],[valoracion_cliente]]="","Sin valoración",ventas_libreria[[#This Row],[valoracion_cliente]])</f>
        <v>Sin valoración</v>
      </c>
    </row>
    <row r="1201" spans="1:18" x14ac:dyDescent="0.25">
      <c r="A1201" t="s">
        <v>1477</v>
      </c>
      <c r="B1201" t="s">
        <v>602</v>
      </c>
      <c r="C1201" t="s">
        <v>603</v>
      </c>
      <c r="D1201" t="s">
        <v>217</v>
      </c>
      <c r="E1201" t="s">
        <v>55</v>
      </c>
      <c r="F1201">
        <f>ventas_libreria[[#This Row],[precio_eur]]/100</f>
        <v>19.690000000000001</v>
      </c>
      <c r="G1201">
        <v>1969</v>
      </c>
      <c r="H1201">
        <v>1</v>
      </c>
      <c r="I1201">
        <f>ventas_libreria[[#This Row],[precio]]*ventas_libreria[[#This Row],[cantidad]]</f>
        <v>19.690000000000001</v>
      </c>
      <c r="J1201">
        <v>18</v>
      </c>
      <c r="K1201" t="s">
        <v>38</v>
      </c>
      <c r="L1201" s="1">
        <v>45375</v>
      </c>
      <c r="M1201" t="s">
        <v>43</v>
      </c>
      <c r="N1201" t="s">
        <v>32</v>
      </c>
      <c r="O1201" t="s">
        <v>33</v>
      </c>
      <c r="P1201" t="s">
        <v>56</v>
      </c>
      <c r="Q1201">
        <v>4</v>
      </c>
      <c r="R1201">
        <f>IF(ventas_libreria[[#This Row],[valoracion_cliente]]="","Sin valoración",ventas_libreria[[#This Row],[valoracion_cliente]])</f>
        <v>4</v>
      </c>
    </row>
    <row r="1202" spans="1:18" x14ac:dyDescent="0.25">
      <c r="A1202" t="s">
        <v>1478</v>
      </c>
      <c r="B1202" t="s">
        <v>193</v>
      </c>
      <c r="C1202" t="s">
        <v>194</v>
      </c>
      <c r="D1202" t="s">
        <v>195</v>
      </c>
      <c r="E1202" t="s">
        <v>48</v>
      </c>
      <c r="F1202">
        <f>ventas_libreria[[#This Row],[precio_eur]]/100</f>
        <v>1.99</v>
      </c>
      <c r="G1202">
        <v>199</v>
      </c>
      <c r="H1202">
        <v>1</v>
      </c>
      <c r="I1202">
        <f>ventas_libreria[[#This Row],[precio]]*ventas_libreria[[#This Row],[cantidad]]</f>
        <v>1.99</v>
      </c>
      <c r="J1202">
        <v>20</v>
      </c>
      <c r="K1202" t="s">
        <v>20</v>
      </c>
      <c r="L1202" s="1">
        <v>45835</v>
      </c>
      <c r="M1202" t="s">
        <v>43</v>
      </c>
      <c r="N1202" t="s">
        <v>32</v>
      </c>
      <c r="O1202" t="s">
        <v>33</v>
      </c>
      <c r="P1202" t="s">
        <v>34</v>
      </c>
      <c r="R1202" t="str">
        <f>IF(ventas_libreria[[#This Row],[valoracion_cliente]]="","Sin valoración",ventas_libreria[[#This Row],[valoracion_cliente]])</f>
        <v>Sin valoración</v>
      </c>
    </row>
    <row r="1203" spans="1:18" x14ac:dyDescent="0.25">
      <c r="A1203" t="s">
        <v>1479</v>
      </c>
      <c r="B1203" t="s">
        <v>141</v>
      </c>
      <c r="C1203" t="s">
        <v>142</v>
      </c>
      <c r="D1203" t="s">
        <v>143</v>
      </c>
      <c r="E1203" t="s">
        <v>116</v>
      </c>
      <c r="F1203">
        <f>ventas_libreria[[#This Row],[precio_eur]]/100</f>
        <v>13.41</v>
      </c>
      <c r="G1203">
        <v>1341</v>
      </c>
      <c r="H1203">
        <v>2</v>
      </c>
      <c r="I1203">
        <f>ventas_libreria[[#This Row],[precio]]*ventas_libreria[[#This Row],[cantidad]]</f>
        <v>26.82</v>
      </c>
      <c r="J1203">
        <v>49</v>
      </c>
      <c r="K1203" t="s">
        <v>30</v>
      </c>
      <c r="L1203" s="1">
        <v>45295</v>
      </c>
      <c r="M1203" t="s">
        <v>31</v>
      </c>
      <c r="N1203" t="s">
        <v>32</v>
      </c>
      <c r="O1203" t="s">
        <v>33</v>
      </c>
      <c r="P1203" t="s">
        <v>24</v>
      </c>
      <c r="Q1203">
        <v>1</v>
      </c>
      <c r="R1203">
        <f>IF(ventas_libreria[[#This Row],[valoracion_cliente]]="","Sin valoración",ventas_libreria[[#This Row],[valoracion_cliente]])</f>
        <v>1</v>
      </c>
    </row>
    <row r="1204" spans="1:18" x14ac:dyDescent="0.25">
      <c r="A1204" t="s">
        <v>1480</v>
      </c>
      <c r="B1204" t="s">
        <v>64</v>
      </c>
      <c r="C1204" t="s">
        <v>65</v>
      </c>
      <c r="D1204" t="s">
        <v>66</v>
      </c>
      <c r="E1204" t="s">
        <v>29</v>
      </c>
      <c r="F1204">
        <f>ventas_libreria[[#This Row],[precio_eur]]/100</f>
        <v>17.32</v>
      </c>
      <c r="G1204">
        <v>1732</v>
      </c>
      <c r="H1204">
        <v>2</v>
      </c>
      <c r="I1204">
        <f>ventas_libreria[[#This Row],[precio]]*ventas_libreria[[#This Row],[cantidad]]</f>
        <v>34.64</v>
      </c>
      <c r="J1204">
        <v>22</v>
      </c>
      <c r="K1204" t="s">
        <v>62</v>
      </c>
      <c r="L1204" s="1">
        <v>45952</v>
      </c>
      <c r="M1204" t="s">
        <v>43</v>
      </c>
      <c r="N1204" t="s">
        <v>32</v>
      </c>
      <c r="O1204" t="s">
        <v>33</v>
      </c>
      <c r="P1204" t="s">
        <v>84</v>
      </c>
      <c r="Q1204">
        <v>1</v>
      </c>
      <c r="R1204">
        <f>IF(ventas_libreria[[#This Row],[valoracion_cliente]]="","Sin valoración",ventas_libreria[[#This Row],[valoracion_cliente]])</f>
        <v>1</v>
      </c>
    </row>
    <row r="1205" spans="1:18" x14ac:dyDescent="0.25">
      <c r="A1205" t="s">
        <v>1481</v>
      </c>
      <c r="B1205" t="s">
        <v>296</v>
      </c>
      <c r="C1205" t="s">
        <v>297</v>
      </c>
      <c r="D1205" t="s">
        <v>298</v>
      </c>
      <c r="E1205" t="s">
        <v>154</v>
      </c>
      <c r="F1205">
        <f>ventas_libreria[[#This Row],[precio_eur]]/100</f>
        <v>14.32</v>
      </c>
      <c r="G1205">
        <v>1432</v>
      </c>
      <c r="H1205">
        <v>2</v>
      </c>
      <c r="I1205">
        <f>ventas_libreria[[#This Row],[precio]]*ventas_libreria[[#This Row],[cantidad]]</f>
        <v>28.64</v>
      </c>
      <c r="J1205">
        <v>42</v>
      </c>
      <c r="K1205" t="s">
        <v>20</v>
      </c>
      <c r="L1205" s="1">
        <v>45749</v>
      </c>
      <c r="M1205" t="s">
        <v>31</v>
      </c>
      <c r="N1205" t="s">
        <v>22</v>
      </c>
      <c r="O1205" t="s">
        <v>67</v>
      </c>
      <c r="P1205" t="s">
        <v>56</v>
      </c>
      <c r="Q1205">
        <v>5</v>
      </c>
      <c r="R1205">
        <f>IF(ventas_libreria[[#This Row],[valoracion_cliente]]="","Sin valoración",ventas_libreria[[#This Row],[valoracion_cliente]])</f>
        <v>5</v>
      </c>
    </row>
    <row r="1206" spans="1:18" x14ac:dyDescent="0.25">
      <c r="A1206" t="s">
        <v>1482</v>
      </c>
      <c r="B1206" t="s">
        <v>446</v>
      </c>
      <c r="C1206" t="s">
        <v>447</v>
      </c>
      <c r="D1206" t="s">
        <v>262</v>
      </c>
      <c r="E1206" t="s">
        <v>263</v>
      </c>
      <c r="F1206">
        <f>ventas_libreria[[#This Row],[precio_eur]]/100</f>
        <v>15.92</v>
      </c>
      <c r="G1206">
        <v>1592</v>
      </c>
      <c r="H1206">
        <v>2</v>
      </c>
      <c r="I1206">
        <f>ventas_libreria[[#This Row],[precio]]*ventas_libreria[[#This Row],[cantidad]]</f>
        <v>31.84</v>
      </c>
      <c r="J1206">
        <v>36</v>
      </c>
      <c r="K1206" t="s">
        <v>62</v>
      </c>
      <c r="L1206" s="1">
        <v>45199</v>
      </c>
      <c r="M1206" t="s">
        <v>43</v>
      </c>
      <c r="N1206" t="s">
        <v>32</v>
      </c>
      <c r="O1206" t="s">
        <v>33</v>
      </c>
      <c r="P1206" t="s">
        <v>56</v>
      </c>
      <c r="Q1206">
        <v>5</v>
      </c>
      <c r="R1206">
        <f>IF(ventas_libreria[[#This Row],[valoracion_cliente]]="","Sin valoración",ventas_libreria[[#This Row],[valoracion_cliente]])</f>
        <v>5</v>
      </c>
    </row>
    <row r="1207" spans="1:18" x14ac:dyDescent="0.25">
      <c r="A1207" t="s">
        <v>1483</v>
      </c>
      <c r="B1207" t="s">
        <v>602</v>
      </c>
      <c r="C1207" t="s">
        <v>603</v>
      </c>
      <c r="D1207" t="s">
        <v>217</v>
      </c>
      <c r="E1207" t="s">
        <v>55</v>
      </c>
      <c r="F1207">
        <f>ventas_libreria[[#This Row],[precio_eur]]/100</f>
        <v>18.79</v>
      </c>
      <c r="G1207">
        <v>1879</v>
      </c>
      <c r="H1207">
        <v>1</v>
      </c>
      <c r="I1207">
        <f>ventas_libreria[[#This Row],[precio]]*ventas_libreria[[#This Row],[cantidad]]</f>
        <v>18.79</v>
      </c>
      <c r="J1207">
        <v>41</v>
      </c>
      <c r="K1207" t="s">
        <v>62</v>
      </c>
      <c r="L1207" s="1">
        <v>45134</v>
      </c>
      <c r="M1207" t="s">
        <v>21</v>
      </c>
      <c r="N1207" t="s">
        <v>22</v>
      </c>
      <c r="O1207" t="s">
        <v>67</v>
      </c>
      <c r="P1207" t="s">
        <v>50</v>
      </c>
      <c r="Q1207">
        <v>5</v>
      </c>
      <c r="R1207">
        <f>IF(ventas_libreria[[#This Row],[valoracion_cliente]]="","Sin valoración",ventas_libreria[[#This Row],[valoracion_cliente]])</f>
        <v>5</v>
      </c>
    </row>
    <row r="1208" spans="1:18" x14ac:dyDescent="0.25">
      <c r="A1208" t="s">
        <v>1484</v>
      </c>
      <c r="B1208" t="s">
        <v>204</v>
      </c>
      <c r="C1208" t="s">
        <v>205</v>
      </c>
      <c r="D1208" t="s">
        <v>206</v>
      </c>
      <c r="E1208" t="s">
        <v>116</v>
      </c>
      <c r="F1208">
        <f>ventas_libreria[[#This Row],[precio_eur]]/100</f>
        <v>1.29</v>
      </c>
      <c r="G1208">
        <v>129</v>
      </c>
      <c r="H1208">
        <v>4</v>
      </c>
      <c r="I1208">
        <f>ventas_libreria[[#This Row],[precio]]*ventas_libreria[[#This Row],[cantidad]]</f>
        <v>5.16</v>
      </c>
      <c r="J1208">
        <v>61</v>
      </c>
      <c r="K1208" t="s">
        <v>38</v>
      </c>
      <c r="L1208" s="1">
        <v>45823</v>
      </c>
      <c r="M1208" t="s">
        <v>43</v>
      </c>
      <c r="N1208" t="s">
        <v>32</v>
      </c>
      <c r="O1208" t="s">
        <v>33</v>
      </c>
      <c r="P1208" t="s">
        <v>24</v>
      </c>
      <c r="Q1208">
        <v>5</v>
      </c>
      <c r="R1208">
        <f>IF(ventas_libreria[[#This Row],[valoracion_cliente]]="","Sin valoración",ventas_libreria[[#This Row],[valoracion_cliente]])</f>
        <v>5</v>
      </c>
    </row>
    <row r="1209" spans="1:18" x14ac:dyDescent="0.25">
      <c r="A1209" t="s">
        <v>1485</v>
      </c>
      <c r="B1209" t="s">
        <v>268</v>
      </c>
      <c r="C1209" t="s">
        <v>269</v>
      </c>
      <c r="D1209" t="s">
        <v>270</v>
      </c>
      <c r="E1209" t="s">
        <v>83</v>
      </c>
      <c r="F1209">
        <f>ventas_libreria[[#This Row],[precio_eur]]/100</f>
        <v>1.0900000000000001</v>
      </c>
      <c r="G1209">
        <v>109</v>
      </c>
      <c r="H1209">
        <v>1</v>
      </c>
      <c r="I1209">
        <f>ventas_libreria[[#This Row],[precio]]*ventas_libreria[[#This Row],[cantidad]]</f>
        <v>1.0900000000000001</v>
      </c>
      <c r="J1209">
        <v>59</v>
      </c>
      <c r="K1209" t="s">
        <v>20</v>
      </c>
      <c r="L1209" s="1">
        <v>44928</v>
      </c>
      <c r="M1209" t="s">
        <v>43</v>
      </c>
      <c r="N1209" t="s">
        <v>32</v>
      </c>
      <c r="O1209" t="s">
        <v>33</v>
      </c>
      <c r="P1209" t="s">
        <v>56</v>
      </c>
      <c r="Q1209">
        <v>4</v>
      </c>
      <c r="R1209">
        <f>IF(ventas_libreria[[#This Row],[valoracion_cliente]]="","Sin valoración",ventas_libreria[[#This Row],[valoracion_cliente]])</f>
        <v>4</v>
      </c>
    </row>
    <row r="1210" spans="1:18" x14ac:dyDescent="0.25">
      <c r="A1210" t="s">
        <v>1486</v>
      </c>
      <c r="B1210" t="s">
        <v>260</v>
      </c>
      <c r="C1210" t="s">
        <v>261</v>
      </c>
      <c r="D1210" t="s">
        <v>262</v>
      </c>
      <c r="E1210" t="s">
        <v>263</v>
      </c>
      <c r="F1210">
        <f>ventas_libreria[[#This Row],[precio_eur]]/100</f>
        <v>17.52</v>
      </c>
      <c r="G1210">
        <v>1752</v>
      </c>
      <c r="H1210">
        <v>1</v>
      </c>
      <c r="I1210">
        <f>ventas_libreria[[#This Row],[precio]]*ventas_libreria[[#This Row],[cantidad]]</f>
        <v>17.52</v>
      </c>
      <c r="J1210">
        <v>22</v>
      </c>
      <c r="K1210" t="s">
        <v>20</v>
      </c>
      <c r="L1210" s="1">
        <v>45387</v>
      </c>
      <c r="M1210" t="s">
        <v>21</v>
      </c>
      <c r="N1210" t="s">
        <v>22</v>
      </c>
      <c r="O1210" t="s">
        <v>132</v>
      </c>
      <c r="P1210" t="s">
        <v>56</v>
      </c>
      <c r="Q1210">
        <v>3</v>
      </c>
      <c r="R1210">
        <f>IF(ventas_libreria[[#This Row],[valoracion_cliente]]="","Sin valoración",ventas_libreria[[#This Row],[valoracion_cliente]])</f>
        <v>3</v>
      </c>
    </row>
    <row r="1211" spans="1:18" x14ac:dyDescent="0.25">
      <c r="A1211" t="s">
        <v>1487</v>
      </c>
      <c r="B1211" t="s">
        <v>52</v>
      </c>
      <c r="C1211" t="s">
        <v>53</v>
      </c>
      <c r="D1211" t="s">
        <v>54</v>
      </c>
      <c r="E1211" t="s">
        <v>55</v>
      </c>
      <c r="F1211">
        <f>ventas_libreria[[#This Row],[precio_eur]]/100</f>
        <v>1.25</v>
      </c>
      <c r="G1211">
        <v>125</v>
      </c>
      <c r="H1211">
        <v>1</v>
      </c>
      <c r="I1211">
        <f>ventas_libreria[[#This Row],[precio]]*ventas_libreria[[#This Row],[cantidad]]</f>
        <v>1.25</v>
      </c>
      <c r="J1211">
        <v>46</v>
      </c>
      <c r="K1211" t="s">
        <v>62</v>
      </c>
      <c r="L1211" s="1">
        <v>45800</v>
      </c>
      <c r="M1211" t="s">
        <v>43</v>
      </c>
      <c r="N1211" t="s">
        <v>32</v>
      </c>
      <c r="O1211" t="s">
        <v>33</v>
      </c>
      <c r="P1211" t="s">
        <v>50</v>
      </c>
      <c r="Q1211">
        <v>3</v>
      </c>
      <c r="R1211">
        <f>IF(ventas_libreria[[#This Row],[valoracion_cliente]]="","Sin valoración",ventas_libreria[[#This Row],[valoracion_cliente]])</f>
        <v>3</v>
      </c>
    </row>
    <row r="1212" spans="1:18" x14ac:dyDescent="0.25">
      <c r="A1212" t="s">
        <v>1488</v>
      </c>
      <c r="B1212" t="s">
        <v>45</v>
      </c>
      <c r="C1212" t="s">
        <v>46</v>
      </c>
      <c r="D1212" t="s">
        <v>47</v>
      </c>
      <c r="E1212" t="s">
        <v>48</v>
      </c>
      <c r="F1212">
        <f>ventas_libreria[[#This Row],[precio_eur]]/100</f>
        <v>1.99</v>
      </c>
      <c r="G1212">
        <v>199</v>
      </c>
      <c r="H1212">
        <v>1</v>
      </c>
      <c r="I1212">
        <f>ventas_libreria[[#This Row],[precio]]*ventas_libreria[[#This Row],[cantidad]]</f>
        <v>1.99</v>
      </c>
      <c r="J1212">
        <v>72</v>
      </c>
      <c r="K1212" t="s">
        <v>30</v>
      </c>
      <c r="L1212" s="1">
        <v>45224</v>
      </c>
      <c r="M1212" t="s">
        <v>31</v>
      </c>
      <c r="N1212" t="s">
        <v>32</v>
      </c>
      <c r="O1212" t="s">
        <v>33</v>
      </c>
      <c r="P1212" t="s">
        <v>50</v>
      </c>
      <c r="Q1212">
        <v>5</v>
      </c>
      <c r="R1212">
        <f>IF(ventas_libreria[[#This Row],[valoracion_cliente]]="","Sin valoración",ventas_libreria[[#This Row],[valoracion_cliente]])</f>
        <v>5</v>
      </c>
    </row>
    <row r="1213" spans="1:18" x14ac:dyDescent="0.25">
      <c r="A1213" t="s">
        <v>1489</v>
      </c>
      <c r="B1213" t="s">
        <v>332</v>
      </c>
      <c r="C1213" t="s">
        <v>333</v>
      </c>
      <c r="D1213" t="s">
        <v>334</v>
      </c>
      <c r="E1213" t="s">
        <v>116</v>
      </c>
      <c r="F1213">
        <f>ventas_libreria[[#This Row],[precio_eur]]/100</f>
        <v>14.36</v>
      </c>
      <c r="G1213">
        <v>1436</v>
      </c>
      <c r="H1213">
        <v>2</v>
      </c>
      <c r="I1213">
        <f>ventas_libreria[[#This Row],[precio]]*ventas_libreria[[#This Row],[cantidad]]</f>
        <v>28.72</v>
      </c>
      <c r="J1213">
        <v>47</v>
      </c>
      <c r="K1213" t="s">
        <v>30</v>
      </c>
      <c r="L1213" s="1">
        <v>45025</v>
      </c>
      <c r="M1213" t="s">
        <v>31</v>
      </c>
      <c r="N1213" t="s">
        <v>22</v>
      </c>
      <c r="O1213" t="s">
        <v>98</v>
      </c>
      <c r="P1213" t="s">
        <v>84</v>
      </c>
      <c r="Q1213">
        <v>4</v>
      </c>
      <c r="R1213">
        <f>IF(ventas_libreria[[#This Row],[valoracion_cliente]]="","Sin valoración",ventas_libreria[[#This Row],[valoracion_cliente]])</f>
        <v>4</v>
      </c>
    </row>
    <row r="1214" spans="1:18" x14ac:dyDescent="0.25">
      <c r="A1214" t="s">
        <v>1490</v>
      </c>
      <c r="B1214" t="s">
        <v>156</v>
      </c>
      <c r="C1214" t="s">
        <v>157</v>
      </c>
      <c r="D1214" t="s">
        <v>158</v>
      </c>
      <c r="E1214" t="s">
        <v>149</v>
      </c>
      <c r="F1214">
        <f>ventas_libreria[[#This Row],[precio_eur]]/100</f>
        <v>15.12</v>
      </c>
      <c r="G1214">
        <v>1512</v>
      </c>
      <c r="H1214">
        <v>2</v>
      </c>
      <c r="I1214">
        <f>ventas_libreria[[#This Row],[precio]]*ventas_libreria[[#This Row],[cantidad]]</f>
        <v>30.24</v>
      </c>
      <c r="J1214">
        <v>44</v>
      </c>
      <c r="K1214" t="s">
        <v>38</v>
      </c>
      <c r="L1214" s="1">
        <v>45230</v>
      </c>
      <c r="M1214" t="s">
        <v>31</v>
      </c>
      <c r="N1214" t="s">
        <v>22</v>
      </c>
      <c r="O1214" t="s">
        <v>23</v>
      </c>
      <c r="P1214" t="s">
        <v>34</v>
      </c>
      <c r="Q1214">
        <v>4</v>
      </c>
      <c r="R1214">
        <f>IF(ventas_libreria[[#This Row],[valoracion_cliente]]="","Sin valoración",ventas_libreria[[#This Row],[valoracion_cliente]])</f>
        <v>4</v>
      </c>
    </row>
    <row r="1215" spans="1:18" x14ac:dyDescent="0.25">
      <c r="A1215" t="s">
        <v>1491</v>
      </c>
      <c r="B1215" t="s">
        <v>129</v>
      </c>
      <c r="C1215" t="s">
        <v>130</v>
      </c>
      <c r="D1215" t="s">
        <v>131</v>
      </c>
      <c r="E1215" t="s">
        <v>107</v>
      </c>
      <c r="F1215">
        <f>ventas_libreria[[#This Row],[precio_eur]]/100</f>
        <v>1.59</v>
      </c>
      <c r="G1215">
        <v>159</v>
      </c>
      <c r="H1215">
        <v>1</v>
      </c>
      <c r="I1215">
        <f>ventas_libreria[[#This Row],[precio]]*ventas_libreria[[#This Row],[cantidad]]</f>
        <v>1.59</v>
      </c>
      <c r="J1215">
        <v>18</v>
      </c>
      <c r="K1215" t="s">
        <v>30</v>
      </c>
      <c r="L1215" s="1">
        <v>45185</v>
      </c>
      <c r="M1215" t="s">
        <v>43</v>
      </c>
      <c r="N1215" t="s">
        <v>32</v>
      </c>
      <c r="O1215" t="s">
        <v>33</v>
      </c>
      <c r="P1215" t="s">
        <v>50</v>
      </c>
      <c r="R1215" t="str">
        <f>IF(ventas_libreria[[#This Row],[valoracion_cliente]]="","Sin valoración",ventas_libreria[[#This Row],[valoracion_cliente]])</f>
        <v>Sin valoración</v>
      </c>
    </row>
    <row r="1216" spans="1:18" x14ac:dyDescent="0.25">
      <c r="A1216" t="s">
        <v>1492</v>
      </c>
      <c r="B1216" t="s">
        <v>211</v>
      </c>
      <c r="C1216" t="s">
        <v>212</v>
      </c>
      <c r="D1216" t="s">
        <v>131</v>
      </c>
      <c r="E1216" t="s">
        <v>107</v>
      </c>
      <c r="F1216">
        <f>ventas_libreria[[#This Row],[precio_eur]]/100</f>
        <v>1.69</v>
      </c>
      <c r="G1216">
        <v>169</v>
      </c>
      <c r="H1216">
        <v>1</v>
      </c>
      <c r="I1216">
        <f>ventas_libreria[[#This Row],[precio]]*ventas_libreria[[#This Row],[cantidad]]</f>
        <v>1.69</v>
      </c>
      <c r="J1216">
        <v>19</v>
      </c>
      <c r="K1216" t="s">
        <v>20</v>
      </c>
      <c r="L1216" s="1">
        <v>45420</v>
      </c>
      <c r="M1216" t="s">
        <v>31</v>
      </c>
      <c r="N1216" t="s">
        <v>22</v>
      </c>
      <c r="O1216" t="s">
        <v>49</v>
      </c>
      <c r="P1216" t="s">
        <v>50</v>
      </c>
      <c r="Q1216">
        <v>4</v>
      </c>
      <c r="R1216">
        <f>IF(ventas_libreria[[#This Row],[valoracion_cliente]]="","Sin valoración",ventas_libreria[[#This Row],[valoracion_cliente]])</f>
        <v>4</v>
      </c>
    </row>
    <row r="1217" spans="1:18" x14ac:dyDescent="0.25">
      <c r="A1217" t="s">
        <v>1493</v>
      </c>
      <c r="B1217" t="s">
        <v>26</v>
      </c>
      <c r="C1217" t="s">
        <v>27</v>
      </c>
      <c r="D1217" t="s">
        <v>28</v>
      </c>
      <c r="E1217" t="s">
        <v>29</v>
      </c>
      <c r="F1217">
        <f>ventas_libreria[[#This Row],[precio_eur]]/100</f>
        <v>1.89</v>
      </c>
      <c r="G1217">
        <v>189</v>
      </c>
      <c r="H1217">
        <v>3</v>
      </c>
      <c r="I1217">
        <f>ventas_libreria[[#This Row],[precio]]*ventas_libreria[[#This Row],[cantidad]]</f>
        <v>5.67</v>
      </c>
      <c r="J1217">
        <v>23</v>
      </c>
      <c r="K1217" t="s">
        <v>38</v>
      </c>
      <c r="L1217" s="1">
        <v>44937</v>
      </c>
      <c r="M1217" t="s">
        <v>31</v>
      </c>
      <c r="N1217" t="s">
        <v>32</v>
      </c>
      <c r="O1217" t="s">
        <v>33</v>
      </c>
      <c r="P1217" t="s">
        <v>84</v>
      </c>
      <c r="Q1217">
        <v>4</v>
      </c>
      <c r="R1217">
        <f>IF(ventas_libreria[[#This Row],[valoracion_cliente]]="","Sin valoración",ventas_libreria[[#This Row],[valoracion_cliente]])</f>
        <v>4</v>
      </c>
    </row>
    <row r="1218" spans="1:18" x14ac:dyDescent="0.25">
      <c r="A1218" t="s">
        <v>1494</v>
      </c>
      <c r="B1218" t="s">
        <v>403</v>
      </c>
      <c r="C1218" t="s">
        <v>404</v>
      </c>
      <c r="D1218" t="s">
        <v>123</v>
      </c>
      <c r="E1218" t="s">
        <v>48</v>
      </c>
      <c r="F1218">
        <f>ventas_libreria[[#This Row],[precio_eur]]/100</f>
        <v>31.39</v>
      </c>
      <c r="G1218">
        <v>3139</v>
      </c>
      <c r="H1218">
        <v>1</v>
      </c>
      <c r="I1218">
        <f>ventas_libreria[[#This Row],[precio]]*ventas_libreria[[#This Row],[cantidad]]</f>
        <v>31.39</v>
      </c>
      <c r="J1218">
        <v>48</v>
      </c>
      <c r="K1218" t="s">
        <v>38</v>
      </c>
      <c r="L1218" s="1">
        <v>45618</v>
      </c>
      <c r="M1218" t="s">
        <v>43</v>
      </c>
      <c r="N1218" t="s">
        <v>32</v>
      </c>
      <c r="O1218" t="s">
        <v>33</v>
      </c>
      <c r="P1218" t="s">
        <v>50</v>
      </c>
      <c r="Q1218">
        <v>3</v>
      </c>
      <c r="R1218">
        <f>IF(ventas_libreria[[#This Row],[valoracion_cliente]]="","Sin valoración",ventas_libreria[[#This Row],[valoracion_cliente]])</f>
        <v>3</v>
      </c>
    </row>
    <row r="1219" spans="1:18" x14ac:dyDescent="0.25">
      <c r="A1219" t="s">
        <v>1495</v>
      </c>
      <c r="B1219" t="s">
        <v>348</v>
      </c>
      <c r="C1219" t="s">
        <v>349</v>
      </c>
      <c r="D1219" t="s">
        <v>350</v>
      </c>
      <c r="E1219" t="s">
        <v>116</v>
      </c>
      <c r="F1219">
        <f>ventas_libreria[[#This Row],[precio_eur]]/100</f>
        <v>1.99</v>
      </c>
      <c r="G1219">
        <v>199</v>
      </c>
      <c r="H1219">
        <v>1</v>
      </c>
      <c r="I1219">
        <f>ventas_libreria[[#This Row],[precio]]*ventas_libreria[[#This Row],[cantidad]]</f>
        <v>1.99</v>
      </c>
      <c r="J1219">
        <v>56</v>
      </c>
      <c r="K1219" t="s">
        <v>62</v>
      </c>
      <c r="L1219" s="1">
        <v>45737</v>
      </c>
      <c r="M1219" t="s">
        <v>21</v>
      </c>
      <c r="N1219" t="s">
        <v>22</v>
      </c>
      <c r="O1219" t="s">
        <v>49</v>
      </c>
      <c r="P1219" t="s">
        <v>50</v>
      </c>
      <c r="Q1219">
        <v>4</v>
      </c>
      <c r="R1219">
        <f>IF(ventas_libreria[[#This Row],[valoracion_cliente]]="","Sin valoración",ventas_libreria[[#This Row],[valoracion_cliente]])</f>
        <v>4</v>
      </c>
    </row>
    <row r="1220" spans="1:18" x14ac:dyDescent="0.25">
      <c r="A1220" t="s">
        <v>1496</v>
      </c>
      <c r="B1220" t="s">
        <v>220</v>
      </c>
      <c r="C1220" t="s">
        <v>221</v>
      </c>
      <c r="D1220" t="s">
        <v>222</v>
      </c>
      <c r="E1220" t="s">
        <v>116</v>
      </c>
      <c r="F1220">
        <f>ventas_libreria[[#This Row],[precio_eur]]/100</f>
        <v>10.96</v>
      </c>
      <c r="G1220">
        <v>1096</v>
      </c>
      <c r="H1220">
        <v>1</v>
      </c>
      <c r="I1220">
        <f>ventas_libreria[[#This Row],[precio]]*ventas_libreria[[#This Row],[cantidad]]</f>
        <v>10.96</v>
      </c>
      <c r="J1220">
        <v>21</v>
      </c>
      <c r="K1220" t="s">
        <v>62</v>
      </c>
      <c r="L1220" s="1">
        <v>45372</v>
      </c>
      <c r="M1220" t="s">
        <v>43</v>
      </c>
      <c r="N1220" t="s">
        <v>32</v>
      </c>
      <c r="O1220" t="s">
        <v>33</v>
      </c>
      <c r="P1220" t="s">
        <v>50</v>
      </c>
      <c r="Q1220">
        <v>5</v>
      </c>
      <c r="R1220">
        <f>IF(ventas_libreria[[#This Row],[valoracion_cliente]]="","Sin valoración",ventas_libreria[[#This Row],[valoracion_cliente]])</f>
        <v>5</v>
      </c>
    </row>
    <row r="1221" spans="1:18" x14ac:dyDescent="0.25">
      <c r="A1221" t="s">
        <v>1497</v>
      </c>
      <c r="B1221" t="s">
        <v>362</v>
      </c>
      <c r="C1221" t="s">
        <v>363</v>
      </c>
      <c r="D1221" t="s">
        <v>249</v>
      </c>
      <c r="E1221" t="s">
        <v>172</v>
      </c>
      <c r="F1221">
        <f>ventas_libreria[[#This Row],[precio_eur]]/100</f>
        <v>1.52</v>
      </c>
      <c r="G1221">
        <v>152</v>
      </c>
      <c r="H1221">
        <v>4</v>
      </c>
      <c r="I1221">
        <f>ventas_libreria[[#This Row],[precio]]*ventas_libreria[[#This Row],[cantidad]]</f>
        <v>6.08</v>
      </c>
      <c r="J1221">
        <v>63</v>
      </c>
      <c r="K1221" t="s">
        <v>38</v>
      </c>
      <c r="L1221" s="1">
        <v>45542</v>
      </c>
      <c r="M1221" t="s">
        <v>21</v>
      </c>
      <c r="N1221" t="s">
        <v>22</v>
      </c>
      <c r="O1221" t="s">
        <v>49</v>
      </c>
      <c r="P1221" t="s">
        <v>84</v>
      </c>
      <c r="Q1221">
        <v>5</v>
      </c>
      <c r="R1221">
        <f>IF(ventas_libreria[[#This Row],[valoracion_cliente]]="","Sin valoración",ventas_libreria[[#This Row],[valoracion_cliente]])</f>
        <v>5</v>
      </c>
    </row>
    <row r="1222" spans="1:18" x14ac:dyDescent="0.25">
      <c r="A1222" t="s">
        <v>1498</v>
      </c>
      <c r="B1222" t="s">
        <v>671</v>
      </c>
      <c r="C1222" t="s">
        <v>672</v>
      </c>
      <c r="D1222" t="s">
        <v>673</v>
      </c>
      <c r="E1222" t="s">
        <v>116</v>
      </c>
      <c r="F1222">
        <f>ventas_libreria[[#This Row],[precio_eur]]/100</f>
        <v>13.55</v>
      </c>
      <c r="G1222">
        <v>1355</v>
      </c>
      <c r="H1222">
        <v>2</v>
      </c>
      <c r="I1222">
        <f>ventas_libreria[[#This Row],[precio]]*ventas_libreria[[#This Row],[cantidad]]</f>
        <v>27.1</v>
      </c>
      <c r="J1222">
        <v>19</v>
      </c>
      <c r="K1222" t="s">
        <v>30</v>
      </c>
      <c r="L1222" s="1">
        <v>45807</v>
      </c>
      <c r="M1222" t="s">
        <v>43</v>
      </c>
      <c r="N1222" t="s">
        <v>32</v>
      </c>
      <c r="O1222" t="s">
        <v>33</v>
      </c>
      <c r="P1222" t="s">
        <v>56</v>
      </c>
      <c r="R1222" t="str">
        <f>IF(ventas_libreria[[#This Row],[valoracion_cliente]]="","Sin valoración",ventas_libreria[[#This Row],[valoracion_cliente]])</f>
        <v>Sin valoración</v>
      </c>
    </row>
    <row r="1223" spans="1:18" x14ac:dyDescent="0.25">
      <c r="A1223" t="s">
        <v>1499</v>
      </c>
      <c r="B1223" t="s">
        <v>69</v>
      </c>
      <c r="C1223" t="s">
        <v>70</v>
      </c>
      <c r="D1223" t="s">
        <v>71</v>
      </c>
      <c r="E1223" t="s">
        <v>72</v>
      </c>
      <c r="F1223">
        <f>ventas_libreria[[#This Row],[precio_eur]]/100</f>
        <v>14.36</v>
      </c>
      <c r="G1223">
        <v>1436</v>
      </c>
      <c r="H1223">
        <v>1</v>
      </c>
      <c r="I1223">
        <f>ventas_libreria[[#This Row],[precio]]*ventas_libreria[[#This Row],[cantidad]]</f>
        <v>14.36</v>
      </c>
      <c r="J1223">
        <v>48</v>
      </c>
      <c r="K1223" t="s">
        <v>38</v>
      </c>
      <c r="L1223" s="1">
        <v>45120</v>
      </c>
      <c r="M1223" t="s">
        <v>31</v>
      </c>
      <c r="N1223" t="s">
        <v>32</v>
      </c>
      <c r="O1223" t="s">
        <v>33</v>
      </c>
      <c r="P1223" t="s">
        <v>24</v>
      </c>
      <c r="Q1223">
        <v>4</v>
      </c>
      <c r="R1223">
        <f>IF(ventas_libreria[[#This Row],[valoracion_cliente]]="","Sin valoración",ventas_libreria[[#This Row],[valoracion_cliente]])</f>
        <v>4</v>
      </c>
    </row>
    <row r="1224" spans="1:18" x14ac:dyDescent="0.25">
      <c r="A1224" t="s">
        <v>1500</v>
      </c>
      <c r="B1224" t="s">
        <v>348</v>
      </c>
      <c r="C1224" t="s">
        <v>349</v>
      </c>
      <c r="D1224" t="s">
        <v>350</v>
      </c>
      <c r="E1224" t="s">
        <v>116</v>
      </c>
      <c r="F1224">
        <f>ventas_libreria[[#This Row],[precio_eur]]/100</f>
        <v>16.91</v>
      </c>
      <c r="G1224">
        <v>1691</v>
      </c>
      <c r="H1224">
        <v>1</v>
      </c>
      <c r="I1224">
        <f>ventas_libreria[[#This Row],[precio]]*ventas_libreria[[#This Row],[cantidad]]</f>
        <v>16.91</v>
      </c>
      <c r="J1224">
        <v>37</v>
      </c>
      <c r="K1224" t="s">
        <v>62</v>
      </c>
      <c r="L1224" s="1">
        <v>45991</v>
      </c>
      <c r="M1224" t="s">
        <v>31</v>
      </c>
      <c r="N1224" t="s">
        <v>22</v>
      </c>
      <c r="O1224" t="s">
        <v>67</v>
      </c>
      <c r="P1224" t="s">
        <v>56</v>
      </c>
      <c r="Q1224">
        <v>4</v>
      </c>
      <c r="R1224">
        <f>IF(ventas_libreria[[#This Row],[valoracion_cliente]]="","Sin valoración",ventas_libreria[[#This Row],[valoracion_cliente]])</f>
        <v>4</v>
      </c>
    </row>
    <row r="1225" spans="1:18" x14ac:dyDescent="0.25">
      <c r="A1225" t="s">
        <v>1501</v>
      </c>
      <c r="B1225" t="s">
        <v>318</v>
      </c>
      <c r="C1225" t="s">
        <v>319</v>
      </c>
      <c r="D1225" t="s">
        <v>167</v>
      </c>
      <c r="E1225" t="s">
        <v>61</v>
      </c>
      <c r="F1225">
        <f>ventas_libreria[[#This Row],[precio_eur]]/100</f>
        <v>1.89</v>
      </c>
      <c r="G1225">
        <v>189</v>
      </c>
      <c r="H1225">
        <v>2</v>
      </c>
      <c r="I1225">
        <f>ventas_libreria[[#This Row],[precio]]*ventas_libreria[[#This Row],[cantidad]]</f>
        <v>3.78</v>
      </c>
      <c r="J1225">
        <v>19</v>
      </c>
      <c r="K1225" t="s">
        <v>30</v>
      </c>
      <c r="L1225" s="1">
        <v>45117</v>
      </c>
      <c r="M1225" t="s">
        <v>43</v>
      </c>
      <c r="N1225" t="s">
        <v>32</v>
      </c>
      <c r="O1225" t="s">
        <v>33</v>
      </c>
      <c r="P1225" t="s">
        <v>34</v>
      </c>
      <c r="R1225" t="str">
        <f>IF(ventas_libreria[[#This Row],[valoracion_cliente]]="","Sin valoración",ventas_libreria[[#This Row],[valoracion_cliente]])</f>
        <v>Sin valoración</v>
      </c>
    </row>
    <row r="1226" spans="1:18" x14ac:dyDescent="0.25">
      <c r="A1226" t="s">
        <v>1502</v>
      </c>
      <c r="B1226" t="s">
        <v>69</v>
      </c>
      <c r="C1226" t="s">
        <v>70</v>
      </c>
      <c r="D1226" t="s">
        <v>71</v>
      </c>
      <c r="E1226" t="s">
        <v>72</v>
      </c>
      <c r="F1226">
        <f>ventas_libreria[[#This Row],[precio_eur]]/100</f>
        <v>15.21</v>
      </c>
      <c r="G1226">
        <v>1521</v>
      </c>
      <c r="H1226">
        <v>1</v>
      </c>
      <c r="I1226">
        <f>ventas_libreria[[#This Row],[precio]]*ventas_libreria[[#This Row],[cantidad]]</f>
        <v>15.21</v>
      </c>
      <c r="J1226">
        <v>25</v>
      </c>
      <c r="K1226" t="s">
        <v>38</v>
      </c>
      <c r="L1226" s="1">
        <v>45503</v>
      </c>
      <c r="M1226" t="s">
        <v>21</v>
      </c>
      <c r="N1226" t="s">
        <v>32</v>
      </c>
      <c r="O1226" t="s">
        <v>33</v>
      </c>
      <c r="P1226" t="s">
        <v>50</v>
      </c>
      <c r="Q1226">
        <v>4</v>
      </c>
      <c r="R1226">
        <f>IF(ventas_libreria[[#This Row],[valoracion_cliente]]="","Sin valoración",ventas_libreria[[#This Row],[valoracion_cliente]])</f>
        <v>4</v>
      </c>
    </row>
    <row r="1227" spans="1:18" x14ac:dyDescent="0.25">
      <c r="A1227" t="s">
        <v>1503</v>
      </c>
      <c r="B1227" t="s">
        <v>64</v>
      </c>
      <c r="C1227" t="s">
        <v>65</v>
      </c>
      <c r="D1227" t="s">
        <v>66</v>
      </c>
      <c r="E1227" t="s">
        <v>29</v>
      </c>
      <c r="F1227">
        <f>ventas_libreria[[#This Row],[precio_eur]]/100</f>
        <v>14.03</v>
      </c>
      <c r="G1227">
        <v>1403</v>
      </c>
      <c r="H1227">
        <v>1</v>
      </c>
      <c r="I1227">
        <f>ventas_libreria[[#This Row],[precio]]*ventas_libreria[[#This Row],[cantidad]]</f>
        <v>14.03</v>
      </c>
      <c r="J1227">
        <v>32</v>
      </c>
      <c r="K1227" t="s">
        <v>30</v>
      </c>
      <c r="L1227" s="1">
        <v>45312</v>
      </c>
      <c r="M1227" t="s">
        <v>21</v>
      </c>
      <c r="N1227" t="s">
        <v>22</v>
      </c>
      <c r="O1227" t="s">
        <v>23</v>
      </c>
      <c r="P1227" t="s">
        <v>84</v>
      </c>
      <c r="Q1227">
        <v>4</v>
      </c>
      <c r="R1227">
        <f>IF(ventas_libreria[[#This Row],[valoracion_cliente]]="","Sin valoración",ventas_libreria[[#This Row],[valoracion_cliente]])</f>
        <v>4</v>
      </c>
    </row>
    <row r="1228" spans="1:18" x14ac:dyDescent="0.25">
      <c r="A1228" t="s">
        <v>1504</v>
      </c>
      <c r="B1228" t="s">
        <v>36</v>
      </c>
      <c r="C1228" t="s">
        <v>37</v>
      </c>
      <c r="D1228" t="s">
        <v>28</v>
      </c>
      <c r="E1228" t="s">
        <v>29</v>
      </c>
      <c r="F1228">
        <f>ventas_libreria[[#This Row],[precio_eur]]/100</f>
        <v>15.12</v>
      </c>
      <c r="G1228">
        <v>1512</v>
      </c>
      <c r="H1228">
        <v>1</v>
      </c>
      <c r="I1228">
        <f>ventas_libreria[[#This Row],[precio]]*ventas_libreria[[#This Row],[cantidad]]</f>
        <v>15.12</v>
      </c>
      <c r="J1228">
        <v>70</v>
      </c>
      <c r="K1228" t="s">
        <v>38</v>
      </c>
      <c r="L1228" s="1">
        <v>45280</v>
      </c>
      <c r="M1228" t="s">
        <v>21</v>
      </c>
      <c r="N1228" t="s">
        <v>22</v>
      </c>
      <c r="O1228" t="s">
        <v>49</v>
      </c>
      <c r="P1228" t="s">
        <v>84</v>
      </c>
      <c r="Q1228">
        <v>4</v>
      </c>
      <c r="R1228">
        <f>IF(ventas_libreria[[#This Row],[valoracion_cliente]]="","Sin valoración",ventas_libreria[[#This Row],[valoracion_cliente]])</f>
        <v>4</v>
      </c>
    </row>
    <row r="1229" spans="1:18" x14ac:dyDescent="0.25">
      <c r="A1229" t="s">
        <v>1505</v>
      </c>
      <c r="B1229" t="s">
        <v>671</v>
      </c>
      <c r="C1229" t="s">
        <v>672</v>
      </c>
      <c r="D1229" t="s">
        <v>673</v>
      </c>
      <c r="E1229" t="s">
        <v>116</v>
      </c>
      <c r="F1229">
        <f>ventas_libreria[[#This Row],[precio_eur]]/100</f>
        <v>14.19</v>
      </c>
      <c r="G1229">
        <v>1419</v>
      </c>
      <c r="H1229">
        <v>1</v>
      </c>
      <c r="I1229">
        <f>ventas_libreria[[#This Row],[precio]]*ventas_libreria[[#This Row],[cantidad]]</f>
        <v>14.19</v>
      </c>
      <c r="J1229">
        <v>36</v>
      </c>
      <c r="K1229" t="s">
        <v>38</v>
      </c>
      <c r="L1229" s="1">
        <v>45838</v>
      </c>
      <c r="M1229" t="s">
        <v>21</v>
      </c>
      <c r="N1229" t="s">
        <v>22</v>
      </c>
      <c r="O1229" t="s">
        <v>23</v>
      </c>
      <c r="P1229" t="s">
        <v>84</v>
      </c>
      <c r="Q1229">
        <v>5</v>
      </c>
      <c r="R1229">
        <f>IF(ventas_libreria[[#This Row],[valoracion_cliente]]="","Sin valoración",ventas_libreria[[#This Row],[valoracion_cliente]])</f>
        <v>5</v>
      </c>
    </row>
    <row r="1230" spans="1:18" x14ac:dyDescent="0.25">
      <c r="A1230" t="s">
        <v>1506</v>
      </c>
      <c r="B1230" t="s">
        <v>403</v>
      </c>
      <c r="C1230" t="s">
        <v>404</v>
      </c>
      <c r="D1230" t="s">
        <v>123</v>
      </c>
      <c r="E1230" t="s">
        <v>48</v>
      </c>
      <c r="F1230">
        <f>ventas_libreria[[#This Row],[precio_eur]]/100</f>
        <v>26.91</v>
      </c>
      <c r="G1230">
        <v>2691</v>
      </c>
      <c r="H1230">
        <v>1</v>
      </c>
      <c r="I1230">
        <f>ventas_libreria[[#This Row],[precio]]*ventas_libreria[[#This Row],[cantidad]]</f>
        <v>26.91</v>
      </c>
      <c r="J1230">
        <v>56</v>
      </c>
      <c r="K1230" t="s">
        <v>20</v>
      </c>
      <c r="L1230" s="1">
        <v>45468</v>
      </c>
      <c r="M1230" t="s">
        <v>43</v>
      </c>
      <c r="N1230" t="s">
        <v>32</v>
      </c>
      <c r="O1230" t="s">
        <v>33</v>
      </c>
      <c r="P1230" t="s">
        <v>56</v>
      </c>
      <c r="Q1230">
        <v>3</v>
      </c>
      <c r="R1230">
        <f>IF(ventas_libreria[[#This Row],[valoracion_cliente]]="","Sin valoración",ventas_libreria[[#This Row],[valoracion_cliente]])</f>
        <v>3</v>
      </c>
    </row>
    <row r="1231" spans="1:18" x14ac:dyDescent="0.25">
      <c r="A1231" t="s">
        <v>1507</v>
      </c>
      <c r="B1231" t="s">
        <v>125</v>
      </c>
      <c r="C1231" t="s">
        <v>126</v>
      </c>
      <c r="D1231" t="s">
        <v>127</v>
      </c>
      <c r="E1231" t="s">
        <v>29</v>
      </c>
      <c r="F1231">
        <f>ventas_libreria[[#This Row],[precio_eur]]/100</f>
        <v>16.11</v>
      </c>
      <c r="G1231">
        <v>1611</v>
      </c>
      <c r="H1231">
        <v>1</v>
      </c>
      <c r="I1231">
        <f>ventas_libreria[[#This Row],[precio]]*ventas_libreria[[#This Row],[cantidad]]</f>
        <v>16.11</v>
      </c>
      <c r="J1231">
        <v>33</v>
      </c>
      <c r="K1231" t="s">
        <v>38</v>
      </c>
      <c r="L1231" s="1">
        <v>45103</v>
      </c>
      <c r="M1231" t="s">
        <v>43</v>
      </c>
      <c r="N1231" t="s">
        <v>32</v>
      </c>
      <c r="O1231" t="s">
        <v>33</v>
      </c>
      <c r="P1231" t="s">
        <v>34</v>
      </c>
      <c r="Q1231">
        <v>4</v>
      </c>
      <c r="R1231">
        <f>IF(ventas_libreria[[#This Row],[valoracion_cliente]]="","Sin valoración",ventas_libreria[[#This Row],[valoracion_cliente]])</f>
        <v>4</v>
      </c>
    </row>
    <row r="1232" spans="1:18" x14ac:dyDescent="0.25">
      <c r="A1232" t="s">
        <v>1508</v>
      </c>
      <c r="B1232" t="s">
        <v>530</v>
      </c>
      <c r="C1232" t="s">
        <v>531</v>
      </c>
      <c r="D1232" t="s">
        <v>195</v>
      </c>
      <c r="E1232" t="s">
        <v>48</v>
      </c>
      <c r="F1232">
        <f>ventas_libreria[[#This Row],[precio_eur]]/100</f>
        <v>17.91</v>
      </c>
      <c r="G1232">
        <v>1791</v>
      </c>
      <c r="H1232">
        <v>1</v>
      </c>
      <c r="I1232">
        <f>ventas_libreria[[#This Row],[precio]]*ventas_libreria[[#This Row],[cantidad]]</f>
        <v>17.91</v>
      </c>
      <c r="J1232">
        <v>66</v>
      </c>
      <c r="K1232" t="s">
        <v>20</v>
      </c>
      <c r="L1232" s="1">
        <v>45691</v>
      </c>
      <c r="M1232" t="s">
        <v>31</v>
      </c>
      <c r="N1232" t="s">
        <v>32</v>
      </c>
      <c r="O1232" t="s">
        <v>33</v>
      </c>
      <c r="P1232" t="s">
        <v>56</v>
      </c>
      <c r="Q1232">
        <v>4</v>
      </c>
      <c r="R1232">
        <f>IF(ventas_libreria[[#This Row],[valoracion_cliente]]="","Sin valoración",ventas_libreria[[#This Row],[valoracion_cliente]])</f>
        <v>4</v>
      </c>
    </row>
    <row r="1233" spans="1:18" x14ac:dyDescent="0.25">
      <c r="A1233" t="s">
        <v>1509</v>
      </c>
      <c r="B1233" t="s">
        <v>181</v>
      </c>
      <c r="C1233" t="s">
        <v>182</v>
      </c>
      <c r="D1233" t="s">
        <v>183</v>
      </c>
      <c r="E1233" t="s">
        <v>116</v>
      </c>
      <c r="F1233">
        <f>ventas_libreria[[#This Row],[precio_eur]]/100</f>
        <v>1.39</v>
      </c>
      <c r="G1233">
        <v>139</v>
      </c>
      <c r="H1233">
        <v>2</v>
      </c>
      <c r="I1233">
        <f>ventas_libreria[[#This Row],[precio]]*ventas_libreria[[#This Row],[cantidad]]</f>
        <v>2.78</v>
      </c>
      <c r="J1233">
        <v>40</v>
      </c>
      <c r="K1233" t="s">
        <v>30</v>
      </c>
      <c r="L1233" s="1">
        <v>45530</v>
      </c>
      <c r="M1233" t="s">
        <v>21</v>
      </c>
      <c r="N1233" t="s">
        <v>22</v>
      </c>
      <c r="O1233" t="s">
        <v>98</v>
      </c>
      <c r="P1233" t="s">
        <v>50</v>
      </c>
      <c r="Q1233">
        <v>5</v>
      </c>
      <c r="R1233">
        <f>IF(ventas_libreria[[#This Row],[valoracion_cliente]]="","Sin valoración",ventas_libreria[[#This Row],[valoracion_cliente]])</f>
        <v>5</v>
      </c>
    </row>
    <row r="1234" spans="1:18" x14ac:dyDescent="0.25">
      <c r="A1234" t="s">
        <v>1510</v>
      </c>
      <c r="B1234" t="s">
        <v>338</v>
      </c>
      <c r="C1234" t="s">
        <v>339</v>
      </c>
      <c r="D1234" t="s">
        <v>167</v>
      </c>
      <c r="E1234" t="s">
        <v>61</v>
      </c>
      <c r="F1234">
        <f>ventas_libreria[[#This Row],[precio_eur]]/100</f>
        <v>20.61</v>
      </c>
      <c r="G1234">
        <v>2061</v>
      </c>
      <c r="H1234">
        <v>1</v>
      </c>
      <c r="I1234">
        <f>ventas_libreria[[#This Row],[precio]]*ventas_libreria[[#This Row],[cantidad]]</f>
        <v>20.61</v>
      </c>
      <c r="J1234">
        <v>45</v>
      </c>
      <c r="K1234" t="s">
        <v>20</v>
      </c>
      <c r="L1234" s="1">
        <v>45712</v>
      </c>
      <c r="M1234" t="s">
        <v>21</v>
      </c>
      <c r="N1234" t="s">
        <v>22</v>
      </c>
      <c r="O1234" t="s">
        <v>49</v>
      </c>
      <c r="P1234" t="s">
        <v>24</v>
      </c>
      <c r="Q1234">
        <v>5</v>
      </c>
      <c r="R1234">
        <f>IF(ventas_libreria[[#This Row],[valoracion_cliente]]="","Sin valoración",ventas_libreria[[#This Row],[valoracion_cliente]])</f>
        <v>5</v>
      </c>
    </row>
    <row r="1235" spans="1:18" x14ac:dyDescent="0.25">
      <c r="A1235" t="s">
        <v>1511</v>
      </c>
      <c r="B1235" t="s">
        <v>362</v>
      </c>
      <c r="C1235" t="s">
        <v>363</v>
      </c>
      <c r="D1235" t="s">
        <v>249</v>
      </c>
      <c r="E1235" t="s">
        <v>172</v>
      </c>
      <c r="F1235">
        <f>ventas_libreria[[#This Row],[precio_eur]]/100</f>
        <v>12.92</v>
      </c>
      <c r="G1235">
        <v>1292</v>
      </c>
      <c r="H1235">
        <v>1</v>
      </c>
      <c r="I1235">
        <f>ventas_libreria[[#This Row],[precio]]*ventas_libreria[[#This Row],[cantidad]]</f>
        <v>12.92</v>
      </c>
      <c r="J1235">
        <v>26</v>
      </c>
      <c r="K1235" t="s">
        <v>38</v>
      </c>
      <c r="L1235" s="1">
        <v>45508</v>
      </c>
      <c r="M1235" t="s">
        <v>21</v>
      </c>
      <c r="N1235" t="s">
        <v>22</v>
      </c>
      <c r="O1235" t="s">
        <v>67</v>
      </c>
      <c r="P1235" t="s">
        <v>24</v>
      </c>
      <c r="R1235" t="str">
        <f>IF(ventas_libreria[[#This Row],[valoracion_cliente]]="","Sin valoración",ventas_libreria[[#This Row],[valoracion_cliente]])</f>
        <v>Sin valoración</v>
      </c>
    </row>
    <row r="1236" spans="1:18" x14ac:dyDescent="0.25">
      <c r="A1236" t="s">
        <v>1512</v>
      </c>
      <c r="B1236" t="s">
        <v>146</v>
      </c>
      <c r="C1236" t="s">
        <v>147</v>
      </c>
      <c r="D1236" t="s">
        <v>148</v>
      </c>
      <c r="E1236" t="s">
        <v>149</v>
      </c>
      <c r="F1236">
        <f>ventas_libreria[[#This Row],[precio_eur]]/100</f>
        <v>1.59</v>
      </c>
      <c r="G1236">
        <v>159</v>
      </c>
      <c r="H1236">
        <v>2</v>
      </c>
      <c r="I1236">
        <f>ventas_libreria[[#This Row],[precio]]*ventas_libreria[[#This Row],[cantidad]]</f>
        <v>3.18</v>
      </c>
      <c r="J1236">
        <v>50</v>
      </c>
      <c r="K1236" t="s">
        <v>38</v>
      </c>
      <c r="L1236" s="1">
        <v>45483</v>
      </c>
      <c r="M1236" t="s">
        <v>31</v>
      </c>
      <c r="N1236" t="s">
        <v>22</v>
      </c>
      <c r="O1236" t="s">
        <v>67</v>
      </c>
      <c r="P1236" t="s">
        <v>24</v>
      </c>
      <c r="Q1236">
        <v>1</v>
      </c>
      <c r="R1236">
        <f>IF(ventas_libreria[[#This Row],[valoracion_cliente]]="","Sin valoración",ventas_libreria[[#This Row],[valoracion_cliente]])</f>
        <v>1</v>
      </c>
    </row>
    <row r="1237" spans="1:18" x14ac:dyDescent="0.25">
      <c r="A1237" t="s">
        <v>1513</v>
      </c>
      <c r="B1237" t="s">
        <v>113</v>
      </c>
      <c r="C1237" t="s">
        <v>114</v>
      </c>
      <c r="D1237" t="s">
        <v>115</v>
      </c>
      <c r="E1237" t="s">
        <v>116</v>
      </c>
      <c r="F1237">
        <f>ventas_libreria[[#This Row],[precio_eur]]/100</f>
        <v>1.39</v>
      </c>
      <c r="G1237">
        <v>139</v>
      </c>
      <c r="H1237">
        <v>1</v>
      </c>
      <c r="I1237">
        <f>ventas_libreria[[#This Row],[precio]]*ventas_libreria[[#This Row],[cantidad]]</f>
        <v>1.39</v>
      </c>
      <c r="J1237">
        <v>54</v>
      </c>
      <c r="K1237" t="s">
        <v>38</v>
      </c>
      <c r="L1237" s="1">
        <v>45148</v>
      </c>
      <c r="M1237" t="s">
        <v>43</v>
      </c>
      <c r="N1237" t="s">
        <v>32</v>
      </c>
      <c r="O1237" t="s">
        <v>33</v>
      </c>
      <c r="P1237" t="s">
        <v>24</v>
      </c>
      <c r="Q1237">
        <v>4</v>
      </c>
      <c r="R1237">
        <f>IF(ventas_libreria[[#This Row],[valoracion_cliente]]="","Sin valoración",ventas_libreria[[#This Row],[valoracion_cliente]])</f>
        <v>4</v>
      </c>
    </row>
    <row r="1238" spans="1:18" x14ac:dyDescent="0.25">
      <c r="A1238" t="s">
        <v>1514</v>
      </c>
      <c r="B1238" t="s">
        <v>169</v>
      </c>
      <c r="C1238" t="s">
        <v>170</v>
      </c>
      <c r="D1238" t="s">
        <v>171</v>
      </c>
      <c r="E1238" t="s">
        <v>172</v>
      </c>
      <c r="F1238">
        <f>ventas_libreria[[#This Row],[precio_eur]]/100</f>
        <v>20.61</v>
      </c>
      <c r="G1238">
        <v>2061</v>
      </c>
      <c r="H1238">
        <v>1</v>
      </c>
      <c r="I1238">
        <f>ventas_libreria[[#This Row],[precio]]*ventas_libreria[[#This Row],[cantidad]]</f>
        <v>20.61</v>
      </c>
      <c r="J1238">
        <v>27</v>
      </c>
      <c r="K1238" t="s">
        <v>38</v>
      </c>
      <c r="L1238" s="1">
        <v>45018</v>
      </c>
      <c r="M1238" t="s">
        <v>21</v>
      </c>
      <c r="N1238" t="s">
        <v>22</v>
      </c>
      <c r="O1238" t="s">
        <v>98</v>
      </c>
      <c r="P1238" t="s">
        <v>50</v>
      </c>
      <c r="Q1238">
        <v>5</v>
      </c>
      <c r="R1238">
        <f>IF(ventas_libreria[[#This Row],[valoracion_cliente]]="","Sin valoración",ventas_libreria[[#This Row],[valoracion_cliente]])</f>
        <v>5</v>
      </c>
    </row>
    <row r="1239" spans="1:18" x14ac:dyDescent="0.25">
      <c r="A1239" t="s">
        <v>1515</v>
      </c>
      <c r="B1239" t="s">
        <v>362</v>
      </c>
      <c r="C1239" t="s">
        <v>363</v>
      </c>
      <c r="D1239" t="s">
        <v>249</v>
      </c>
      <c r="E1239" t="s">
        <v>172</v>
      </c>
      <c r="F1239">
        <f>ventas_libreria[[#This Row],[precio_eur]]/100</f>
        <v>12.16</v>
      </c>
      <c r="G1239">
        <v>1216</v>
      </c>
      <c r="H1239">
        <v>1</v>
      </c>
      <c r="I1239">
        <f>ventas_libreria[[#This Row],[precio]]*ventas_libreria[[#This Row],[cantidad]]</f>
        <v>12.16</v>
      </c>
      <c r="J1239">
        <v>46</v>
      </c>
      <c r="K1239" t="s">
        <v>30</v>
      </c>
      <c r="L1239" s="1">
        <v>45412</v>
      </c>
      <c r="M1239" t="s">
        <v>31</v>
      </c>
      <c r="N1239" t="s">
        <v>22</v>
      </c>
      <c r="O1239" t="s">
        <v>67</v>
      </c>
      <c r="P1239" t="s">
        <v>24</v>
      </c>
      <c r="Q1239">
        <v>4</v>
      </c>
      <c r="R1239">
        <f>IF(ventas_libreria[[#This Row],[valoracion_cliente]]="","Sin valoración",ventas_libreria[[#This Row],[valoracion_cliente]])</f>
        <v>4</v>
      </c>
    </row>
    <row r="1240" spans="1:18" x14ac:dyDescent="0.25">
      <c r="A1240" t="s">
        <v>1516</v>
      </c>
      <c r="B1240" t="s">
        <v>353</v>
      </c>
      <c r="C1240" t="s">
        <v>354</v>
      </c>
      <c r="D1240" t="s">
        <v>226</v>
      </c>
      <c r="E1240" t="s">
        <v>116</v>
      </c>
      <c r="F1240">
        <f>ventas_libreria[[#This Row],[precio_eur]]/100</f>
        <v>1.69</v>
      </c>
      <c r="G1240">
        <v>169</v>
      </c>
      <c r="H1240">
        <v>2</v>
      </c>
      <c r="I1240">
        <f>ventas_libreria[[#This Row],[precio]]*ventas_libreria[[#This Row],[cantidad]]</f>
        <v>3.38</v>
      </c>
      <c r="J1240">
        <v>26</v>
      </c>
      <c r="K1240" t="s">
        <v>20</v>
      </c>
      <c r="L1240" s="1">
        <v>45086</v>
      </c>
      <c r="M1240" t="s">
        <v>43</v>
      </c>
      <c r="N1240" t="s">
        <v>32</v>
      </c>
      <c r="O1240" t="s">
        <v>33</v>
      </c>
      <c r="P1240" t="s">
        <v>34</v>
      </c>
      <c r="Q1240">
        <v>4</v>
      </c>
      <c r="R1240">
        <f>IF(ventas_libreria[[#This Row],[valoracion_cliente]]="","Sin valoración",ventas_libreria[[#This Row],[valoracion_cliente]])</f>
        <v>4</v>
      </c>
    </row>
    <row r="1241" spans="1:18" x14ac:dyDescent="0.25">
      <c r="A1241" t="s">
        <v>1517</v>
      </c>
      <c r="B1241" t="s">
        <v>160</v>
      </c>
      <c r="C1241" t="s">
        <v>161</v>
      </c>
      <c r="D1241" t="s">
        <v>162</v>
      </c>
      <c r="E1241" t="s">
        <v>29</v>
      </c>
      <c r="F1241">
        <f>ventas_libreria[[#This Row],[precio_eur]]/100</f>
        <v>14.36</v>
      </c>
      <c r="G1241">
        <v>1436</v>
      </c>
      <c r="H1241">
        <v>1</v>
      </c>
      <c r="I1241">
        <f>ventas_libreria[[#This Row],[precio]]*ventas_libreria[[#This Row],[cantidad]]</f>
        <v>14.36</v>
      </c>
      <c r="J1241">
        <v>61</v>
      </c>
      <c r="K1241" t="s">
        <v>20</v>
      </c>
      <c r="L1241" s="1">
        <v>45551</v>
      </c>
      <c r="M1241" t="s">
        <v>31</v>
      </c>
      <c r="N1241" t="s">
        <v>32</v>
      </c>
      <c r="O1241" t="s">
        <v>33</v>
      </c>
      <c r="P1241" t="s">
        <v>34</v>
      </c>
      <c r="Q1241">
        <v>5</v>
      </c>
      <c r="R1241">
        <f>IF(ventas_libreria[[#This Row],[valoracion_cliente]]="","Sin valoración",ventas_libreria[[#This Row],[valoracion_cliente]])</f>
        <v>5</v>
      </c>
    </row>
    <row r="1242" spans="1:18" x14ac:dyDescent="0.25">
      <c r="A1242" t="s">
        <v>1518</v>
      </c>
      <c r="B1242" t="s">
        <v>413</v>
      </c>
      <c r="C1242" t="s">
        <v>414</v>
      </c>
      <c r="D1242" t="s">
        <v>270</v>
      </c>
      <c r="E1242" t="s">
        <v>415</v>
      </c>
      <c r="F1242">
        <f>ventas_libreria[[#This Row],[precio_eur]]/100</f>
        <v>0.99</v>
      </c>
      <c r="G1242">
        <v>99</v>
      </c>
      <c r="H1242">
        <v>1</v>
      </c>
      <c r="I1242">
        <f>ventas_libreria[[#This Row],[precio]]*ventas_libreria[[#This Row],[cantidad]]</f>
        <v>0.99</v>
      </c>
      <c r="J1242">
        <v>35</v>
      </c>
      <c r="K1242" t="s">
        <v>38</v>
      </c>
      <c r="L1242" s="1">
        <v>44927</v>
      </c>
      <c r="M1242" t="s">
        <v>31</v>
      </c>
      <c r="N1242" t="s">
        <v>22</v>
      </c>
      <c r="O1242" t="s">
        <v>49</v>
      </c>
      <c r="P1242" t="s">
        <v>34</v>
      </c>
      <c r="Q1242">
        <v>5</v>
      </c>
      <c r="R1242">
        <f>IF(ventas_libreria[[#This Row],[valoracion_cliente]]="","Sin valoración",ventas_libreria[[#This Row],[valoracion_cliente]])</f>
        <v>5</v>
      </c>
    </row>
    <row r="1243" spans="1:18" x14ac:dyDescent="0.25">
      <c r="A1243" t="s">
        <v>1519</v>
      </c>
      <c r="B1243" t="s">
        <v>125</v>
      </c>
      <c r="C1243" t="s">
        <v>126</v>
      </c>
      <c r="D1243" t="s">
        <v>127</v>
      </c>
      <c r="E1243" t="s">
        <v>29</v>
      </c>
      <c r="F1243">
        <f>ventas_libreria[[#This Row],[precio_eur]]/100</f>
        <v>18.79</v>
      </c>
      <c r="G1243">
        <v>1879</v>
      </c>
      <c r="H1243">
        <v>4</v>
      </c>
      <c r="I1243">
        <f>ventas_libreria[[#This Row],[precio]]*ventas_libreria[[#This Row],[cantidad]]</f>
        <v>75.16</v>
      </c>
      <c r="J1243">
        <v>44</v>
      </c>
      <c r="K1243" t="s">
        <v>38</v>
      </c>
      <c r="L1243" s="1">
        <v>45605</v>
      </c>
      <c r="M1243" t="s">
        <v>21</v>
      </c>
      <c r="N1243" t="s">
        <v>22</v>
      </c>
      <c r="O1243" t="s">
        <v>132</v>
      </c>
      <c r="P1243" t="s">
        <v>50</v>
      </c>
      <c r="Q1243">
        <v>5</v>
      </c>
      <c r="R1243">
        <f>IF(ventas_libreria[[#This Row],[valoracion_cliente]]="","Sin valoración",ventas_libreria[[#This Row],[valoracion_cliente]])</f>
        <v>5</v>
      </c>
    </row>
    <row r="1244" spans="1:18" x14ac:dyDescent="0.25">
      <c r="A1244" t="s">
        <v>1520</v>
      </c>
      <c r="B1244" t="s">
        <v>45</v>
      </c>
      <c r="C1244" t="s">
        <v>46</v>
      </c>
      <c r="D1244" t="s">
        <v>47</v>
      </c>
      <c r="E1244" t="s">
        <v>48</v>
      </c>
      <c r="F1244">
        <f>ventas_libreria[[#This Row],[precio_eur]]/100</f>
        <v>1.99</v>
      </c>
      <c r="G1244">
        <v>199</v>
      </c>
      <c r="H1244">
        <v>4</v>
      </c>
      <c r="I1244">
        <f>ventas_libreria[[#This Row],[precio]]*ventas_libreria[[#This Row],[cantidad]]</f>
        <v>7.96</v>
      </c>
      <c r="J1244">
        <v>23</v>
      </c>
      <c r="K1244" t="s">
        <v>20</v>
      </c>
      <c r="L1244" s="1">
        <v>45830</v>
      </c>
      <c r="M1244" t="s">
        <v>31</v>
      </c>
      <c r="N1244" t="s">
        <v>22</v>
      </c>
      <c r="O1244" t="s">
        <v>132</v>
      </c>
      <c r="P1244" t="s">
        <v>56</v>
      </c>
      <c r="R1244" t="str">
        <f>IF(ventas_libreria[[#This Row],[valoracion_cliente]]="","Sin valoración",ventas_libreria[[#This Row],[valoracion_cliente]])</f>
        <v>Sin valoración</v>
      </c>
    </row>
    <row r="1245" spans="1:18" x14ac:dyDescent="0.25">
      <c r="A1245" t="s">
        <v>1521</v>
      </c>
      <c r="B1245" t="s">
        <v>466</v>
      </c>
      <c r="C1245" t="s">
        <v>467</v>
      </c>
      <c r="D1245" t="s">
        <v>468</v>
      </c>
      <c r="E1245" t="s">
        <v>154</v>
      </c>
      <c r="F1245">
        <f>ventas_libreria[[#This Row],[precio_eur]]/100</f>
        <v>16.059999999999999</v>
      </c>
      <c r="G1245">
        <v>1606</v>
      </c>
      <c r="H1245">
        <v>3</v>
      </c>
      <c r="I1245">
        <f>ventas_libreria[[#This Row],[precio]]*ventas_libreria[[#This Row],[cantidad]]</f>
        <v>48.179999999999993</v>
      </c>
      <c r="J1245">
        <v>34</v>
      </c>
      <c r="K1245" t="s">
        <v>62</v>
      </c>
      <c r="L1245" s="1">
        <v>45419</v>
      </c>
      <c r="M1245" t="s">
        <v>21</v>
      </c>
      <c r="N1245" t="s">
        <v>22</v>
      </c>
      <c r="O1245" t="s">
        <v>98</v>
      </c>
      <c r="P1245" t="s">
        <v>34</v>
      </c>
      <c r="Q1245">
        <v>4</v>
      </c>
      <c r="R1245">
        <f>IF(ventas_libreria[[#This Row],[valoracion_cliente]]="","Sin valoración",ventas_libreria[[#This Row],[valoracion_cliente]])</f>
        <v>4</v>
      </c>
    </row>
    <row r="1246" spans="1:18" x14ac:dyDescent="0.25">
      <c r="A1246" t="s">
        <v>1522</v>
      </c>
      <c r="B1246" t="s">
        <v>156</v>
      </c>
      <c r="C1246" t="s">
        <v>157</v>
      </c>
      <c r="D1246" t="s">
        <v>158</v>
      </c>
      <c r="E1246" t="s">
        <v>149</v>
      </c>
      <c r="F1246">
        <f>ventas_libreria[[#This Row],[precio_eur]]/100</f>
        <v>15.12</v>
      </c>
      <c r="G1246">
        <v>1512</v>
      </c>
      <c r="H1246">
        <v>1</v>
      </c>
      <c r="I1246">
        <f>ventas_libreria[[#This Row],[precio]]*ventas_libreria[[#This Row],[cantidad]]</f>
        <v>15.12</v>
      </c>
      <c r="J1246">
        <v>24</v>
      </c>
      <c r="K1246" t="s">
        <v>62</v>
      </c>
      <c r="L1246" s="1">
        <v>45942</v>
      </c>
      <c r="M1246" t="s">
        <v>31</v>
      </c>
      <c r="N1246" t="s">
        <v>22</v>
      </c>
      <c r="O1246" t="s">
        <v>132</v>
      </c>
      <c r="P1246" t="s">
        <v>24</v>
      </c>
      <c r="Q1246">
        <v>4</v>
      </c>
      <c r="R1246">
        <f>IF(ventas_libreria[[#This Row],[valoracion_cliente]]="","Sin valoración",ventas_libreria[[#This Row],[valoracion_cliente]])</f>
        <v>4</v>
      </c>
    </row>
    <row r="1247" spans="1:18" x14ac:dyDescent="0.25">
      <c r="A1247" t="s">
        <v>1523</v>
      </c>
      <c r="B1247" t="s">
        <v>276</v>
      </c>
      <c r="C1247" t="s">
        <v>277</v>
      </c>
      <c r="D1247" t="s">
        <v>278</v>
      </c>
      <c r="E1247" t="s">
        <v>189</v>
      </c>
      <c r="F1247">
        <f>ventas_libreria[[#This Row],[precio_eur]]/100</f>
        <v>14.32</v>
      </c>
      <c r="G1247">
        <v>1432</v>
      </c>
      <c r="H1247">
        <v>1</v>
      </c>
      <c r="I1247">
        <f>ventas_libreria[[#This Row],[precio]]*ventas_libreria[[#This Row],[cantidad]]</f>
        <v>14.32</v>
      </c>
      <c r="J1247">
        <v>45</v>
      </c>
      <c r="K1247" t="s">
        <v>62</v>
      </c>
      <c r="L1247" s="1">
        <v>45832</v>
      </c>
      <c r="M1247" t="s">
        <v>43</v>
      </c>
      <c r="N1247" t="s">
        <v>32</v>
      </c>
      <c r="O1247" t="s">
        <v>33</v>
      </c>
      <c r="P1247" t="s">
        <v>56</v>
      </c>
      <c r="Q1247">
        <v>4</v>
      </c>
      <c r="R1247">
        <f>IF(ventas_libreria[[#This Row],[valoracion_cliente]]="","Sin valoración",ventas_libreria[[#This Row],[valoracion_cliente]])</f>
        <v>4</v>
      </c>
    </row>
    <row r="1248" spans="1:18" x14ac:dyDescent="0.25">
      <c r="A1248" t="s">
        <v>1524</v>
      </c>
      <c r="B1248" t="s">
        <v>156</v>
      </c>
      <c r="C1248" t="s">
        <v>157</v>
      </c>
      <c r="D1248" t="s">
        <v>158</v>
      </c>
      <c r="E1248" t="s">
        <v>149</v>
      </c>
      <c r="F1248">
        <f>ventas_libreria[[#This Row],[precio_eur]]/100</f>
        <v>1.89</v>
      </c>
      <c r="G1248">
        <v>189</v>
      </c>
      <c r="H1248">
        <v>1</v>
      </c>
      <c r="I1248">
        <f>ventas_libreria[[#This Row],[precio]]*ventas_libreria[[#This Row],[cantidad]]</f>
        <v>1.89</v>
      </c>
      <c r="J1248">
        <v>24</v>
      </c>
      <c r="K1248" t="s">
        <v>38</v>
      </c>
      <c r="L1248" s="1">
        <v>45073</v>
      </c>
      <c r="M1248" t="s">
        <v>31</v>
      </c>
      <c r="N1248" t="s">
        <v>32</v>
      </c>
      <c r="O1248" t="s">
        <v>33</v>
      </c>
      <c r="P1248" t="s">
        <v>50</v>
      </c>
      <c r="R1248" t="str">
        <f>IF(ventas_libreria[[#This Row],[valoracion_cliente]]="","Sin valoración",ventas_libreria[[#This Row],[valoracion_cliente]])</f>
        <v>Sin valoración</v>
      </c>
    </row>
    <row r="1249" spans="1:18" x14ac:dyDescent="0.25">
      <c r="A1249" t="s">
        <v>1525</v>
      </c>
      <c r="B1249" t="s">
        <v>169</v>
      </c>
      <c r="C1249" t="s">
        <v>170</v>
      </c>
      <c r="D1249" t="s">
        <v>171</v>
      </c>
      <c r="E1249" t="s">
        <v>172</v>
      </c>
      <c r="F1249">
        <f>ventas_libreria[[#This Row],[precio_eur]]/100</f>
        <v>2.29</v>
      </c>
      <c r="G1249">
        <v>229</v>
      </c>
      <c r="H1249">
        <v>1</v>
      </c>
      <c r="I1249">
        <f>ventas_libreria[[#This Row],[precio]]*ventas_libreria[[#This Row],[cantidad]]</f>
        <v>2.29</v>
      </c>
      <c r="J1249">
        <v>36</v>
      </c>
      <c r="K1249" t="s">
        <v>62</v>
      </c>
      <c r="L1249" s="1">
        <v>45297</v>
      </c>
      <c r="M1249" t="s">
        <v>31</v>
      </c>
      <c r="N1249" t="s">
        <v>22</v>
      </c>
      <c r="O1249" t="s">
        <v>98</v>
      </c>
      <c r="P1249" t="s">
        <v>84</v>
      </c>
      <c r="Q1249">
        <v>5</v>
      </c>
      <c r="R1249">
        <f>IF(ventas_libreria[[#This Row],[valoracion_cliente]]="","Sin valoración",ventas_libreria[[#This Row],[valoracion_cliente]])</f>
        <v>5</v>
      </c>
    </row>
    <row r="1250" spans="1:18" x14ac:dyDescent="0.25">
      <c r="A1250" t="s">
        <v>1526</v>
      </c>
      <c r="B1250" t="s">
        <v>406</v>
      </c>
      <c r="C1250" t="s">
        <v>407</v>
      </c>
      <c r="D1250" t="s">
        <v>88</v>
      </c>
      <c r="E1250" t="s">
        <v>77</v>
      </c>
      <c r="F1250">
        <f>ventas_libreria[[#This Row],[precio_eur]]/100</f>
        <v>13.09</v>
      </c>
      <c r="G1250">
        <v>1309</v>
      </c>
      <c r="H1250">
        <v>1</v>
      </c>
      <c r="I1250">
        <f>ventas_libreria[[#This Row],[precio]]*ventas_libreria[[#This Row],[cantidad]]</f>
        <v>13.09</v>
      </c>
      <c r="J1250">
        <v>8</v>
      </c>
      <c r="K1250" t="s">
        <v>20</v>
      </c>
      <c r="L1250" s="1">
        <v>45094</v>
      </c>
      <c r="M1250" t="s">
        <v>31</v>
      </c>
      <c r="N1250" t="s">
        <v>32</v>
      </c>
      <c r="O1250" t="s">
        <v>33</v>
      </c>
      <c r="P1250" t="s">
        <v>34</v>
      </c>
      <c r="Q1250">
        <v>5</v>
      </c>
      <c r="R1250">
        <f>IF(ventas_libreria[[#This Row],[valoracion_cliente]]="","Sin valoración",ventas_libreria[[#This Row],[valoracion_cliente]])</f>
        <v>5</v>
      </c>
    </row>
    <row r="1251" spans="1:18" x14ac:dyDescent="0.25">
      <c r="A1251" t="s">
        <v>1527</v>
      </c>
      <c r="B1251" t="s">
        <v>403</v>
      </c>
      <c r="C1251" t="s">
        <v>404</v>
      </c>
      <c r="D1251" t="s">
        <v>123</v>
      </c>
      <c r="E1251" t="s">
        <v>48</v>
      </c>
      <c r="F1251">
        <f>ventas_libreria[[#This Row],[precio_eur]]/100</f>
        <v>2.99</v>
      </c>
      <c r="G1251">
        <v>299</v>
      </c>
      <c r="H1251">
        <v>1</v>
      </c>
      <c r="I1251">
        <f>ventas_libreria[[#This Row],[precio]]*ventas_libreria[[#This Row],[cantidad]]</f>
        <v>2.99</v>
      </c>
      <c r="J1251">
        <v>71</v>
      </c>
      <c r="K1251" t="s">
        <v>38</v>
      </c>
      <c r="L1251" s="1">
        <v>45810</v>
      </c>
      <c r="M1251" t="s">
        <v>21</v>
      </c>
      <c r="N1251" t="s">
        <v>32</v>
      </c>
      <c r="O1251" t="s">
        <v>33</v>
      </c>
      <c r="P1251" t="s">
        <v>24</v>
      </c>
      <c r="Q1251">
        <v>5</v>
      </c>
      <c r="R1251">
        <f>IF(ventas_libreria[[#This Row],[valoracion_cliente]]="","Sin valoración",ventas_libreria[[#This Row],[valoracion_cliente]])</f>
        <v>5</v>
      </c>
    </row>
    <row r="1252" spans="1:18" x14ac:dyDescent="0.25">
      <c r="A1252" t="s">
        <v>1528</v>
      </c>
      <c r="B1252" t="s">
        <v>314</v>
      </c>
      <c r="C1252" t="s">
        <v>315</v>
      </c>
      <c r="D1252" t="s">
        <v>217</v>
      </c>
      <c r="E1252" t="s">
        <v>55</v>
      </c>
      <c r="F1252">
        <f>ventas_libreria[[#This Row],[precio_eur]]/100</f>
        <v>15.72</v>
      </c>
      <c r="G1252">
        <v>1572</v>
      </c>
      <c r="H1252">
        <v>1</v>
      </c>
      <c r="I1252">
        <f>ventas_libreria[[#This Row],[precio]]*ventas_libreria[[#This Row],[cantidad]]</f>
        <v>15.72</v>
      </c>
      <c r="J1252">
        <v>22</v>
      </c>
      <c r="K1252" t="s">
        <v>20</v>
      </c>
      <c r="L1252" s="1">
        <v>45249</v>
      </c>
      <c r="M1252" t="s">
        <v>21</v>
      </c>
      <c r="N1252" t="s">
        <v>32</v>
      </c>
      <c r="O1252" t="s">
        <v>33</v>
      </c>
      <c r="P1252" t="s">
        <v>84</v>
      </c>
      <c r="Q1252">
        <v>2</v>
      </c>
      <c r="R1252">
        <f>IF(ventas_libreria[[#This Row],[valoracion_cliente]]="","Sin valoración",ventas_libreria[[#This Row],[valoracion_cliente]])</f>
        <v>2</v>
      </c>
    </row>
    <row r="1253" spans="1:18" x14ac:dyDescent="0.25">
      <c r="A1253" t="s">
        <v>1529</v>
      </c>
      <c r="B1253" t="s">
        <v>45</v>
      </c>
      <c r="C1253" t="s">
        <v>46</v>
      </c>
      <c r="D1253" t="s">
        <v>47</v>
      </c>
      <c r="E1253" t="s">
        <v>48</v>
      </c>
      <c r="F1253">
        <f>ventas_libreria[[#This Row],[precio_eur]]/100</f>
        <v>20.89</v>
      </c>
      <c r="G1253">
        <v>2089</v>
      </c>
      <c r="H1253">
        <v>2</v>
      </c>
      <c r="I1253">
        <f>ventas_libreria[[#This Row],[precio]]*ventas_libreria[[#This Row],[cantidad]]</f>
        <v>41.78</v>
      </c>
      <c r="J1253">
        <v>22</v>
      </c>
      <c r="K1253" t="s">
        <v>38</v>
      </c>
      <c r="L1253" s="1">
        <v>45367</v>
      </c>
      <c r="M1253" t="s">
        <v>31</v>
      </c>
      <c r="N1253" t="s">
        <v>22</v>
      </c>
      <c r="O1253" t="s">
        <v>132</v>
      </c>
      <c r="P1253" t="s">
        <v>34</v>
      </c>
      <c r="Q1253">
        <v>4</v>
      </c>
      <c r="R1253">
        <f>IF(ventas_libreria[[#This Row],[valoracion_cliente]]="","Sin valoración",ventas_libreria[[#This Row],[valoracion_cliente]])</f>
        <v>4</v>
      </c>
    </row>
    <row r="1254" spans="1:18" x14ac:dyDescent="0.25">
      <c r="A1254" t="s">
        <v>1530</v>
      </c>
      <c r="B1254" t="s">
        <v>240</v>
      </c>
      <c r="C1254" t="s">
        <v>241</v>
      </c>
      <c r="D1254" t="s">
        <v>54</v>
      </c>
      <c r="E1254" t="s">
        <v>172</v>
      </c>
      <c r="F1254">
        <f>ventas_libreria[[#This Row],[precio_eur]]/100</f>
        <v>12.66</v>
      </c>
      <c r="G1254">
        <v>1266</v>
      </c>
      <c r="H1254">
        <v>2</v>
      </c>
      <c r="I1254">
        <f>ventas_libreria[[#This Row],[precio]]*ventas_libreria[[#This Row],[cantidad]]</f>
        <v>25.32</v>
      </c>
      <c r="J1254">
        <v>59</v>
      </c>
      <c r="K1254" t="s">
        <v>62</v>
      </c>
      <c r="L1254" s="1">
        <v>44931</v>
      </c>
      <c r="M1254" t="s">
        <v>43</v>
      </c>
      <c r="N1254" t="s">
        <v>32</v>
      </c>
      <c r="O1254" t="s">
        <v>33</v>
      </c>
      <c r="P1254" t="s">
        <v>24</v>
      </c>
      <c r="Q1254">
        <v>4</v>
      </c>
      <c r="R1254">
        <f>IF(ventas_libreria[[#This Row],[valoracion_cliente]]="","Sin valoración",ventas_libreria[[#This Row],[valoracion_cliente]])</f>
        <v>4</v>
      </c>
    </row>
    <row r="1255" spans="1:18" x14ac:dyDescent="0.25">
      <c r="A1255" t="s">
        <v>1531</v>
      </c>
      <c r="B1255" t="s">
        <v>418</v>
      </c>
      <c r="C1255" t="s">
        <v>419</v>
      </c>
      <c r="D1255" t="s">
        <v>420</v>
      </c>
      <c r="E1255" t="s">
        <v>149</v>
      </c>
      <c r="F1255">
        <f>ventas_libreria[[#This Row],[precio_eur]]/100</f>
        <v>13.52</v>
      </c>
      <c r="G1255">
        <v>1352</v>
      </c>
      <c r="H1255">
        <v>1</v>
      </c>
      <c r="I1255">
        <f>ventas_libreria[[#This Row],[precio]]*ventas_libreria[[#This Row],[cantidad]]</f>
        <v>13.52</v>
      </c>
      <c r="J1255">
        <v>21</v>
      </c>
      <c r="K1255" t="s">
        <v>20</v>
      </c>
      <c r="L1255" s="1">
        <v>45562</v>
      </c>
      <c r="M1255" t="s">
        <v>21</v>
      </c>
      <c r="N1255" t="s">
        <v>32</v>
      </c>
      <c r="O1255" t="s">
        <v>33</v>
      </c>
      <c r="P1255" t="s">
        <v>24</v>
      </c>
      <c r="R1255" t="str">
        <f>IF(ventas_libreria[[#This Row],[valoracion_cliente]]="","Sin valoración",ventas_libreria[[#This Row],[valoracion_cliente]])</f>
        <v>Sin valoración</v>
      </c>
    </row>
    <row r="1256" spans="1:18" x14ac:dyDescent="0.25">
      <c r="A1256" t="s">
        <v>1532</v>
      </c>
      <c r="B1256" t="s">
        <v>80</v>
      </c>
      <c r="C1256" t="s">
        <v>81</v>
      </c>
      <c r="D1256" t="s">
        <v>82</v>
      </c>
      <c r="E1256" t="s">
        <v>83</v>
      </c>
      <c r="F1256">
        <f>ventas_libreria[[#This Row],[precio_eur]]/100</f>
        <v>0.99</v>
      </c>
      <c r="G1256">
        <v>99</v>
      </c>
      <c r="H1256">
        <v>2</v>
      </c>
      <c r="I1256">
        <f>ventas_libreria[[#This Row],[precio]]*ventas_libreria[[#This Row],[cantidad]]</f>
        <v>1.98</v>
      </c>
      <c r="J1256">
        <v>66</v>
      </c>
      <c r="K1256" t="s">
        <v>62</v>
      </c>
      <c r="L1256" s="1">
        <v>45750</v>
      </c>
      <c r="M1256" t="s">
        <v>43</v>
      </c>
      <c r="N1256" t="s">
        <v>32</v>
      </c>
      <c r="O1256" t="s">
        <v>33</v>
      </c>
      <c r="P1256" t="s">
        <v>50</v>
      </c>
      <c r="R1256" t="str">
        <f>IF(ventas_libreria[[#This Row],[valoracion_cliente]]="","Sin valoración",ventas_libreria[[#This Row],[valoracion_cliente]])</f>
        <v>Sin valoración</v>
      </c>
    </row>
    <row r="1257" spans="1:18" x14ac:dyDescent="0.25">
      <c r="A1257" t="s">
        <v>1533</v>
      </c>
      <c r="B1257" t="s">
        <v>204</v>
      </c>
      <c r="C1257" t="s">
        <v>205</v>
      </c>
      <c r="D1257" t="s">
        <v>206</v>
      </c>
      <c r="E1257" t="s">
        <v>116</v>
      </c>
      <c r="F1257">
        <f>ventas_libreria[[#This Row],[precio_eur]]/100</f>
        <v>1.29</v>
      </c>
      <c r="G1257">
        <v>129</v>
      </c>
      <c r="H1257">
        <v>2</v>
      </c>
      <c r="I1257">
        <f>ventas_libreria[[#This Row],[precio]]*ventas_libreria[[#This Row],[cantidad]]</f>
        <v>2.58</v>
      </c>
      <c r="J1257">
        <v>28</v>
      </c>
      <c r="K1257" t="s">
        <v>62</v>
      </c>
      <c r="L1257" s="1">
        <v>45922</v>
      </c>
      <c r="M1257" t="s">
        <v>21</v>
      </c>
      <c r="N1257" t="s">
        <v>32</v>
      </c>
      <c r="O1257" t="s">
        <v>33</v>
      </c>
      <c r="P1257" t="s">
        <v>56</v>
      </c>
      <c r="Q1257">
        <v>2</v>
      </c>
      <c r="R1257">
        <f>IF(ventas_libreria[[#This Row],[valoracion_cliente]]="","Sin valoración",ventas_libreria[[#This Row],[valoracion_cliente]])</f>
        <v>2</v>
      </c>
    </row>
    <row r="1258" spans="1:18" x14ac:dyDescent="0.25">
      <c r="A1258" t="s">
        <v>1534</v>
      </c>
      <c r="B1258" t="s">
        <v>16</v>
      </c>
      <c r="C1258" t="s">
        <v>17</v>
      </c>
      <c r="D1258" t="s">
        <v>18</v>
      </c>
      <c r="E1258" t="s">
        <v>19</v>
      </c>
      <c r="F1258">
        <f>ventas_libreria[[#This Row],[precio_eur]]/100</f>
        <v>13.41</v>
      </c>
      <c r="G1258">
        <v>1341</v>
      </c>
      <c r="H1258">
        <v>1</v>
      </c>
      <c r="I1258">
        <f>ventas_libreria[[#This Row],[precio]]*ventas_libreria[[#This Row],[cantidad]]</f>
        <v>13.41</v>
      </c>
      <c r="J1258">
        <v>28</v>
      </c>
      <c r="K1258" t="s">
        <v>38</v>
      </c>
      <c r="L1258" s="1">
        <v>44959</v>
      </c>
      <c r="M1258" t="s">
        <v>31</v>
      </c>
      <c r="N1258" t="s">
        <v>22</v>
      </c>
      <c r="O1258" t="s">
        <v>67</v>
      </c>
      <c r="P1258" t="s">
        <v>56</v>
      </c>
      <c r="Q1258">
        <v>2</v>
      </c>
      <c r="R1258">
        <f>IF(ventas_libreria[[#This Row],[valoracion_cliente]]="","Sin valoración",ventas_libreria[[#This Row],[valoracion_cliente]])</f>
        <v>2</v>
      </c>
    </row>
    <row r="1259" spans="1:18" x14ac:dyDescent="0.25">
      <c r="A1259" t="s">
        <v>1535</v>
      </c>
      <c r="B1259" t="s">
        <v>403</v>
      </c>
      <c r="C1259" t="s">
        <v>404</v>
      </c>
      <c r="D1259" t="s">
        <v>123</v>
      </c>
      <c r="E1259" t="s">
        <v>48</v>
      </c>
      <c r="F1259">
        <f>ventas_libreria[[#This Row],[precio_eur]]/100</f>
        <v>2.99</v>
      </c>
      <c r="G1259">
        <v>299</v>
      </c>
      <c r="H1259">
        <v>1</v>
      </c>
      <c r="I1259">
        <f>ventas_libreria[[#This Row],[precio]]*ventas_libreria[[#This Row],[cantidad]]</f>
        <v>2.99</v>
      </c>
      <c r="J1259">
        <v>62</v>
      </c>
      <c r="K1259" t="s">
        <v>20</v>
      </c>
      <c r="L1259" s="1">
        <v>45017</v>
      </c>
      <c r="M1259" t="s">
        <v>31</v>
      </c>
      <c r="N1259" t="s">
        <v>32</v>
      </c>
      <c r="O1259" t="s">
        <v>33</v>
      </c>
      <c r="P1259" t="s">
        <v>34</v>
      </c>
      <c r="Q1259">
        <v>5</v>
      </c>
      <c r="R1259">
        <f>IF(ventas_libreria[[#This Row],[valoracion_cliente]]="","Sin valoración",ventas_libreria[[#This Row],[valoracion_cliente]])</f>
        <v>5</v>
      </c>
    </row>
    <row r="1260" spans="1:18" x14ac:dyDescent="0.25">
      <c r="A1260" t="s">
        <v>1536</v>
      </c>
      <c r="B1260" t="s">
        <v>208</v>
      </c>
      <c r="C1260" t="s">
        <v>209</v>
      </c>
      <c r="D1260" t="s">
        <v>106</v>
      </c>
      <c r="E1260" t="s">
        <v>107</v>
      </c>
      <c r="F1260">
        <f>ventas_libreria[[#This Row],[precio_eur]]/100</f>
        <v>1.49</v>
      </c>
      <c r="G1260">
        <v>149</v>
      </c>
      <c r="H1260">
        <v>1</v>
      </c>
      <c r="I1260">
        <f>ventas_libreria[[#This Row],[precio]]*ventas_libreria[[#This Row],[cantidad]]</f>
        <v>1.49</v>
      </c>
      <c r="J1260">
        <v>18</v>
      </c>
      <c r="K1260" t="s">
        <v>30</v>
      </c>
      <c r="L1260" s="1">
        <v>45284</v>
      </c>
      <c r="M1260" t="s">
        <v>21</v>
      </c>
      <c r="N1260" t="s">
        <v>22</v>
      </c>
      <c r="O1260" t="s">
        <v>49</v>
      </c>
      <c r="P1260" t="s">
        <v>24</v>
      </c>
      <c r="Q1260">
        <v>5</v>
      </c>
      <c r="R1260">
        <f>IF(ventas_libreria[[#This Row],[valoracion_cliente]]="","Sin valoración",ventas_libreria[[#This Row],[valoracion_cliente]])</f>
        <v>5</v>
      </c>
    </row>
    <row r="1261" spans="1:18" x14ac:dyDescent="0.25">
      <c r="A1261" t="s">
        <v>1537</v>
      </c>
      <c r="B1261" t="s">
        <v>314</v>
      </c>
      <c r="C1261" t="s">
        <v>315</v>
      </c>
      <c r="D1261" t="s">
        <v>217</v>
      </c>
      <c r="E1261" t="s">
        <v>55</v>
      </c>
      <c r="F1261">
        <f>ventas_libreria[[#This Row],[precio_eur]]/100</f>
        <v>1.85</v>
      </c>
      <c r="G1261">
        <v>185</v>
      </c>
      <c r="H1261">
        <v>1</v>
      </c>
      <c r="I1261">
        <f>ventas_libreria[[#This Row],[precio]]*ventas_libreria[[#This Row],[cantidad]]</f>
        <v>1.85</v>
      </c>
      <c r="J1261">
        <v>35</v>
      </c>
      <c r="K1261" t="s">
        <v>38</v>
      </c>
      <c r="L1261" s="1">
        <v>45370</v>
      </c>
      <c r="M1261" t="s">
        <v>43</v>
      </c>
      <c r="N1261" t="s">
        <v>32</v>
      </c>
      <c r="O1261" t="s">
        <v>33</v>
      </c>
      <c r="P1261" t="s">
        <v>56</v>
      </c>
      <c r="Q1261">
        <v>5</v>
      </c>
      <c r="R1261">
        <f>IF(ventas_libreria[[#This Row],[valoracion_cliente]]="","Sin valoración",ventas_libreria[[#This Row],[valoracion_cliente]])</f>
        <v>5</v>
      </c>
    </row>
    <row r="1262" spans="1:18" x14ac:dyDescent="0.25">
      <c r="A1262" t="s">
        <v>1538</v>
      </c>
      <c r="B1262" t="s">
        <v>118</v>
      </c>
      <c r="C1262" t="s">
        <v>119</v>
      </c>
      <c r="D1262" t="s">
        <v>47</v>
      </c>
      <c r="E1262" t="s">
        <v>48</v>
      </c>
      <c r="F1262">
        <f>ventas_libreria[[#This Row],[precio_eur]]/100</f>
        <v>1.67</v>
      </c>
      <c r="G1262">
        <v>167</v>
      </c>
      <c r="H1262">
        <v>2</v>
      </c>
      <c r="I1262">
        <f>ventas_libreria[[#This Row],[precio]]*ventas_libreria[[#This Row],[cantidad]]</f>
        <v>3.34</v>
      </c>
      <c r="J1262">
        <v>37</v>
      </c>
      <c r="K1262" t="s">
        <v>62</v>
      </c>
      <c r="L1262" s="1">
        <v>45325</v>
      </c>
      <c r="M1262" t="s">
        <v>31</v>
      </c>
      <c r="N1262" t="s">
        <v>32</v>
      </c>
      <c r="O1262" t="s">
        <v>33</v>
      </c>
      <c r="P1262" t="s">
        <v>24</v>
      </c>
      <c r="Q1262">
        <v>3</v>
      </c>
      <c r="R1262">
        <f>IF(ventas_libreria[[#This Row],[valoracion_cliente]]="","Sin valoración",ventas_libreria[[#This Row],[valoracion_cliente]])</f>
        <v>3</v>
      </c>
    </row>
    <row r="1263" spans="1:18" x14ac:dyDescent="0.25">
      <c r="A1263" t="s">
        <v>1539</v>
      </c>
      <c r="B1263" t="s">
        <v>204</v>
      </c>
      <c r="C1263" t="s">
        <v>205</v>
      </c>
      <c r="D1263" t="s">
        <v>206</v>
      </c>
      <c r="E1263" t="s">
        <v>116</v>
      </c>
      <c r="F1263">
        <f>ventas_libreria[[#This Row],[precio_eur]]/100</f>
        <v>13.55</v>
      </c>
      <c r="G1263">
        <v>1355</v>
      </c>
      <c r="H1263">
        <v>4</v>
      </c>
      <c r="I1263">
        <f>ventas_libreria[[#This Row],[precio]]*ventas_libreria[[#This Row],[cantidad]]</f>
        <v>54.2</v>
      </c>
      <c r="J1263">
        <v>40</v>
      </c>
      <c r="K1263" t="s">
        <v>38</v>
      </c>
      <c r="L1263" s="1">
        <v>45409</v>
      </c>
      <c r="M1263" t="s">
        <v>31</v>
      </c>
      <c r="N1263" t="s">
        <v>22</v>
      </c>
      <c r="O1263" t="s">
        <v>98</v>
      </c>
      <c r="P1263" t="s">
        <v>56</v>
      </c>
      <c r="Q1263">
        <v>4</v>
      </c>
      <c r="R1263">
        <f>IF(ventas_libreria[[#This Row],[valoracion_cliente]]="","Sin valoración",ventas_libreria[[#This Row],[valoracion_cliente]])</f>
        <v>4</v>
      </c>
    </row>
    <row r="1264" spans="1:18" x14ac:dyDescent="0.25">
      <c r="A1264" t="s">
        <v>1540</v>
      </c>
      <c r="B1264" t="s">
        <v>307</v>
      </c>
      <c r="C1264" t="s">
        <v>308</v>
      </c>
      <c r="D1264" t="s">
        <v>88</v>
      </c>
      <c r="E1264" t="s">
        <v>77</v>
      </c>
      <c r="F1264">
        <f>ventas_libreria[[#This Row],[precio_eur]]/100</f>
        <v>9.81</v>
      </c>
      <c r="G1264">
        <v>981</v>
      </c>
      <c r="H1264">
        <v>1</v>
      </c>
      <c r="I1264">
        <f>ventas_libreria[[#This Row],[precio]]*ventas_libreria[[#This Row],[cantidad]]</f>
        <v>9.81</v>
      </c>
      <c r="J1264">
        <v>8</v>
      </c>
      <c r="K1264" t="s">
        <v>30</v>
      </c>
      <c r="L1264" s="1">
        <v>45314</v>
      </c>
      <c r="M1264" t="s">
        <v>31</v>
      </c>
      <c r="N1264" t="s">
        <v>32</v>
      </c>
      <c r="O1264" t="s">
        <v>33</v>
      </c>
      <c r="P1264" t="s">
        <v>56</v>
      </c>
      <c r="R1264" t="str">
        <f>IF(ventas_libreria[[#This Row],[valoracion_cliente]]="","Sin valoración",ventas_libreria[[#This Row],[valoracion_cliente]])</f>
        <v>Sin valoración</v>
      </c>
    </row>
    <row r="1265" spans="1:18" x14ac:dyDescent="0.25">
      <c r="A1265" t="s">
        <v>1541</v>
      </c>
      <c r="B1265" t="s">
        <v>181</v>
      </c>
      <c r="C1265" t="s">
        <v>182</v>
      </c>
      <c r="D1265" t="s">
        <v>183</v>
      </c>
      <c r="E1265" t="s">
        <v>116</v>
      </c>
      <c r="F1265">
        <f>ventas_libreria[[#This Row],[precio_eur]]/100</f>
        <v>15.29</v>
      </c>
      <c r="G1265">
        <v>1529</v>
      </c>
      <c r="H1265">
        <v>1</v>
      </c>
      <c r="I1265">
        <f>ventas_libreria[[#This Row],[precio]]*ventas_libreria[[#This Row],[cantidad]]</f>
        <v>15.29</v>
      </c>
      <c r="J1265">
        <v>49</v>
      </c>
      <c r="K1265" t="s">
        <v>30</v>
      </c>
      <c r="L1265" s="1">
        <v>45020</v>
      </c>
      <c r="M1265" t="s">
        <v>21</v>
      </c>
      <c r="N1265" t="s">
        <v>22</v>
      </c>
      <c r="O1265" t="s">
        <v>23</v>
      </c>
      <c r="P1265" t="s">
        <v>24</v>
      </c>
      <c r="R1265" t="str">
        <f>IF(ventas_libreria[[#This Row],[valoracion_cliente]]="","Sin valoración",ventas_libreria[[#This Row],[valoracion_cliente]])</f>
        <v>Sin valoración</v>
      </c>
    </row>
    <row r="1266" spans="1:18" x14ac:dyDescent="0.25">
      <c r="A1266" t="s">
        <v>1542</v>
      </c>
      <c r="B1266" t="s">
        <v>64</v>
      </c>
      <c r="C1266" t="s">
        <v>65</v>
      </c>
      <c r="D1266" t="s">
        <v>66</v>
      </c>
      <c r="E1266" t="s">
        <v>29</v>
      </c>
      <c r="F1266">
        <f>ventas_libreria[[#This Row],[precio_eur]]/100</f>
        <v>1.65</v>
      </c>
      <c r="G1266">
        <v>165</v>
      </c>
      <c r="H1266">
        <v>1</v>
      </c>
      <c r="I1266">
        <f>ventas_libreria[[#This Row],[precio]]*ventas_libreria[[#This Row],[cantidad]]</f>
        <v>1.65</v>
      </c>
      <c r="J1266">
        <v>44</v>
      </c>
      <c r="K1266" t="s">
        <v>38</v>
      </c>
      <c r="L1266" s="1">
        <v>45059</v>
      </c>
      <c r="M1266" t="s">
        <v>43</v>
      </c>
      <c r="N1266" t="s">
        <v>32</v>
      </c>
      <c r="O1266" t="s">
        <v>33</v>
      </c>
      <c r="P1266" t="s">
        <v>56</v>
      </c>
      <c r="R1266" t="str">
        <f>IF(ventas_libreria[[#This Row],[valoracion_cliente]]="","Sin valoración",ventas_libreria[[#This Row],[valoracion_cliente]])</f>
        <v>Sin valoración</v>
      </c>
    </row>
    <row r="1267" spans="1:18" x14ac:dyDescent="0.25">
      <c r="A1267" t="s">
        <v>1543</v>
      </c>
      <c r="B1267" t="s">
        <v>36</v>
      </c>
      <c r="C1267" t="s">
        <v>37</v>
      </c>
      <c r="D1267" t="s">
        <v>28</v>
      </c>
      <c r="E1267" t="s">
        <v>29</v>
      </c>
      <c r="F1267">
        <f>ventas_libreria[[#This Row],[precio_eur]]/100</f>
        <v>19.84</v>
      </c>
      <c r="G1267">
        <v>1984</v>
      </c>
      <c r="H1267">
        <v>2</v>
      </c>
      <c r="I1267">
        <f>ventas_libreria[[#This Row],[precio]]*ventas_libreria[[#This Row],[cantidad]]</f>
        <v>39.68</v>
      </c>
      <c r="J1267">
        <v>20</v>
      </c>
      <c r="K1267" t="s">
        <v>30</v>
      </c>
      <c r="L1267" s="1">
        <v>45110</v>
      </c>
      <c r="M1267" t="s">
        <v>21</v>
      </c>
      <c r="N1267" t="s">
        <v>22</v>
      </c>
      <c r="O1267" t="s">
        <v>67</v>
      </c>
      <c r="P1267" t="s">
        <v>84</v>
      </c>
      <c r="Q1267">
        <v>1</v>
      </c>
      <c r="R1267">
        <f>IF(ventas_libreria[[#This Row],[valoracion_cliente]]="","Sin valoración",ventas_libreria[[#This Row],[valoracion_cliente]])</f>
        <v>1</v>
      </c>
    </row>
    <row r="1268" spans="1:18" x14ac:dyDescent="0.25">
      <c r="A1268" t="s">
        <v>1544</v>
      </c>
      <c r="B1268" t="s">
        <v>201</v>
      </c>
      <c r="C1268" t="s">
        <v>202</v>
      </c>
      <c r="D1268" t="s">
        <v>47</v>
      </c>
      <c r="E1268" t="s">
        <v>107</v>
      </c>
      <c r="F1268">
        <f>ventas_libreria[[#This Row],[precio_eur]]/100</f>
        <v>11.81</v>
      </c>
      <c r="G1268">
        <v>1181</v>
      </c>
      <c r="H1268">
        <v>1</v>
      </c>
      <c r="I1268">
        <f>ventas_libreria[[#This Row],[precio]]*ventas_libreria[[#This Row],[cantidad]]</f>
        <v>11.81</v>
      </c>
      <c r="J1268">
        <v>11</v>
      </c>
      <c r="K1268" t="s">
        <v>20</v>
      </c>
      <c r="L1268" s="1">
        <v>45140</v>
      </c>
      <c r="M1268" t="s">
        <v>43</v>
      </c>
      <c r="N1268" t="s">
        <v>32</v>
      </c>
      <c r="O1268" t="s">
        <v>33</v>
      </c>
      <c r="P1268" t="s">
        <v>84</v>
      </c>
      <c r="Q1268">
        <v>3</v>
      </c>
      <c r="R1268">
        <f>IF(ventas_libreria[[#This Row],[valoracion_cliente]]="","Sin valoración",ventas_libreria[[#This Row],[valoracion_cliente]])</f>
        <v>3</v>
      </c>
    </row>
    <row r="1269" spans="1:18" x14ac:dyDescent="0.25">
      <c r="A1269" t="s">
        <v>1545</v>
      </c>
      <c r="B1269" t="s">
        <v>296</v>
      </c>
      <c r="C1269" t="s">
        <v>297</v>
      </c>
      <c r="D1269" t="s">
        <v>298</v>
      </c>
      <c r="E1269" t="s">
        <v>154</v>
      </c>
      <c r="F1269">
        <f>ventas_libreria[[#This Row],[precio_eur]]/100</f>
        <v>18.79</v>
      </c>
      <c r="G1269">
        <v>1879</v>
      </c>
      <c r="H1269">
        <v>1</v>
      </c>
      <c r="I1269">
        <f>ventas_libreria[[#This Row],[precio]]*ventas_libreria[[#This Row],[cantidad]]</f>
        <v>18.79</v>
      </c>
      <c r="J1269">
        <v>49</v>
      </c>
      <c r="K1269" t="s">
        <v>30</v>
      </c>
      <c r="L1269" s="1">
        <v>45638</v>
      </c>
      <c r="M1269" t="s">
        <v>31</v>
      </c>
      <c r="N1269" t="s">
        <v>32</v>
      </c>
      <c r="O1269" t="s">
        <v>33</v>
      </c>
      <c r="P1269" t="s">
        <v>24</v>
      </c>
      <c r="Q1269">
        <v>4</v>
      </c>
      <c r="R1269">
        <f>IF(ventas_libreria[[#This Row],[valoracion_cliente]]="","Sin valoración",ventas_libreria[[#This Row],[valoracion_cliente]])</f>
        <v>4</v>
      </c>
    </row>
    <row r="1270" spans="1:18" x14ac:dyDescent="0.25">
      <c r="A1270" t="s">
        <v>1546</v>
      </c>
      <c r="B1270" t="s">
        <v>45</v>
      </c>
      <c r="C1270" t="s">
        <v>46</v>
      </c>
      <c r="D1270" t="s">
        <v>47</v>
      </c>
      <c r="E1270" t="s">
        <v>48</v>
      </c>
      <c r="F1270">
        <f>ventas_libreria[[#This Row],[precio_eur]]/100</f>
        <v>16.91</v>
      </c>
      <c r="G1270">
        <v>1691</v>
      </c>
      <c r="H1270">
        <v>2</v>
      </c>
      <c r="I1270">
        <f>ventas_libreria[[#This Row],[precio]]*ventas_libreria[[#This Row],[cantidad]]</f>
        <v>33.82</v>
      </c>
      <c r="J1270">
        <v>33</v>
      </c>
      <c r="K1270" t="s">
        <v>62</v>
      </c>
      <c r="L1270" s="1">
        <v>45398</v>
      </c>
      <c r="M1270" t="s">
        <v>43</v>
      </c>
      <c r="N1270" t="s">
        <v>32</v>
      </c>
      <c r="O1270" t="s">
        <v>33</v>
      </c>
      <c r="P1270" t="s">
        <v>34</v>
      </c>
      <c r="Q1270">
        <v>4</v>
      </c>
      <c r="R1270">
        <f>IF(ventas_libreria[[#This Row],[valoracion_cliente]]="","Sin valoración",ventas_libreria[[#This Row],[valoracion_cliente]])</f>
        <v>4</v>
      </c>
    </row>
    <row r="1271" spans="1:18" x14ac:dyDescent="0.25">
      <c r="A1271" t="s">
        <v>1547</v>
      </c>
      <c r="B1271" t="s">
        <v>338</v>
      </c>
      <c r="C1271" t="s">
        <v>339</v>
      </c>
      <c r="D1271" t="s">
        <v>167</v>
      </c>
      <c r="E1271" t="s">
        <v>61</v>
      </c>
      <c r="F1271">
        <f>ventas_libreria[[#This Row],[precio_eur]]/100</f>
        <v>18.32</v>
      </c>
      <c r="G1271">
        <v>1832</v>
      </c>
      <c r="H1271">
        <v>3</v>
      </c>
      <c r="I1271">
        <f>ventas_libreria[[#This Row],[precio]]*ventas_libreria[[#This Row],[cantidad]]</f>
        <v>54.96</v>
      </c>
      <c r="J1271">
        <v>61</v>
      </c>
      <c r="K1271" t="s">
        <v>38</v>
      </c>
      <c r="L1271" s="1">
        <v>45051</v>
      </c>
      <c r="M1271" t="s">
        <v>43</v>
      </c>
      <c r="N1271" t="s">
        <v>32</v>
      </c>
      <c r="O1271" t="s">
        <v>33</v>
      </c>
      <c r="P1271" t="s">
        <v>50</v>
      </c>
      <c r="Q1271">
        <v>5</v>
      </c>
      <c r="R1271">
        <f>IF(ventas_libreria[[#This Row],[valoracion_cliente]]="","Sin valoración",ventas_libreria[[#This Row],[valoracion_cliente]])</f>
        <v>5</v>
      </c>
    </row>
    <row r="1272" spans="1:18" x14ac:dyDescent="0.25">
      <c r="A1272" t="s">
        <v>1548</v>
      </c>
      <c r="B1272" t="s">
        <v>26</v>
      </c>
      <c r="C1272" t="s">
        <v>27</v>
      </c>
      <c r="D1272" t="s">
        <v>28</v>
      </c>
      <c r="E1272" t="s">
        <v>29</v>
      </c>
      <c r="F1272">
        <f>ventas_libreria[[#This Row],[precio_eur]]/100</f>
        <v>20.79</v>
      </c>
      <c r="G1272">
        <v>2079</v>
      </c>
      <c r="H1272">
        <v>1</v>
      </c>
      <c r="I1272">
        <f>ventas_libreria[[#This Row],[precio]]*ventas_libreria[[#This Row],[cantidad]]</f>
        <v>20.79</v>
      </c>
      <c r="J1272">
        <v>47</v>
      </c>
      <c r="K1272" t="s">
        <v>30</v>
      </c>
      <c r="L1272" s="1">
        <v>45173</v>
      </c>
      <c r="M1272" t="s">
        <v>31</v>
      </c>
      <c r="N1272" t="s">
        <v>32</v>
      </c>
      <c r="O1272" t="s">
        <v>33</v>
      </c>
      <c r="P1272" t="s">
        <v>34</v>
      </c>
      <c r="Q1272">
        <v>5</v>
      </c>
      <c r="R1272">
        <f>IF(ventas_libreria[[#This Row],[valoracion_cliente]]="","Sin valoración",ventas_libreria[[#This Row],[valoracion_cliente]])</f>
        <v>5</v>
      </c>
    </row>
    <row r="1273" spans="1:18" x14ac:dyDescent="0.25">
      <c r="A1273" t="s">
        <v>1549</v>
      </c>
      <c r="B1273" t="s">
        <v>437</v>
      </c>
      <c r="C1273" t="s">
        <v>438</v>
      </c>
      <c r="D1273" t="s">
        <v>178</v>
      </c>
      <c r="E1273" t="s">
        <v>55</v>
      </c>
      <c r="F1273">
        <f>ventas_libreria[[#This Row],[precio_eur]]/100</f>
        <v>16.11</v>
      </c>
      <c r="G1273">
        <v>1611</v>
      </c>
      <c r="H1273">
        <v>1</v>
      </c>
      <c r="I1273">
        <f>ventas_libreria[[#This Row],[precio]]*ventas_libreria[[#This Row],[cantidad]]</f>
        <v>16.11</v>
      </c>
      <c r="J1273">
        <v>54</v>
      </c>
      <c r="K1273" t="s">
        <v>20</v>
      </c>
      <c r="L1273" s="1">
        <v>45298</v>
      </c>
      <c r="M1273" t="s">
        <v>21</v>
      </c>
      <c r="N1273" t="s">
        <v>22</v>
      </c>
      <c r="O1273" t="s">
        <v>23</v>
      </c>
      <c r="P1273" t="s">
        <v>34</v>
      </c>
      <c r="R1273" t="str">
        <f>IF(ventas_libreria[[#This Row],[valoracion_cliente]]="","Sin valoración",ventas_libreria[[#This Row],[valoracion_cliente]])</f>
        <v>Sin valoración</v>
      </c>
    </row>
    <row r="1274" spans="1:18" x14ac:dyDescent="0.25">
      <c r="A1274" t="s">
        <v>1550</v>
      </c>
      <c r="B1274" t="s">
        <v>291</v>
      </c>
      <c r="C1274" t="s">
        <v>292</v>
      </c>
      <c r="D1274" t="s">
        <v>76</v>
      </c>
      <c r="E1274" t="s">
        <v>77</v>
      </c>
      <c r="F1274">
        <f>ventas_libreria[[#This Row],[precio_eur]]/100</f>
        <v>8.42</v>
      </c>
      <c r="G1274">
        <v>842</v>
      </c>
      <c r="H1274">
        <v>1</v>
      </c>
      <c r="I1274">
        <f>ventas_libreria[[#This Row],[precio]]*ventas_libreria[[#This Row],[cantidad]]</f>
        <v>8.42</v>
      </c>
      <c r="J1274">
        <v>5</v>
      </c>
      <c r="K1274" t="s">
        <v>20</v>
      </c>
      <c r="L1274" s="1">
        <v>45226</v>
      </c>
      <c r="M1274" t="s">
        <v>21</v>
      </c>
      <c r="N1274" t="s">
        <v>22</v>
      </c>
      <c r="O1274" t="s">
        <v>98</v>
      </c>
      <c r="P1274" t="s">
        <v>50</v>
      </c>
      <c r="Q1274">
        <v>5</v>
      </c>
      <c r="R1274">
        <f>IF(ventas_libreria[[#This Row],[valoracion_cliente]]="","Sin valoración",ventas_libreria[[#This Row],[valoracion_cliente]])</f>
        <v>5</v>
      </c>
    </row>
    <row r="1275" spans="1:18" x14ac:dyDescent="0.25">
      <c r="A1275" t="s">
        <v>1551</v>
      </c>
      <c r="B1275" t="s">
        <v>541</v>
      </c>
      <c r="C1275" t="s">
        <v>542</v>
      </c>
      <c r="D1275" t="s">
        <v>131</v>
      </c>
      <c r="E1275" t="s">
        <v>107</v>
      </c>
      <c r="F1275">
        <f>ventas_libreria[[#This Row],[precio_eur]]/100</f>
        <v>1.59</v>
      </c>
      <c r="G1275">
        <v>159</v>
      </c>
      <c r="H1275">
        <v>1</v>
      </c>
      <c r="I1275">
        <f>ventas_libreria[[#This Row],[precio]]*ventas_libreria[[#This Row],[cantidad]]</f>
        <v>1.59</v>
      </c>
      <c r="J1275">
        <v>13</v>
      </c>
      <c r="K1275" t="s">
        <v>38</v>
      </c>
      <c r="L1275" s="1">
        <v>45017</v>
      </c>
      <c r="M1275" t="s">
        <v>43</v>
      </c>
      <c r="N1275" t="s">
        <v>32</v>
      </c>
      <c r="O1275" t="s">
        <v>33</v>
      </c>
      <c r="P1275" t="s">
        <v>24</v>
      </c>
      <c r="Q1275">
        <v>4</v>
      </c>
      <c r="R1275">
        <f>IF(ventas_libreria[[#This Row],[valoracion_cliente]]="","Sin valoración",ventas_libreria[[#This Row],[valoracion_cliente]])</f>
        <v>4</v>
      </c>
    </row>
    <row r="1276" spans="1:18" x14ac:dyDescent="0.25">
      <c r="A1276" t="s">
        <v>1552</v>
      </c>
      <c r="B1276" t="s">
        <v>508</v>
      </c>
      <c r="C1276" t="s">
        <v>509</v>
      </c>
      <c r="D1276" t="s">
        <v>199</v>
      </c>
      <c r="E1276" t="s">
        <v>55</v>
      </c>
      <c r="F1276">
        <f>ventas_libreria[[#This Row],[precio_eur]]/100</f>
        <v>1.89</v>
      </c>
      <c r="G1276">
        <v>189</v>
      </c>
      <c r="H1276">
        <v>2</v>
      </c>
      <c r="I1276">
        <f>ventas_libreria[[#This Row],[precio]]*ventas_libreria[[#This Row],[cantidad]]</f>
        <v>3.78</v>
      </c>
      <c r="J1276">
        <v>27</v>
      </c>
      <c r="K1276" t="s">
        <v>30</v>
      </c>
      <c r="L1276" s="1">
        <v>45969</v>
      </c>
      <c r="M1276" t="s">
        <v>31</v>
      </c>
      <c r="N1276" t="s">
        <v>32</v>
      </c>
      <c r="O1276" t="s">
        <v>33</v>
      </c>
      <c r="P1276" t="s">
        <v>34</v>
      </c>
      <c r="Q1276">
        <v>4</v>
      </c>
      <c r="R1276">
        <f>IF(ventas_libreria[[#This Row],[valoracion_cliente]]="","Sin valoración",ventas_libreria[[#This Row],[valoracion_cliente]])</f>
        <v>4</v>
      </c>
    </row>
    <row r="1277" spans="1:18" x14ac:dyDescent="0.25">
      <c r="A1277" t="s">
        <v>1553</v>
      </c>
      <c r="B1277" t="s">
        <v>220</v>
      </c>
      <c r="C1277" t="s">
        <v>221</v>
      </c>
      <c r="D1277" t="s">
        <v>222</v>
      </c>
      <c r="E1277" t="s">
        <v>116</v>
      </c>
      <c r="F1277">
        <f>ventas_libreria[[#This Row],[precio_eur]]/100</f>
        <v>10.32</v>
      </c>
      <c r="G1277">
        <v>1032</v>
      </c>
      <c r="H1277">
        <v>1</v>
      </c>
      <c r="I1277">
        <f>ventas_libreria[[#This Row],[precio]]*ventas_libreria[[#This Row],[cantidad]]</f>
        <v>10.32</v>
      </c>
      <c r="J1277">
        <v>51</v>
      </c>
      <c r="K1277" t="s">
        <v>38</v>
      </c>
      <c r="L1277" s="1">
        <v>45747</v>
      </c>
      <c r="M1277" t="s">
        <v>31</v>
      </c>
      <c r="N1277" t="s">
        <v>22</v>
      </c>
      <c r="O1277" t="s">
        <v>23</v>
      </c>
      <c r="P1277" t="s">
        <v>56</v>
      </c>
      <c r="R1277" t="str">
        <f>IF(ventas_libreria[[#This Row],[valoracion_cliente]]="","Sin valoración",ventas_libreria[[#This Row],[valoracion_cliente]])</f>
        <v>Sin valoración</v>
      </c>
    </row>
    <row r="1278" spans="1:18" x14ac:dyDescent="0.25">
      <c r="A1278" t="s">
        <v>1554</v>
      </c>
      <c r="B1278" t="s">
        <v>64</v>
      </c>
      <c r="C1278" t="s">
        <v>65</v>
      </c>
      <c r="D1278" t="s">
        <v>66</v>
      </c>
      <c r="E1278" t="s">
        <v>29</v>
      </c>
      <c r="F1278">
        <f>ventas_libreria[[#This Row],[precio_eur]]/100</f>
        <v>1.32</v>
      </c>
      <c r="G1278">
        <v>132</v>
      </c>
      <c r="H1278">
        <v>1</v>
      </c>
      <c r="I1278">
        <f>ventas_libreria[[#This Row],[precio]]*ventas_libreria[[#This Row],[cantidad]]</f>
        <v>1.32</v>
      </c>
      <c r="J1278">
        <v>28</v>
      </c>
      <c r="K1278" t="s">
        <v>38</v>
      </c>
      <c r="L1278" s="1">
        <v>45001</v>
      </c>
      <c r="M1278" t="s">
        <v>31</v>
      </c>
      <c r="N1278" t="s">
        <v>32</v>
      </c>
      <c r="O1278" t="s">
        <v>33</v>
      </c>
      <c r="P1278" t="s">
        <v>34</v>
      </c>
      <c r="Q1278">
        <v>5</v>
      </c>
      <c r="R1278">
        <f>IF(ventas_libreria[[#This Row],[valoracion_cliente]]="","Sin valoración",ventas_libreria[[#This Row],[valoracion_cliente]])</f>
        <v>5</v>
      </c>
    </row>
    <row r="1279" spans="1:18" x14ac:dyDescent="0.25">
      <c r="A1279" t="s">
        <v>1555</v>
      </c>
      <c r="B1279" t="s">
        <v>141</v>
      </c>
      <c r="C1279" t="s">
        <v>142</v>
      </c>
      <c r="D1279" t="s">
        <v>143</v>
      </c>
      <c r="E1279" t="s">
        <v>116</v>
      </c>
      <c r="F1279">
        <f>ventas_libreria[[#This Row],[precio_eur]]/100</f>
        <v>1.49</v>
      </c>
      <c r="G1279">
        <v>149</v>
      </c>
      <c r="H1279">
        <v>1</v>
      </c>
      <c r="I1279">
        <f>ventas_libreria[[#This Row],[precio]]*ventas_libreria[[#This Row],[cantidad]]</f>
        <v>1.49</v>
      </c>
      <c r="J1279">
        <v>41</v>
      </c>
      <c r="K1279" t="s">
        <v>38</v>
      </c>
      <c r="L1279" s="1">
        <v>45299</v>
      </c>
      <c r="M1279" t="s">
        <v>43</v>
      </c>
      <c r="N1279" t="s">
        <v>32</v>
      </c>
      <c r="O1279" t="s">
        <v>33</v>
      </c>
      <c r="P1279" t="s">
        <v>50</v>
      </c>
      <c r="Q1279">
        <v>4</v>
      </c>
      <c r="R1279">
        <f>IF(ventas_libreria[[#This Row],[valoracion_cliente]]="","Sin valoración",ventas_libreria[[#This Row],[valoracion_cliente]])</f>
        <v>4</v>
      </c>
    </row>
    <row r="1280" spans="1:18" x14ac:dyDescent="0.25">
      <c r="A1280" t="s">
        <v>1556</v>
      </c>
      <c r="B1280" t="s">
        <v>286</v>
      </c>
      <c r="C1280" t="s">
        <v>287</v>
      </c>
      <c r="D1280" t="s">
        <v>288</v>
      </c>
      <c r="E1280" t="s">
        <v>289</v>
      </c>
      <c r="F1280">
        <f>ventas_libreria[[#This Row],[precio_eur]]/100</f>
        <v>2.19</v>
      </c>
      <c r="G1280">
        <v>219</v>
      </c>
      <c r="H1280">
        <v>1</v>
      </c>
      <c r="I1280">
        <f>ventas_libreria[[#This Row],[precio]]*ventas_libreria[[#This Row],[cantidad]]</f>
        <v>2.19</v>
      </c>
      <c r="J1280">
        <v>66</v>
      </c>
      <c r="K1280" t="s">
        <v>30</v>
      </c>
      <c r="L1280" s="1">
        <v>45393</v>
      </c>
      <c r="M1280" t="s">
        <v>21</v>
      </c>
      <c r="N1280" t="s">
        <v>32</v>
      </c>
      <c r="O1280" t="s">
        <v>33</v>
      </c>
      <c r="P1280" t="s">
        <v>24</v>
      </c>
      <c r="Q1280">
        <v>4</v>
      </c>
      <c r="R1280">
        <f>IF(ventas_libreria[[#This Row],[valoracion_cliente]]="","Sin valoración",ventas_libreria[[#This Row],[valoracion_cliente]])</f>
        <v>4</v>
      </c>
    </row>
    <row r="1281" spans="1:18" x14ac:dyDescent="0.25">
      <c r="A1281" t="s">
        <v>1557</v>
      </c>
      <c r="B1281" t="s">
        <v>348</v>
      </c>
      <c r="C1281" t="s">
        <v>349</v>
      </c>
      <c r="D1281" t="s">
        <v>350</v>
      </c>
      <c r="E1281" t="s">
        <v>116</v>
      </c>
      <c r="F1281">
        <f>ventas_libreria[[#This Row],[precio_eur]]/100</f>
        <v>16.91</v>
      </c>
      <c r="G1281">
        <v>1691</v>
      </c>
      <c r="H1281">
        <v>1</v>
      </c>
      <c r="I1281">
        <f>ventas_libreria[[#This Row],[precio]]*ventas_libreria[[#This Row],[cantidad]]</f>
        <v>16.91</v>
      </c>
      <c r="J1281">
        <v>33</v>
      </c>
      <c r="K1281" t="s">
        <v>62</v>
      </c>
      <c r="L1281" s="1">
        <v>45231</v>
      </c>
      <c r="M1281" t="s">
        <v>21</v>
      </c>
      <c r="N1281" t="s">
        <v>22</v>
      </c>
      <c r="O1281" t="s">
        <v>49</v>
      </c>
      <c r="P1281" t="s">
        <v>34</v>
      </c>
      <c r="Q1281">
        <v>5</v>
      </c>
      <c r="R1281">
        <f>IF(ventas_libreria[[#This Row],[valoracion_cliente]]="","Sin valoración",ventas_libreria[[#This Row],[valoracion_cliente]])</f>
        <v>5</v>
      </c>
    </row>
    <row r="1282" spans="1:18" x14ac:dyDescent="0.25">
      <c r="A1282" t="s">
        <v>1558</v>
      </c>
      <c r="B1282" t="s">
        <v>69</v>
      </c>
      <c r="C1282" t="s">
        <v>70</v>
      </c>
      <c r="D1282" t="s">
        <v>71</v>
      </c>
      <c r="E1282" t="s">
        <v>72</v>
      </c>
      <c r="F1282">
        <f>ventas_libreria[[#This Row],[precio_eur]]/100</f>
        <v>1.69</v>
      </c>
      <c r="G1282">
        <v>169</v>
      </c>
      <c r="H1282">
        <v>1</v>
      </c>
      <c r="I1282">
        <f>ventas_libreria[[#This Row],[precio]]*ventas_libreria[[#This Row],[cantidad]]</f>
        <v>1.69</v>
      </c>
      <c r="J1282">
        <v>21</v>
      </c>
      <c r="K1282" t="s">
        <v>62</v>
      </c>
      <c r="L1282" s="1">
        <v>45204</v>
      </c>
      <c r="M1282" t="s">
        <v>43</v>
      </c>
      <c r="N1282" t="s">
        <v>32</v>
      </c>
      <c r="O1282" t="s">
        <v>33</v>
      </c>
      <c r="P1282" t="s">
        <v>34</v>
      </c>
      <c r="Q1282">
        <v>4</v>
      </c>
      <c r="R1282">
        <f>IF(ventas_libreria[[#This Row],[valoracion_cliente]]="","Sin valoración",ventas_libreria[[#This Row],[valoracion_cliente]])</f>
        <v>4</v>
      </c>
    </row>
    <row r="1283" spans="1:18" x14ac:dyDescent="0.25">
      <c r="A1283" t="s">
        <v>1559</v>
      </c>
      <c r="B1283" t="s">
        <v>247</v>
      </c>
      <c r="C1283" t="s">
        <v>248</v>
      </c>
      <c r="D1283" t="s">
        <v>249</v>
      </c>
      <c r="E1283" t="s">
        <v>172</v>
      </c>
      <c r="F1283">
        <f>ventas_libreria[[#This Row],[precio_eur]]/100</f>
        <v>15.29</v>
      </c>
      <c r="G1283">
        <v>1529</v>
      </c>
      <c r="H1283">
        <v>1</v>
      </c>
      <c r="I1283">
        <f>ventas_libreria[[#This Row],[precio]]*ventas_libreria[[#This Row],[cantidad]]</f>
        <v>15.29</v>
      </c>
      <c r="J1283">
        <v>21</v>
      </c>
      <c r="K1283" t="s">
        <v>30</v>
      </c>
      <c r="L1283" s="1">
        <v>45293</v>
      </c>
      <c r="M1283" t="s">
        <v>21</v>
      </c>
      <c r="N1283" t="s">
        <v>32</v>
      </c>
      <c r="O1283" t="s">
        <v>33</v>
      </c>
      <c r="P1283" t="s">
        <v>50</v>
      </c>
      <c r="Q1283">
        <v>3</v>
      </c>
      <c r="R1283">
        <f>IF(ventas_libreria[[#This Row],[valoracion_cliente]]="","Sin valoración",ventas_libreria[[#This Row],[valoracion_cliente]])</f>
        <v>3</v>
      </c>
    </row>
    <row r="1284" spans="1:18" x14ac:dyDescent="0.25">
      <c r="A1284" t="s">
        <v>1560</v>
      </c>
      <c r="B1284" t="s">
        <v>137</v>
      </c>
      <c r="C1284" t="s">
        <v>138</v>
      </c>
      <c r="D1284" t="s">
        <v>139</v>
      </c>
      <c r="E1284" t="s">
        <v>116</v>
      </c>
      <c r="F1284">
        <f>ventas_libreria[[#This Row],[precio_eur]]/100</f>
        <v>1.29</v>
      </c>
      <c r="G1284">
        <v>129</v>
      </c>
      <c r="H1284">
        <v>3</v>
      </c>
      <c r="I1284">
        <f>ventas_libreria[[#This Row],[precio]]*ventas_libreria[[#This Row],[cantidad]]</f>
        <v>3.87</v>
      </c>
      <c r="J1284">
        <v>23</v>
      </c>
      <c r="K1284" t="s">
        <v>20</v>
      </c>
      <c r="L1284" s="1">
        <v>45800</v>
      </c>
      <c r="M1284" t="s">
        <v>43</v>
      </c>
      <c r="N1284" t="s">
        <v>32</v>
      </c>
      <c r="O1284" t="s">
        <v>33</v>
      </c>
      <c r="P1284" t="s">
        <v>24</v>
      </c>
      <c r="Q1284">
        <v>5</v>
      </c>
      <c r="R1284">
        <f>IF(ventas_libreria[[#This Row],[valoracion_cliente]]="","Sin valoración",ventas_libreria[[#This Row],[valoracion_cliente]])</f>
        <v>5</v>
      </c>
    </row>
    <row r="1285" spans="1:18" x14ac:dyDescent="0.25">
      <c r="A1285" t="s">
        <v>1561</v>
      </c>
      <c r="B1285" t="s">
        <v>365</v>
      </c>
      <c r="C1285" t="s">
        <v>366</v>
      </c>
      <c r="D1285" t="s">
        <v>367</v>
      </c>
      <c r="E1285" t="s">
        <v>19</v>
      </c>
      <c r="F1285">
        <f>ventas_libreria[[#This Row],[precio_eur]]/100</f>
        <v>20.79</v>
      </c>
      <c r="G1285">
        <v>2079</v>
      </c>
      <c r="H1285">
        <v>1</v>
      </c>
      <c r="I1285">
        <f>ventas_libreria[[#This Row],[precio]]*ventas_libreria[[#This Row],[cantidad]]</f>
        <v>20.79</v>
      </c>
      <c r="J1285">
        <v>29</v>
      </c>
      <c r="K1285" t="s">
        <v>20</v>
      </c>
      <c r="L1285" s="1">
        <v>45132</v>
      </c>
      <c r="M1285" t="s">
        <v>43</v>
      </c>
      <c r="N1285" t="s">
        <v>32</v>
      </c>
      <c r="O1285" t="s">
        <v>33</v>
      </c>
      <c r="P1285" t="s">
        <v>50</v>
      </c>
      <c r="Q1285">
        <v>5</v>
      </c>
      <c r="R1285">
        <f>IF(ventas_libreria[[#This Row],[valoracion_cliente]]="","Sin valoración",ventas_libreria[[#This Row],[valoracion_cliente]])</f>
        <v>5</v>
      </c>
    </row>
    <row r="1286" spans="1:18" x14ac:dyDescent="0.25">
      <c r="A1286" t="s">
        <v>1562</v>
      </c>
      <c r="B1286" t="s">
        <v>362</v>
      </c>
      <c r="C1286" t="s">
        <v>363</v>
      </c>
      <c r="D1286" t="s">
        <v>249</v>
      </c>
      <c r="E1286" t="s">
        <v>172</v>
      </c>
      <c r="F1286">
        <f>ventas_libreria[[#This Row],[precio_eur]]/100</f>
        <v>1.52</v>
      </c>
      <c r="G1286">
        <v>152</v>
      </c>
      <c r="H1286">
        <v>1</v>
      </c>
      <c r="I1286">
        <f>ventas_libreria[[#This Row],[precio]]*ventas_libreria[[#This Row],[cantidad]]</f>
        <v>1.52</v>
      </c>
      <c r="J1286">
        <v>24</v>
      </c>
      <c r="K1286" t="s">
        <v>30</v>
      </c>
      <c r="L1286" s="1">
        <v>45819</v>
      </c>
      <c r="M1286" t="s">
        <v>31</v>
      </c>
      <c r="N1286" t="s">
        <v>22</v>
      </c>
      <c r="O1286" t="s">
        <v>67</v>
      </c>
      <c r="P1286" t="s">
        <v>34</v>
      </c>
      <c r="Q1286">
        <v>5</v>
      </c>
      <c r="R1286">
        <f>IF(ventas_libreria[[#This Row],[valoracion_cliente]]="","Sin valoración",ventas_libreria[[#This Row],[valoracion_cliente]])</f>
        <v>5</v>
      </c>
    </row>
    <row r="1287" spans="1:18" x14ac:dyDescent="0.25">
      <c r="A1287" t="s">
        <v>1563</v>
      </c>
      <c r="B1287" t="s">
        <v>296</v>
      </c>
      <c r="C1287" t="s">
        <v>297</v>
      </c>
      <c r="D1287" t="s">
        <v>298</v>
      </c>
      <c r="E1287" t="s">
        <v>154</v>
      </c>
      <c r="F1287">
        <f>ventas_libreria[[#This Row],[precio_eur]]/100</f>
        <v>1.79</v>
      </c>
      <c r="G1287">
        <v>179</v>
      </c>
      <c r="H1287">
        <v>1</v>
      </c>
      <c r="I1287">
        <f>ventas_libreria[[#This Row],[precio]]*ventas_libreria[[#This Row],[cantidad]]</f>
        <v>1.79</v>
      </c>
      <c r="J1287">
        <v>37</v>
      </c>
      <c r="K1287" t="s">
        <v>62</v>
      </c>
      <c r="L1287" s="1">
        <v>45119</v>
      </c>
      <c r="M1287" t="s">
        <v>31</v>
      </c>
      <c r="N1287" t="s">
        <v>32</v>
      </c>
      <c r="O1287" t="s">
        <v>33</v>
      </c>
      <c r="P1287" t="s">
        <v>84</v>
      </c>
      <c r="Q1287">
        <v>5</v>
      </c>
      <c r="R1287">
        <f>IF(ventas_libreria[[#This Row],[valoracion_cliente]]="","Sin valoración",ventas_libreria[[#This Row],[valoracion_cliente]])</f>
        <v>5</v>
      </c>
    </row>
    <row r="1288" spans="1:18" x14ac:dyDescent="0.25">
      <c r="A1288" t="s">
        <v>1564</v>
      </c>
      <c r="B1288" t="s">
        <v>125</v>
      </c>
      <c r="C1288" t="s">
        <v>126</v>
      </c>
      <c r="D1288" t="s">
        <v>127</v>
      </c>
      <c r="E1288" t="s">
        <v>29</v>
      </c>
      <c r="F1288">
        <f>ventas_libreria[[#This Row],[precio_eur]]/100</f>
        <v>18.79</v>
      </c>
      <c r="G1288">
        <v>1879</v>
      </c>
      <c r="H1288">
        <v>1</v>
      </c>
      <c r="I1288">
        <f>ventas_libreria[[#This Row],[precio]]*ventas_libreria[[#This Row],[cantidad]]</f>
        <v>18.79</v>
      </c>
      <c r="J1288">
        <v>72</v>
      </c>
      <c r="K1288" t="s">
        <v>38</v>
      </c>
      <c r="L1288" s="1">
        <v>45255</v>
      </c>
      <c r="M1288" t="s">
        <v>43</v>
      </c>
      <c r="N1288" t="s">
        <v>32</v>
      </c>
      <c r="O1288" t="s">
        <v>33</v>
      </c>
      <c r="P1288" t="s">
        <v>34</v>
      </c>
      <c r="Q1288">
        <v>5</v>
      </c>
      <c r="R1288">
        <f>IF(ventas_libreria[[#This Row],[valoracion_cliente]]="","Sin valoración",ventas_libreria[[#This Row],[valoracion_cliente]])</f>
        <v>5</v>
      </c>
    </row>
    <row r="1289" spans="1:18" x14ac:dyDescent="0.25">
      <c r="A1289" t="s">
        <v>1565</v>
      </c>
      <c r="B1289" t="s">
        <v>291</v>
      </c>
      <c r="C1289" t="s">
        <v>292</v>
      </c>
      <c r="D1289" t="s">
        <v>76</v>
      </c>
      <c r="E1289" t="s">
        <v>77</v>
      </c>
      <c r="F1289">
        <f>ventas_libreria[[#This Row],[precio_eur]]/100</f>
        <v>10.89</v>
      </c>
      <c r="G1289">
        <v>1089</v>
      </c>
      <c r="H1289">
        <v>2</v>
      </c>
      <c r="I1289">
        <f>ventas_libreria[[#This Row],[precio]]*ventas_libreria[[#This Row],[cantidad]]</f>
        <v>21.78</v>
      </c>
      <c r="J1289">
        <v>6</v>
      </c>
      <c r="K1289" t="s">
        <v>38</v>
      </c>
      <c r="L1289" s="1">
        <v>45428</v>
      </c>
      <c r="M1289" t="s">
        <v>43</v>
      </c>
      <c r="N1289" t="s">
        <v>32</v>
      </c>
      <c r="O1289" t="s">
        <v>33</v>
      </c>
      <c r="P1289" t="s">
        <v>84</v>
      </c>
      <c r="Q1289">
        <v>4</v>
      </c>
      <c r="R1289">
        <f>IF(ventas_libreria[[#This Row],[valoracion_cliente]]="","Sin valoración",ventas_libreria[[#This Row],[valoracion_cliente]])</f>
        <v>4</v>
      </c>
    </row>
    <row r="1290" spans="1:18" x14ac:dyDescent="0.25">
      <c r="A1290" t="s">
        <v>1566</v>
      </c>
      <c r="B1290" t="s">
        <v>146</v>
      </c>
      <c r="C1290" t="s">
        <v>147</v>
      </c>
      <c r="D1290" t="s">
        <v>148</v>
      </c>
      <c r="E1290" t="s">
        <v>149</v>
      </c>
      <c r="F1290">
        <f>ventas_libreria[[#This Row],[precio_eur]]/100</f>
        <v>12.72</v>
      </c>
      <c r="G1290">
        <v>1272</v>
      </c>
      <c r="H1290">
        <v>1</v>
      </c>
      <c r="I1290">
        <f>ventas_libreria[[#This Row],[precio]]*ventas_libreria[[#This Row],[cantidad]]</f>
        <v>12.72</v>
      </c>
      <c r="J1290">
        <v>64</v>
      </c>
      <c r="K1290" t="s">
        <v>20</v>
      </c>
      <c r="L1290" s="1">
        <v>45323</v>
      </c>
      <c r="M1290" t="s">
        <v>21</v>
      </c>
      <c r="N1290" t="s">
        <v>32</v>
      </c>
      <c r="O1290" t="s">
        <v>33</v>
      </c>
      <c r="P1290" t="s">
        <v>24</v>
      </c>
      <c r="Q1290">
        <v>3</v>
      </c>
      <c r="R1290">
        <f>IF(ventas_libreria[[#This Row],[valoracion_cliente]]="","Sin valoración",ventas_libreria[[#This Row],[valoracion_cliente]])</f>
        <v>3</v>
      </c>
    </row>
    <row r="1291" spans="1:18" x14ac:dyDescent="0.25">
      <c r="A1291" t="s">
        <v>1567</v>
      </c>
      <c r="B1291" t="s">
        <v>260</v>
      </c>
      <c r="C1291" t="s">
        <v>261</v>
      </c>
      <c r="D1291" t="s">
        <v>262</v>
      </c>
      <c r="E1291" t="s">
        <v>263</v>
      </c>
      <c r="F1291">
        <f>ventas_libreria[[#This Row],[precio_eur]]/100</f>
        <v>2.19</v>
      </c>
      <c r="G1291">
        <v>219</v>
      </c>
      <c r="H1291">
        <v>2</v>
      </c>
      <c r="I1291">
        <f>ventas_libreria[[#This Row],[precio]]*ventas_libreria[[#This Row],[cantidad]]</f>
        <v>4.38</v>
      </c>
      <c r="J1291">
        <v>33</v>
      </c>
      <c r="K1291" t="s">
        <v>20</v>
      </c>
      <c r="L1291" s="1">
        <v>45742</v>
      </c>
      <c r="M1291" t="s">
        <v>43</v>
      </c>
      <c r="N1291" t="s">
        <v>32</v>
      </c>
      <c r="O1291" t="s">
        <v>33</v>
      </c>
      <c r="P1291" t="s">
        <v>56</v>
      </c>
      <c r="Q1291">
        <v>1</v>
      </c>
      <c r="R1291">
        <f>IF(ventas_libreria[[#This Row],[valoracion_cliente]]="","Sin valoración",ventas_libreria[[#This Row],[valoracion_cliente]])</f>
        <v>1</v>
      </c>
    </row>
    <row r="1292" spans="1:18" x14ac:dyDescent="0.25">
      <c r="A1292" t="s">
        <v>1568</v>
      </c>
      <c r="B1292" t="s">
        <v>276</v>
      </c>
      <c r="C1292" t="s">
        <v>277</v>
      </c>
      <c r="D1292" t="s">
        <v>278</v>
      </c>
      <c r="E1292" t="s">
        <v>189</v>
      </c>
      <c r="F1292">
        <f>ventas_libreria[[#This Row],[precio_eur]]/100</f>
        <v>15.21</v>
      </c>
      <c r="G1292">
        <v>1521</v>
      </c>
      <c r="H1292">
        <v>1</v>
      </c>
      <c r="I1292">
        <f>ventas_libreria[[#This Row],[precio]]*ventas_libreria[[#This Row],[cantidad]]</f>
        <v>15.21</v>
      </c>
      <c r="J1292">
        <v>37</v>
      </c>
      <c r="K1292" t="s">
        <v>20</v>
      </c>
      <c r="L1292" s="1">
        <v>45596</v>
      </c>
      <c r="M1292" t="s">
        <v>43</v>
      </c>
      <c r="N1292" t="s">
        <v>32</v>
      </c>
      <c r="O1292" t="s">
        <v>33</v>
      </c>
      <c r="P1292" t="s">
        <v>34</v>
      </c>
      <c r="Q1292">
        <v>4</v>
      </c>
      <c r="R1292">
        <f>IF(ventas_libreria[[#This Row],[valoracion_cliente]]="","Sin valoración",ventas_libreria[[#This Row],[valoracion_cliente]])</f>
        <v>4</v>
      </c>
    </row>
    <row r="1293" spans="1:18" x14ac:dyDescent="0.25">
      <c r="A1293" t="s">
        <v>1569</v>
      </c>
      <c r="B1293" t="s">
        <v>286</v>
      </c>
      <c r="C1293" t="s">
        <v>287</v>
      </c>
      <c r="D1293" t="s">
        <v>288</v>
      </c>
      <c r="E1293" t="s">
        <v>289</v>
      </c>
      <c r="F1293">
        <f>ventas_libreria[[#This Row],[precio_eur]]/100</f>
        <v>2.2999999999999998</v>
      </c>
      <c r="G1293">
        <v>230</v>
      </c>
      <c r="H1293">
        <v>1</v>
      </c>
      <c r="I1293">
        <f>ventas_libreria[[#This Row],[precio]]*ventas_libreria[[#This Row],[cantidad]]</f>
        <v>2.2999999999999998</v>
      </c>
      <c r="J1293">
        <v>61</v>
      </c>
      <c r="K1293" t="s">
        <v>30</v>
      </c>
      <c r="L1293" s="1">
        <v>45285</v>
      </c>
      <c r="M1293" t="s">
        <v>21</v>
      </c>
      <c r="N1293" t="s">
        <v>22</v>
      </c>
      <c r="O1293" t="s">
        <v>98</v>
      </c>
      <c r="P1293" t="s">
        <v>56</v>
      </c>
      <c r="Q1293">
        <v>3</v>
      </c>
      <c r="R1293">
        <f>IF(ventas_libreria[[#This Row],[valoracion_cliente]]="","Sin valoración",ventas_libreria[[#This Row],[valoracion_cliente]])</f>
        <v>3</v>
      </c>
    </row>
    <row r="1294" spans="1:18" x14ac:dyDescent="0.25">
      <c r="A1294" t="s">
        <v>1570</v>
      </c>
      <c r="B1294" t="s">
        <v>91</v>
      </c>
      <c r="C1294" t="s">
        <v>92</v>
      </c>
      <c r="D1294" t="s">
        <v>93</v>
      </c>
      <c r="E1294" t="s">
        <v>72</v>
      </c>
      <c r="F1294">
        <f>ventas_libreria[[#This Row],[precio_eur]]/100</f>
        <v>11.81</v>
      </c>
      <c r="G1294">
        <v>1181</v>
      </c>
      <c r="H1294">
        <v>1</v>
      </c>
      <c r="I1294">
        <f>ventas_libreria[[#This Row],[precio]]*ventas_libreria[[#This Row],[cantidad]]</f>
        <v>11.81</v>
      </c>
      <c r="J1294">
        <v>36</v>
      </c>
      <c r="K1294" t="s">
        <v>38</v>
      </c>
      <c r="L1294" s="1">
        <v>44992</v>
      </c>
      <c r="M1294" t="s">
        <v>43</v>
      </c>
      <c r="N1294" t="s">
        <v>32</v>
      </c>
      <c r="O1294" t="s">
        <v>33</v>
      </c>
      <c r="P1294" t="s">
        <v>34</v>
      </c>
      <c r="Q1294">
        <v>5</v>
      </c>
      <c r="R1294">
        <f>IF(ventas_libreria[[#This Row],[valoracion_cliente]]="","Sin valoración",ventas_libreria[[#This Row],[valoracion_cliente]])</f>
        <v>5</v>
      </c>
    </row>
    <row r="1295" spans="1:18" x14ac:dyDescent="0.25">
      <c r="A1295" t="s">
        <v>1571</v>
      </c>
      <c r="B1295" t="s">
        <v>211</v>
      </c>
      <c r="C1295" t="s">
        <v>212</v>
      </c>
      <c r="D1295" t="s">
        <v>131</v>
      </c>
      <c r="E1295" t="s">
        <v>107</v>
      </c>
      <c r="F1295">
        <f>ventas_libreria[[#This Row],[precio_eur]]/100</f>
        <v>13.52</v>
      </c>
      <c r="G1295">
        <v>1352</v>
      </c>
      <c r="H1295">
        <v>4</v>
      </c>
      <c r="I1295">
        <f>ventas_libreria[[#This Row],[precio]]*ventas_libreria[[#This Row],[cantidad]]</f>
        <v>54.08</v>
      </c>
      <c r="J1295">
        <v>19</v>
      </c>
      <c r="K1295" t="s">
        <v>38</v>
      </c>
      <c r="L1295" s="1">
        <v>44986</v>
      </c>
      <c r="M1295" t="s">
        <v>21</v>
      </c>
      <c r="N1295" t="s">
        <v>22</v>
      </c>
      <c r="O1295" t="s">
        <v>49</v>
      </c>
      <c r="P1295" t="s">
        <v>24</v>
      </c>
      <c r="Q1295">
        <v>5</v>
      </c>
      <c r="R1295">
        <f>IF(ventas_libreria[[#This Row],[valoracion_cliente]]="","Sin valoración",ventas_libreria[[#This Row],[valoracion_cliente]])</f>
        <v>5</v>
      </c>
    </row>
    <row r="1296" spans="1:18" x14ac:dyDescent="0.25">
      <c r="A1296" t="s">
        <v>1572</v>
      </c>
      <c r="B1296" t="s">
        <v>362</v>
      </c>
      <c r="C1296" t="s">
        <v>363</v>
      </c>
      <c r="D1296" t="s">
        <v>249</v>
      </c>
      <c r="E1296" t="s">
        <v>172</v>
      </c>
      <c r="F1296">
        <f>ventas_libreria[[#This Row],[precio_eur]]/100</f>
        <v>1.52</v>
      </c>
      <c r="G1296">
        <v>152</v>
      </c>
      <c r="H1296">
        <v>1</v>
      </c>
      <c r="I1296">
        <f>ventas_libreria[[#This Row],[precio]]*ventas_libreria[[#This Row],[cantidad]]</f>
        <v>1.52</v>
      </c>
      <c r="J1296">
        <v>33</v>
      </c>
      <c r="K1296" t="s">
        <v>20</v>
      </c>
      <c r="L1296" s="1">
        <v>45248</v>
      </c>
      <c r="M1296" t="s">
        <v>21</v>
      </c>
      <c r="N1296" t="s">
        <v>22</v>
      </c>
      <c r="O1296" t="s">
        <v>49</v>
      </c>
      <c r="P1296" t="s">
        <v>56</v>
      </c>
      <c r="Q1296">
        <v>5</v>
      </c>
      <c r="R1296">
        <f>IF(ventas_libreria[[#This Row],[valoracion_cliente]]="","Sin valoración",ventas_libreria[[#This Row],[valoracion_cliente]])</f>
        <v>5</v>
      </c>
    </row>
    <row r="1297" spans="1:18" x14ac:dyDescent="0.25">
      <c r="A1297" t="s">
        <v>1573</v>
      </c>
      <c r="B1297" t="s">
        <v>134</v>
      </c>
      <c r="C1297" t="s">
        <v>135</v>
      </c>
      <c r="D1297" t="s">
        <v>106</v>
      </c>
      <c r="E1297" t="s">
        <v>107</v>
      </c>
      <c r="F1297">
        <f>ventas_libreria[[#This Row],[precio_eur]]/100</f>
        <v>1.49</v>
      </c>
      <c r="G1297">
        <v>149</v>
      </c>
      <c r="H1297">
        <v>2</v>
      </c>
      <c r="I1297">
        <f>ventas_libreria[[#This Row],[precio]]*ventas_libreria[[#This Row],[cantidad]]</f>
        <v>2.98</v>
      </c>
      <c r="J1297">
        <v>20</v>
      </c>
      <c r="K1297" t="s">
        <v>20</v>
      </c>
      <c r="L1297" s="1">
        <v>45030</v>
      </c>
      <c r="M1297" t="s">
        <v>21</v>
      </c>
      <c r="N1297" t="s">
        <v>22</v>
      </c>
      <c r="O1297" t="s">
        <v>49</v>
      </c>
      <c r="P1297" t="s">
        <v>56</v>
      </c>
      <c r="Q1297">
        <v>3</v>
      </c>
      <c r="R1297">
        <f>IF(ventas_libreria[[#This Row],[valoracion_cliente]]="","Sin valoración",ventas_libreria[[#This Row],[valoracion_cliente]])</f>
        <v>3</v>
      </c>
    </row>
    <row r="1298" spans="1:18" x14ac:dyDescent="0.25">
      <c r="A1298" t="s">
        <v>1574</v>
      </c>
      <c r="B1298" t="s">
        <v>80</v>
      </c>
      <c r="C1298" t="s">
        <v>81</v>
      </c>
      <c r="D1298" t="s">
        <v>82</v>
      </c>
      <c r="E1298" t="s">
        <v>83</v>
      </c>
      <c r="F1298">
        <f>ventas_libreria[[#This Row],[precio_eur]]/100</f>
        <v>8.42</v>
      </c>
      <c r="G1298">
        <v>842</v>
      </c>
      <c r="H1298">
        <v>1</v>
      </c>
      <c r="I1298">
        <f>ventas_libreria[[#This Row],[precio]]*ventas_libreria[[#This Row],[cantidad]]</f>
        <v>8.42</v>
      </c>
      <c r="J1298">
        <v>45</v>
      </c>
      <c r="K1298" t="s">
        <v>30</v>
      </c>
      <c r="L1298" s="1">
        <v>45125</v>
      </c>
      <c r="M1298" t="s">
        <v>21</v>
      </c>
      <c r="N1298" t="s">
        <v>32</v>
      </c>
      <c r="O1298" t="s">
        <v>33</v>
      </c>
      <c r="P1298" t="s">
        <v>34</v>
      </c>
      <c r="Q1298">
        <v>5</v>
      </c>
      <c r="R1298">
        <f>IF(ventas_libreria[[#This Row],[valoracion_cliente]]="","Sin valoración",ventas_libreria[[#This Row],[valoracion_cliente]])</f>
        <v>5</v>
      </c>
    </row>
    <row r="1299" spans="1:18" x14ac:dyDescent="0.25">
      <c r="A1299" t="s">
        <v>1575</v>
      </c>
      <c r="B1299" t="s">
        <v>109</v>
      </c>
      <c r="C1299" t="s">
        <v>110</v>
      </c>
      <c r="D1299" t="s">
        <v>111</v>
      </c>
      <c r="E1299" t="s">
        <v>55</v>
      </c>
      <c r="F1299">
        <f>ventas_libreria[[#This Row],[precio_eur]]/100</f>
        <v>1.99</v>
      </c>
      <c r="G1299">
        <v>199</v>
      </c>
      <c r="H1299">
        <v>1</v>
      </c>
      <c r="I1299">
        <f>ventas_libreria[[#This Row],[precio]]*ventas_libreria[[#This Row],[cantidad]]</f>
        <v>1.99</v>
      </c>
      <c r="J1299">
        <v>49</v>
      </c>
      <c r="K1299" t="s">
        <v>38</v>
      </c>
      <c r="L1299" s="1">
        <v>45851</v>
      </c>
      <c r="M1299" t="s">
        <v>31</v>
      </c>
      <c r="N1299" t="s">
        <v>22</v>
      </c>
      <c r="O1299" t="s">
        <v>49</v>
      </c>
      <c r="P1299" t="s">
        <v>84</v>
      </c>
      <c r="R1299" t="str">
        <f>IF(ventas_libreria[[#This Row],[valoracion_cliente]]="","Sin valoración",ventas_libreria[[#This Row],[valoracion_cliente]])</f>
        <v>Sin valoración</v>
      </c>
    </row>
    <row r="1300" spans="1:18" x14ac:dyDescent="0.25">
      <c r="A1300" t="s">
        <v>1576</v>
      </c>
      <c r="B1300" t="s">
        <v>301</v>
      </c>
      <c r="C1300" t="s">
        <v>302</v>
      </c>
      <c r="D1300" t="s">
        <v>245</v>
      </c>
      <c r="E1300" t="s">
        <v>48</v>
      </c>
      <c r="F1300">
        <f>ventas_libreria[[#This Row],[precio_eur]]/100</f>
        <v>2.4900000000000002</v>
      </c>
      <c r="G1300">
        <v>249</v>
      </c>
      <c r="H1300">
        <v>1</v>
      </c>
      <c r="I1300">
        <f>ventas_libreria[[#This Row],[precio]]*ventas_libreria[[#This Row],[cantidad]]</f>
        <v>2.4900000000000002</v>
      </c>
      <c r="J1300">
        <v>37</v>
      </c>
      <c r="K1300" t="s">
        <v>38</v>
      </c>
      <c r="L1300" s="1">
        <v>46010</v>
      </c>
      <c r="M1300" t="s">
        <v>43</v>
      </c>
      <c r="N1300" t="s">
        <v>32</v>
      </c>
      <c r="O1300" t="s">
        <v>33</v>
      </c>
      <c r="P1300" t="s">
        <v>34</v>
      </c>
      <c r="Q1300">
        <v>4</v>
      </c>
      <c r="R1300">
        <f>IF(ventas_libreria[[#This Row],[valoracion_cliente]]="","Sin valoración",ventas_libreria[[#This Row],[valoracion_cliente]])</f>
        <v>4</v>
      </c>
    </row>
    <row r="1301" spans="1:18" x14ac:dyDescent="0.25">
      <c r="A1301" t="s">
        <v>1577</v>
      </c>
      <c r="B1301" t="s">
        <v>169</v>
      </c>
      <c r="C1301" t="s">
        <v>170</v>
      </c>
      <c r="D1301" t="s">
        <v>171</v>
      </c>
      <c r="E1301" t="s">
        <v>172</v>
      </c>
      <c r="F1301">
        <f>ventas_libreria[[#This Row],[precio_eur]]/100</f>
        <v>18.32</v>
      </c>
      <c r="G1301">
        <v>1832</v>
      </c>
      <c r="H1301">
        <v>1</v>
      </c>
      <c r="I1301">
        <f>ventas_libreria[[#This Row],[precio]]*ventas_libreria[[#This Row],[cantidad]]</f>
        <v>18.32</v>
      </c>
      <c r="J1301">
        <v>32</v>
      </c>
      <c r="K1301" t="s">
        <v>62</v>
      </c>
      <c r="L1301" s="1">
        <v>45618</v>
      </c>
      <c r="M1301" t="s">
        <v>43</v>
      </c>
      <c r="N1301" t="s">
        <v>32</v>
      </c>
      <c r="O1301" t="s">
        <v>33</v>
      </c>
      <c r="P1301" t="s">
        <v>24</v>
      </c>
      <c r="Q1301">
        <v>3</v>
      </c>
      <c r="R1301">
        <f>IF(ventas_libreria[[#This Row],[valoracion_cliente]]="","Sin valoración",ventas_libreria[[#This Row],[valoracion_cliente]])</f>
        <v>3</v>
      </c>
    </row>
    <row r="1302" spans="1:18" x14ac:dyDescent="0.25">
      <c r="A1302" t="s">
        <v>1578</v>
      </c>
      <c r="B1302" t="s">
        <v>461</v>
      </c>
      <c r="C1302" t="s">
        <v>462</v>
      </c>
      <c r="D1302" t="s">
        <v>143</v>
      </c>
      <c r="E1302" t="s">
        <v>116</v>
      </c>
      <c r="F1302">
        <f>ventas_libreria[[#This Row],[precio_eur]]/100</f>
        <v>1.46</v>
      </c>
      <c r="G1302">
        <v>146</v>
      </c>
      <c r="H1302">
        <v>1</v>
      </c>
      <c r="I1302">
        <f>ventas_libreria[[#This Row],[precio]]*ventas_libreria[[#This Row],[cantidad]]</f>
        <v>1.46</v>
      </c>
      <c r="J1302">
        <v>66</v>
      </c>
      <c r="K1302" t="s">
        <v>20</v>
      </c>
      <c r="L1302" s="1">
        <v>45785</v>
      </c>
      <c r="M1302" t="s">
        <v>31</v>
      </c>
      <c r="N1302" t="s">
        <v>32</v>
      </c>
      <c r="O1302" t="s">
        <v>33</v>
      </c>
      <c r="P1302" t="s">
        <v>34</v>
      </c>
      <c r="R1302" t="str">
        <f>IF(ventas_libreria[[#This Row],[valoracion_cliente]]="","Sin valoración",ventas_libreria[[#This Row],[valoracion_cliente]])</f>
        <v>Sin valoración</v>
      </c>
    </row>
    <row r="1303" spans="1:18" x14ac:dyDescent="0.25">
      <c r="A1303" t="s">
        <v>1579</v>
      </c>
      <c r="B1303" t="s">
        <v>301</v>
      </c>
      <c r="C1303" t="s">
        <v>302</v>
      </c>
      <c r="D1303" t="s">
        <v>245</v>
      </c>
      <c r="E1303" t="s">
        <v>48</v>
      </c>
      <c r="F1303">
        <f>ventas_libreria[[#This Row],[precio_eur]]/100</f>
        <v>22.41</v>
      </c>
      <c r="G1303">
        <v>2241</v>
      </c>
      <c r="H1303">
        <v>2</v>
      </c>
      <c r="I1303">
        <f>ventas_libreria[[#This Row],[precio]]*ventas_libreria[[#This Row],[cantidad]]</f>
        <v>44.82</v>
      </c>
      <c r="J1303">
        <v>45</v>
      </c>
      <c r="K1303" t="s">
        <v>20</v>
      </c>
      <c r="L1303" s="1">
        <v>45937</v>
      </c>
      <c r="M1303" t="s">
        <v>21</v>
      </c>
      <c r="N1303" t="s">
        <v>22</v>
      </c>
      <c r="O1303" t="s">
        <v>67</v>
      </c>
      <c r="P1303" t="s">
        <v>84</v>
      </c>
      <c r="Q1303">
        <v>4</v>
      </c>
      <c r="R1303">
        <f>IF(ventas_libreria[[#This Row],[valoracion_cliente]]="","Sin valoración",ventas_libreria[[#This Row],[valoracion_cliente]])</f>
        <v>4</v>
      </c>
    </row>
    <row r="1304" spans="1:18" x14ac:dyDescent="0.25">
      <c r="A1304" t="s">
        <v>1580</v>
      </c>
      <c r="B1304" t="s">
        <v>181</v>
      </c>
      <c r="C1304" t="s">
        <v>182</v>
      </c>
      <c r="D1304" t="s">
        <v>183</v>
      </c>
      <c r="E1304" t="s">
        <v>116</v>
      </c>
      <c r="F1304">
        <f>ventas_libreria[[#This Row],[precio_eur]]/100</f>
        <v>12.51</v>
      </c>
      <c r="G1304">
        <v>1251</v>
      </c>
      <c r="H1304">
        <v>2</v>
      </c>
      <c r="I1304">
        <f>ventas_libreria[[#This Row],[precio]]*ventas_libreria[[#This Row],[cantidad]]</f>
        <v>25.02</v>
      </c>
      <c r="J1304">
        <v>48</v>
      </c>
      <c r="K1304" t="s">
        <v>62</v>
      </c>
      <c r="L1304" s="1">
        <v>45491</v>
      </c>
      <c r="M1304" t="s">
        <v>21</v>
      </c>
      <c r="N1304" t="s">
        <v>22</v>
      </c>
      <c r="O1304" t="s">
        <v>132</v>
      </c>
      <c r="P1304" t="s">
        <v>24</v>
      </c>
      <c r="Q1304">
        <v>5</v>
      </c>
      <c r="R1304">
        <f>IF(ventas_libreria[[#This Row],[valoracion_cliente]]="","Sin valoración",ventas_libreria[[#This Row],[valoracion_cliente]])</f>
        <v>5</v>
      </c>
    </row>
    <row r="1305" spans="1:18" x14ac:dyDescent="0.25">
      <c r="A1305" t="s">
        <v>1581</v>
      </c>
      <c r="B1305" t="s">
        <v>318</v>
      </c>
      <c r="C1305" t="s">
        <v>319</v>
      </c>
      <c r="D1305" t="s">
        <v>167</v>
      </c>
      <c r="E1305" t="s">
        <v>61</v>
      </c>
      <c r="F1305">
        <f>ventas_libreria[[#This Row],[precio_eur]]/100</f>
        <v>1.89</v>
      </c>
      <c r="G1305">
        <v>189</v>
      </c>
      <c r="H1305">
        <v>1</v>
      </c>
      <c r="I1305">
        <f>ventas_libreria[[#This Row],[precio]]*ventas_libreria[[#This Row],[cantidad]]</f>
        <v>1.89</v>
      </c>
      <c r="J1305">
        <v>44</v>
      </c>
      <c r="K1305" t="s">
        <v>62</v>
      </c>
      <c r="L1305" s="1">
        <v>45419</v>
      </c>
      <c r="M1305" t="s">
        <v>21</v>
      </c>
      <c r="N1305" t="s">
        <v>22</v>
      </c>
      <c r="O1305" t="s">
        <v>132</v>
      </c>
      <c r="P1305" t="s">
        <v>56</v>
      </c>
      <c r="Q1305">
        <v>4</v>
      </c>
      <c r="R1305">
        <f>IF(ventas_libreria[[#This Row],[valoracion_cliente]]="","Sin valoración",ventas_libreria[[#This Row],[valoracion_cliente]])</f>
        <v>4</v>
      </c>
    </row>
    <row r="1306" spans="1:18" x14ac:dyDescent="0.25">
      <c r="A1306" t="s">
        <v>1582</v>
      </c>
      <c r="B1306" t="s">
        <v>318</v>
      </c>
      <c r="C1306" t="s">
        <v>319</v>
      </c>
      <c r="D1306" t="s">
        <v>167</v>
      </c>
      <c r="E1306" t="s">
        <v>61</v>
      </c>
      <c r="F1306">
        <f>ventas_libreria[[#This Row],[precio_eur]]/100</f>
        <v>1.89</v>
      </c>
      <c r="G1306">
        <v>189</v>
      </c>
      <c r="H1306">
        <v>1</v>
      </c>
      <c r="I1306">
        <f>ventas_libreria[[#This Row],[precio]]*ventas_libreria[[#This Row],[cantidad]]</f>
        <v>1.89</v>
      </c>
      <c r="J1306">
        <v>67</v>
      </c>
      <c r="K1306" t="s">
        <v>20</v>
      </c>
      <c r="L1306" s="1">
        <v>45056</v>
      </c>
      <c r="M1306" t="s">
        <v>43</v>
      </c>
      <c r="N1306" t="s">
        <v>32</v>
      </c>
      <c r="O1306" t="s">
        <v>33</v>
      </c>
      <c r="P1306" t="s">
        <v>24</v>
      </c>
      <c r="Q1306">
        <v>2</v>
      </c>
      <c r="R1306">
        <f>IF(ventas_libreria[[#This Row],[valoracion_cliente]]="","Sin valoración",ventas_libreria[[#This Row],[valoracion_cliente]])</f>
        <v>2</v>
      </c>
    </row>
    <row r="1307" spans="1:18" x14ac:dyDescent="0.25">
      <c r="A1307" t="s">
        <v>1583</v>
      </c>
      <c r="B1307" t="s">
        <v>125</v>
      </c>
      <c r="C1307" t="s">
        <v>126</v>
      </c>
      <c r="D1307" t="s">
        <v>127</v>
      </c>
      <c r="E1307" t="s">
        <v>29</v>
      </c>
      <c r="F1307">
        <f>ventas_libreria[[#This Row],[precio_eur]]/100</f>
        <v>1.79</v>
      </c>
      <c r="G1307">
        <v>179</v>
      </c>
      <c r="H1307">
        <v>1</v>
      </c>
      <c r="I1307">
        <f>ventas_libreria[[#This Row],[precio]]*ventas_libreria[[#This Row],[cantidad]]</f>
        <v>1.79</v>
      </c>
      <c r="J1307">
        <v>72</v>
      </c>
      <c r="K1307" t="s">
        <v>20</v>
      </c>
      <c r="L1307" s="1">
        <v>45373</v>
      </c>
      <c r="M1307" t="s">
        <v>21</v>
      </c>
      <c r="N1307" t="s">
        <v>32</v>
      </c>
      <c r="O1307" t="s">
        <v>33</v>
      </c>
      <c r="P1307" t="s">
        <v>84</v>
      </c>
      <c r="Q1307">
        <v>4</v>
      </c>
      <c r="R1307">
        <f>IF(ventas_libreria[[#This Row],[valoracion_cliente]]="","Sin valoración",ventas_libreria[[#This Row],[valoracion_cliente]])</f>
        <v>4</v>
      </c>
    </row>
    <row r="1308" spans="1:18" x14ac:dyDescent="0.25">
      <c r="A1308" t="s">
        <v>1584</v>
      </c>
      <c r="B1308" t="s">
        <v>338</v>
      </c>
      <c r="C1308" t="s">
        <v>339</v>
      </c>
      <c r="D1308" t="s">
        <v>167</v>
      </c>
      <c r="E1308" t="s">
        <v>61</v>
      </c>
      <c r="F1308">
        <f>ventas_libreria[[#This Row],[precio_eur]]/100</f>
        <v>2.29</v>
      </c>
      <c r="G1308">
        <v>229</v>
      </c>
      <c r="H1308">
        <v>1</v>
      </c>
      <c r="I1308">
        <f>ventas_libreria[[#This Row],[precio]]*ventas_libreria[[#This Row],[cantidad]]</f>
        <v>2.29</v>
      </c>
      <c r="J1308">
        <v>61</v>
      </c>
      <c r="K1308" t="s">
        <v>20</v>
      </c>
      <c r="L1308" s="1">
        <v>45989</v>
      </c>
      <c r="M1308" t="s">
        <v>21</v>
      </c>
      <c r="N1308" t="s">
        <v>32</v>
      </c>
      <c r="O1308" t="s">
        <v>33</v>
      </c>
      <c r="P1308" t="s">
        <v>50</v>
      </c>
      <c r="Q1308">
        <v>4</v>
      </c>
      <c r="R1308">
        <f>IF(ventas_libreria[[#This Row],[valoracion_cliente]]="","Sin valoración",ventas_libreria[[#This Row],[valoracion_cliente]])</f>
        <v>4</v>
      </c>
    </row>
    <row r="1309" spans="1:18" x14ac:dyDescent="0.25">
      <c r="A1309" t="s">
        <v>1585</v>
      </c>
      <c r="B1309" t="s">
        <v>273</v>
      </c>
      <c r="C1309" t="s">
        <v>274</v>
      </c>
      <c r="D1309" t="s">
        <v>262</v>
      </c>
      <c r="E1309" t="s">
        <v>263</v>
      </c>
      <c r="F1309">
        <f>ventas_libreria[[#This Row],[precio_eur]]/100</f>
        <v>17.52</v>
      </c>
      <c r="G1309">
        <v>1752</v>
      </c>
      <c r="H1309">
        <v>1</v>
      </c>
      <c r="I1309">
        <f>ventas_libreria[[#This Row],[precio]]*ventas_libreria[[#This Row],[cantidad]]</f>
        <v>17.52</v>
      </c>
      <c r="J1309">
        <v>40</v>
      </c>
      <c r="K1309" t="s">
        <v>38</v>
      </c>
      <c r="L1309" s="1">
        <v>45959</v>
      </c>
      <c r="M1309" t="s">
        <v>31</v>
      </c>
      <c r="N1309" t="s">
        <v>22</v>
      </c>
      <c r="O1309" t="s">
        <v>67</v>
      </c>
      <c r="P1309" t="s">
        <v>56</v>
      </c>
      <c r="Q1309">
        <v>5</v>
      </c>
      <c r="R1309">
        <f>IF(ventas_libreria[[#This Row],[valoracion_cliente]]="","Sin valoración",ventas_libreria[[#This Row],[valoracion_cliente]])</f>
        <v>5</v>
      </c>
    </row>
    <row r="1310" spans="1:18" x14ac:dyDescent="0.25">
      <c r="A1310" t="s">
        <v>1586</v>
      </c>
      <c r="B1310" t="s">
        <v>169</v>
      </c>
      <c r="C1310" t="s">
        <v>170</v>
      </c>
      <c r="D1310" t="s">
        <v>171</v>
      </c>
      <c r="E1310" t="s">
        <v>172</v>
      </c>
      <c r="F1310">
        <f>ventas_libreria[[#This Row],[precio_eur]]/100</f>
        <v>2.29</v>
      </c>
      <c r="G1310">
        <v>229</v>
      </c>
      <c r="H1310">
        <v>1</v>
      </c>
      <c r="I1310">
        <f>ventas_libreria[[#This Row],[precio]]*ventas_libreria[[#This Row],[cantidad]]</f>
        <v>2.29</v>
      </c>
      <c r="J1310">
        <v>75</v>
      </c>
      <c r="K1310" t="s">
        <v>62</v>
      </c>
      <c r="L1310" s="1">
        <v>45735</v>
      </c>
      <c r="M1310" t="s">
        <v>31</v>
      </c>
      <c r="N1310" t="s">
        <v>32</v>
      </c>
      <c r="O1310" t="s">
        <v>33</v>
      </c>
      <c r="P1310" t="s">
        <v>50</v>
      </c>
      <c r="Q1310">
        <v>4</v>
      </c>
      <c r="R1310">
        <f>IF(ventas_libreria[[#This Row],[valoracion_cliente]]="","Sin valoración",ventas_libreria[[#This Row],[valoracion_cliente]])</f>
        <v>4</v>
      </c>
    </row>
    <row r="1311" spans="1:18" x14ac:dyDescent="0.25">
      <c r="A1311" t="s">
        <v>1587</v>
      </c>
      <c r="B1311" t="s">
        <v>95</v>
      </c>
      <c r="C1311" t="s">
        <v>96</v>
      </c>
      <c r="D1311" t="s">
        <v>97</v>
      </c>
      <c r="E1311" t="s">
        <v>29</v>
      </c>
      <c r="F1311">
        <f>ventas_libreria[[#This Row],[precio_eur]]/100</f>
        <v>1.79</v>
      </c>
      <c r="G1311">
        <v>179</v>
      </c>
      <c r="H1311">
        <v>3</v>
      </c>
      <c r="I1311">
        <f>ventas_libreria[[#This Row],[precio]]*ventas_libreria[[#This Row],[cantidad]]</f>
        <v>5.37</v>
      </c>
      <c r="J1311">
        <v>62</v>
      </c>
      <c r="K1311" t="s">
        <v>38</v>
      </c>
      <c r="L1311" s="1">
        <v>45078</v>
      </c>
      <c r="M1311" t="s">
        <v>43</v>
      </c>
      <c r="N1311" t="s">
        <v>32</v>
      </c>
      <c r="O1311" t="s">
        <v>33</v>
      </c>
      <c r="P1311" t="s">
        <v>50</v>
      </c>
      <c r="Q1311">
        <v>5</v>
      </c>
      <c r="R1311">
        <f>IF(ventas_libreria[[#This Row],[valoracion_cliente]]="","Sin valoración",ventas_libreria[[#This Row],[valoracion_cliente]])</f>
        <v>5</v>
      </c>
    </row>
    <row r="1312" spans="1:18" x14ac:dyDescent="0.25">
      <c r="A1312" t="s">
        <v>1588</v>
      </c>
      <c r="B1312" t="s">
        <v>307</v>
      </c>
      <c r="C1312" t="s">
        <v>308</v>
      </c>
      <c r="D1312" t="s">
        <v>88</v>
      </c>
      <c r="E1312" t="s">
        <v>77</v>
      </c>
      <c r="F1312">
        <f>ventas_libreria[[#This Row],[precio_eur]]/100</f>
        <v>1.0900000000000001</v>
      </c>
      <c r="G1312">
        <v>109</v>
      </c>
      <c r="H1312">
        <v>1</v>
      </c>
      <c r="I1312">
        <f>ventas_libreria[[#This Row],[precio]]*ventas_libreria[[#This Row],[cantidad]]</f>
        <v>1.0900000000000001</v>
      </c>
      <c r="J1312">
        <v>7</v>
      </c>
      <c r="K1312" t="s">
        <v>38</v>
      </c>
      <c r="L1312" s="1">
        <v>45322</v>
      </c>
      <c r="M1312" t="s">
        <v>21</v>
      </c>
      <c r="N1312" t="s">
        <v>32</v>
      </c>
      <c r="O1312" t="s">
        <v>33</v>
      </c>
      <c r="P1312" t="s">
        <v>24</v>
      </c>
      <c r="Q1312">
        <v>3</v>
      </c>
      <c r="R1312">
        <f>IF(ventas_libreria[[#This Row],[valoracion_cliente]]="","Sin valoración",ventas_libreria[[#This Row],[valoracion_cliente]])</f>
        <v>3</v>
      </c>
    </row>
    <row r="1313" spans="1:18" x14ac:dyDescent="0.25">
      <c r="A1313" t="s">
        <v>1589</v>
      </c>
      <c r="B1313" t="s">
        <v>211</v>
      </c>
      <c r="C1313" t="s">
        <v>212</v>
      </c>
      <c r="D1313" t="s">
        <v>131</v>
      </c>
      <c r="E1313" t="s">
        <v>107</v>
      </c>
      <c r="F1313">
        <f>ventas_libreria[[#This Row],[precio_eur]]/100</f>
        <v>1.69</v>
      </c>
      <c r="G1313">
        <v>169</v>
      </c>
      <c r="H1313">
        <v>1</v>
      </c>
      <c r="I1313">
        <f>ventas_libreria[[#This Row],[precio]]*ventas_libreria[[#This Row],[cantidad]]</f>
        <v>1.69</v>
      </c>
      <c r="J1313">
        <v>11</v>
      </c>
      <c r="K1313" t="s">
        <v>30</v>
      </c>
      <c r="L1313" s="1">
        <v>45851</v>
      </c>
      <c r="M1313" t="s">
        <v>43</v>
      </c>
      <c r="N1313" t="s">
        <v>32</v>
      </c>
      <c r="O1313" t="s">
        <v>33</v>
      </c>
      <c r="P1313" t="s">
        <v>24</v>
      </c>
      <c r="R1313" t="str">
        <f>IF(ventas_libreria[[#This Row],[valoracion_cliente]]="","Sin valoración",ventas_libreria[[#This Row],[valoracion_cliente]])</f>
        <v>Sin valoración</v>
      </c>
    </row>
    <row r="1314" spans="1:18" x14ac:dyDescent="0.25">
      <c r="A1314" t="s">
        <v>1590</v>
      </c>
      <c r="B1314" t="s">
        <v>296</v>
      </c>
      <c r="C1314" t="s">
        <v>297</v>
      </c>
      <c r="D1314" t="s">
        <v>298</v>
      </c>
      <c r="E1314" t="s">
        <v>154</v>
      </c>
      <c r="F1314">
        <f>ventas_libreria[[#This Row],[precio_eur]]/100</f>
        <v>1.79</v>
      </c>
      <c r="G1314">
        <v>179</v>
      </c>
      <c r="H1314">
        <v>1</v>
      </c>
      <c r="I1314">
        <f>ventas_libreria[[#This Row],[precio]]*ventas_libreria[[#This Row],[cantidad]]</f>
        <v>1.79</v>
      </c>
      <c r="J1314">
        <v>29</v>
      </c>
      <c r="K1314" t="s">
        <v>30</v>
      </c>
      <c r="L1314" s="1">
        <v>45816</v>
      </c>
      <c r="M1314" t="s">
        <v>43</v>
      </c>
      <c r="N1314" t="s">
        <v>32</v>
      </c>
      <c r="O1314" t="s">
        <v>33</v>
      </c>
      <c r="P1314" t="s">
        <v>24</v>
      </c>
      <c r="Q1314">
        <v>5</v>
      </c>
      <c r="R1314">
        <f>IF(ventas_libreria[[#This Row],[valoracion_cliente]]="","Sin valoración",ventas_libreria[[#This Row],[valoracion_cliente]])</f>
        <v>5</v>
      </c>
    </row>
    <row r="1315" spans="1:18" x14ac:dyDescent="0.25">
      <c r="A1315" t="s">
        <v>1591</v>
      </c>
      <c r="B1315" t="s">
        <v>268</v>
      </c>
      <c r="C1315" t="s">
        <v>269</v>
      </c>
      <c r="D1315" t="s">
        <v>270</v>
      </c>
      <c r="E1315" t="s">
        <v>83</v>
      </c>
      <c r="F1315">
        <f>ventas_libreria[[#This Row],[precio_eur]]/100</f>
        <v>11.99</v>
      </c>
      <c r="G1315">
        <v>1199</v>
      </c>
      <c r="H1315">
        <v>1</v>
      </c>
      <c r="I1315">
        <f>ventas_libreria[[#This Row],[precio]]*ventas_libreria[[#This Row],[cantidad]]</f>
        <v>11.99</v>
      </c>
      <c r="J1315">
        <v>18</v>
      </c>
      <c r="K1315" t="s">
        <v>20</v>
      </c>
      <c r="L1315" s="1">
        <v>45167</v>
      </c>
      <c r="M1315" t="s">
        <v>21</v>
      </c>
      <c r="N1315" t="s">
        <v>22</v>
      </c>
      <c r="O1315" t="s">
        <v>132</v>
      </c>
      <c r="P1315" t="s">
        <v>34</v>
      </c>
      <c r="Q1315">
        <v>3</v>
      </c>
      <c r="R1315">
        <f>IF(ventas_libreria[[#This Row],[valoracion_cliente]]="","Sin valoración",ventas_libreria[[#This Row],[valoracion_cliente]])</f>
        <v>3</v>
      </c>
    </row>
    <row r="1316" spans="1:18" x14ac:dyDescent="0.25">
      <c r="A1316" t="s">
        <v>1592</v>
      </c>
      <c r="B1316" t="s">
        <v>40</v>
      </c>
      <c r="C1316" t="s">
        <v>41</v>
      </c>
      <c r="D1316" t="s">
        <v>42</v>
      </c>
      <c r="E1316" t="s">
        <v>19</v>
      </c>
      <c r="F1316">
        <f>ventas_libreria[[#This Row],[precio_eur]]/100</f>
        <v>1.29</v>
      </c>
      <c r="G1316">
        <v>129</v>
      </c>
      <c r="H1316">
        <v>1</v>
      </c>
      <c r="I1316">
        <f>ventas_libreria[[#This Row],[precio]]*ventas_libreria[[#This Row],[cantidad]]</f>
        <v>1.29</v>
      </c>
      <c r="J1316">
        <v>19</v>
      </c>
      <c r="K1316" t="s">
        <v>20</v>
      </c>
      <c r="L1316" s="1">
        <v>45417</v>
      </c>
      <c r="M1316" t="s">
        <v>43</v>
      </c>
      <c r="N1316" t="s">
        <v>32</v>
      </c>
      <c r="O1316" t="s">
        <v>33</v>
      </c>
      <c r="P1316" t="s">
        <v>50</v>
      </c>
      <c r="Q1316">
        <v>5</v>
      </c>
      <c r="R1316">
        <f>IF(ventas_libreria[[#This Row],[valoracion_cliente]]="","Sin valoración",ventas_libreria[[#This Row],[valoracion_cliente]])</f>
        <v>5</v>
      </c>
    </row>
    <row r="1317" spans="1:18" x14ac:dyDescent="0.25">
      <c r="A1317" t="s">
        <v>1593</v>
      </c>
      <c r="B1317" t="s">
        <v>273</v>
      </c>
      <c r="C1317" t="s">
        <v>274</v>
      </c>
      <c r="D1317" t="s">
        <v>262</v>
      </c>
      <c r="E1317" t="s">
        <v>263</v>
      </c>
      <c r="F1317">
        <f>ventas_libreria[[#This Row],[precio_eur]]/100</f>
        <v>2.2999999999999998</v>
      </c>
      <c r="G1317">
        <v>230</v>
      </c>
      <c r="H1317">
        <v>1</v>
      </c>
      <c r="I1317">
        <f>ventas_libreria[[#This Row],[precio]]*ventas_libreria[[#This Row],[cantidad]]</f>
        <v>2.2999999999999998</v>
      </c>
      <c r="J1317">
        <v>55</v>
      </c>
      <c r="K1317" t="s">
        <v>30</v>
      </c>
      <c r="L1317" s="1">
        <v>45613</v>
      </c>
      <c r="M1317" t="s">
        <v>21</v>
      </c>
      <c r="N1317" t="s">
        <v>22</v>
      </c>
      <c r="O1317" t="s">
        <v>67</v>
      </c>
      <c r="P1317" t="s">
        <v>84</v>
      </c>
      <c r="Q1317">
        <v>5</v>
      </c>
      <c r="R1317">
        <f>IF(ventas_libreria[[#This Row],[valoracion_cliente]]="","Sin valoración",ventas_libreria[[#This Row],[valoracion_cliente]])</f>
        <v>5</v>
      </c>
    </row>
    <row r="1318" spans="1:18" x14ac:dyDescent="0.25">
      <c r="A1318" t="s">
        <v>1594</v>
      </c>
      <c r="B1318" t="s">
        <v>260</v>
      </c>
      <c r="C1318" t="s">
        <v>261</v>
      </c>
      <c r="D1318" t="s">
        <v>262</v>
      </c>
      <c r="E1318" t="s">
        <v>263</v>
      </c>
      <c r="F1318">
        <f>ventas_libreria[[#This Row],[precio_eur]]/100</f>
        <v>2.2999999999999998</v>
      </c>
      <c r="G1318">
        <v>230</v>
      </c>
      <c r="H1318">
        <v>1</v>
      </c>
      <c r="I1318">
        <f>ventas_libreria[[#This Row],[precio]]*ventas_libreria[[#This Row],[cantidad]]</f>
        <v>2.2999999999999998</v>
      </c>
      <c r="J1318">
        <v>32</v>
      </c>
      <c r="K1318" t="s">
        <v>62</v>
      </c>
      <c r="L1318" s="1">
        <v>45884</v>
      </c>
      <c r="M1318" t="s">
        <v>21</v>
      </c>
      <c r="N1318" t="s">
        <v>22</v>
      </c>
      <c r="O1318" t="s">
        <v>49</v>
      </c>
      <c r="P1318" t="s">
        <v>50</v>
      </c>
      <c r="Q1318">
        <v>5</v>
      </c>
      <c r="R1318">
        <f>IF(ventas_libreria[[#This Row],[valoracion_cliente]]="","Sin valoración",ventas_libreria[[#This Row],[valoracion_cliente]])</f>
        <v>5</v>
      </c>
    </row>
    <row r="1319" spans="1:18" x14ac:dyDescent="0.25">
      <c r="A1319" t="s">
        <v>1595</v>
      </c>
      <c r="B1319" t="s">
        <v>134</v>
      </c>
      <c r="C1319" t="s">
        <v>135</v>
      </c>
      <c r="D1319" t="s">
        <v>106</v>
      </c>
      <c r="E1319" t="s">
        <v>107</v>
      </c>
      <c r="F1319">
        <f>ventas_libreria[[#This Row],[precio_eur]]/100</f>
        <v>1.49</v>
      </c>
      <c r="G1319">
        <v>149</v>
      </c>
      <c r="H1319">
        <v>1</v>
      </c>
      <c r="I1319">
        <f>ventas_libreria[[#This Row],[precio]]*ventas_libreria[[#This Row],[cantidad]]</f>
        <v>1.49</v>
      </c>
      <c r="J1319">
        <v>20</v>
      </c>
      <c r="K1319" t="s">
        <v>62</v>
      </c>
      <c r="L1319" s="1">
        <v>45459</v>
      </c>
      <c r="M1319" t="s">
        <v>43</v>
      </c>
      <c r="N1319" t="s">
        <v>32</v>
      </c>
      <c r="O1319" t="s">
        <v>33</v>
      </c>
      <c r="P1319" t="s">
        <v>34</v>
      </c>
      <c r="Q1319">
        <v>3</v>
      </c>
      <c r="R1319">
        <f>IF(ventas_libreria[[#This Row],[valoracion_cliente]]="","Sin valoración",ventas_libreria[[#This Row],[valoracion_cliente]])</f>
        <v>3</v>
      </c>
    </row>
    <row r="1320" spans="1:18" x14ac:dyDescent="0.25">
      <c r="A1320" t="s">
        <v>1596</v>
      </c>
      <c r="B1320" t="s">
        <v>549</v>
      </c>
      <c r="C1320" t="s">
        <v>550</v>
      </c>
      <c r="D1320" t="s">
        <v>162</v>
      </c>
      <c r="E1320" t="s">
        <v>29</v>
      </c>
      <c r="F1320">
        <f>ventas_libreria[[#This Row],[precio_eur]]/100</f>
        <v>16.91</v>
      </c>
      <c r="G1320">
        <v>1691</v>
      </c>
      <c r="H1320">
        <v>1</v>
      </c>
      <c r="I1320">
        <f>ventas_libreria[[#This Row],[precio]]*ventas_libreria[[#This Row],[cantidad]]</f>
        <v>16.91</v>
      </c>
      <c r="J1320">
        <v>58</v>
      </c>
      <c r="K1320" t="s">
        <v>62</v>
      </c>
      <c r="L1320" s="1">
        <v>45595</v>
      </c>
      <c r="M1320" t="s">
        <v>31</v>
      </c>
      <c r="N1320" t="s">
        <v>32</v>
      </c>
      <c r="O1320" t="s">
        <v>33</v>
      </c>
      <c r="P1320" t="s">
        <v>56</v>
      </c>
      <c r="Q1320">
        <v>5</v>
      </c>
      <c r="R1320">
        <f>IF(ventas_libreria[[#This Row],[valoracion_cliente]]="","Sin valoración",ventas_libreria[[#This Row],[valoracion_cliente]])</f>
        <v>5</v>
      </c>
    </row>
    <row r="1321" spans="1:18" x14ac:dyDescent="0.25">
      <c r="A1321" t="s">
        <v>1597</v>
      </c>
      <c r="B1321" t="s">
        <v>318</v>
      </c>
      <c r="C1321" t="s">
        <v>319</v>
      </c>
      <c r="D1321" t="s">
        <v>167</v>
      </c>
      <c r="E1321" t="s">
        <v>61</v>
      </c>
      <c r="F1321">
        <f>ventas_libreria[[#This Row],[precio_eur]]/100</f>
        <v>1.89</v>
      </c>
      <c r="G1321">
        <v>189</v>
      </c>
      <c r="H1321">
        <v>1</v>
      </c>
      <c r="I1321">
        <f>ventas_libreria[[#This Row],[precio]]*ventas_libreria[[#This Row],[cantidad]]</f>
        <v>1.89</v>
      </c>
      <c r="J1321">
        <v>22</v>
      </c>
      <c r="K1321" t="s">
        <v>20</v>
      </c>
      <c r="L1321" s="1">
        <v>45455</v>
      </c>
      <c r="M1321" t="s">
        <v>21</v>
      </c>
      <c r="N1321" t="s">
        <v>32</v>
      </c>
      <c r="O1321" t="s">
        <v>33</v>
      </c>
      <c r="P1321" t="s">
        <v>34</v>
      </c>
      <c r="R1321" t="str">
        <f>IF(ventas_libreria[[#This Row],[valoracion_cliente]]="","Sin valoración",ventas_libreria[[#This Row],[valoracion_cliente]])</f>
        <v>Sin valoración</v>
      </c>
    </row>
    <row r="1322" spans="1:18" x14ac:dyDescent="0.25">
      <c r="A1322" t="s">
        <v>1598</v>
      </c>
      <c r="B1322" t="s">
        <v>208</v>
      </c>
      <c r="C1322" t="s">
        <v>209</v>
      </c>
      <c r="D1322" t="s">
        <v>106</v>
      </c>
      <c r="E1322" t="s">
        <v>107</v>
      </c>
      <c r="F1322">
        <f>ventas_libreria[[#This Row],[precio_eur]]/100</f>
        <v>12.66</v>
      </c>
      <c r="G1322">
        <v>1266</v>
      </c>
      <c r="H1322">
        <v>1</v>
      </c>
      <c r="I1322">
        <f>ventas_libreria[[#This Row],[precio]]*ventas_libreria[[#This Row],[cantidad]]</f>
        <v>12.66</v>
      </c>
      <c r="J1322">
        <v>19</v>
      </c>
      <c r="K1322" t="s">
        <v>20</v>
      </c>
      <c r="L1322" s="1">
        <v>45604</v>
      </c>
      <c r="M1322" t="s">
        <v>43</v>
      </c>
      <c r="N1322" t="s">
        <v>32</v>
      </c>
      <c r="O1322" t="s">
        <v>33</v>
      </c>
      <c r="P1322" t="s">
        <v>24</v>
      </c>
      <c r="R1322" t="str">
        <f>IF(ventas_libreria[[#This Row],[valoracion_cliente]]="","Sin valoración",ventas_libreria[[#This Row],[valoracion_cliente]])</f>
        <v>Sin valoración</v>
      </c>
    </row>
    <row r="1323" spans="1:18" x14ac:dyDescent="0.25">
      <c r="A1323" t="s">
        <v>1599</v>
      </c>
      <c r="B1323" t="s">
        <v>113</v>
      </c>
      <c r="C1323" t="s">
        <v>114</v>
      </c>
      <c r="D1323" t="s">
        <v>115</v>
      </c>
      <c r="E1323" t="s">
        <v>116</v>
      </c>
      <c r="F1323">
        <f>ventas_libreria[[#This Row],[precio_eur]]/100</f>
        <v>15.29</v>
      </c>
      <c r="G1323">
        <v>1529</v>
      </c>
      <c r="H1323">
        <v>1</v>
      </c>
      <c r="I1323">
        <f>ventas_libreria[[#This Row],[precio]]*ventas_libreria[[#This Row],[cantidad]]</f>
        <v>15.29</v>
      </c>
      <c r="J1323">
        <v>75</v>
      </c>
      <c r="K1323" t="s">
        <v>38</v>
      </c>
      <c r="L1323" s="1">
        <v>45163</v>
      </c>
      <c r="M1323" t="s">
        <v>43</v>
      </c>
      <c r="N1323" t="s">
        <v>32</v>
      </c>
      <c r="O1323" t="s">
        <v>33</v>
      </c>
      <c r="P1323" t="s">
        <v>24</v>
      </c>
      <c r="Q1323">
        <v>5</v>
      </c>
      <c r="R1323">
        <f>IF(ventas_libreria[[#This Row],[valoracion_cliente]]="","Sin valoración",ventas_libreria[[#This Row],[valoracion_cliente]])</f>
        <v>5</v>
      </c>
    </row>
    <row r="1324" spans="1:18" x14ac:dyDescent="0.25">
      <c r="A1324" t="s">
        <v>1600</v>
      </c>
      <c r="B1324" t="s">
        <v>193</v>
      </c>
      <c r="C1324" t="s">
        <v>194</v>
      </c>
      <c r="D1324" t="s">
        <v>195</v>
      </c>
      <c r="E1324" t="s">
        <v>48</v>
      </c>
      <c r="F1324">
        <f>ventas_libreria[[#This Row],[precio_eur]]/100</f>
        <v>21.89</v>
      </c>
      <c r="G1324">
        <v>2189</v>
      </c>
      <c r="H1324">
        <v>1</v>
      </c>
      <c r="I1324">
        <f>ventas_libreria[[#This Row],[precio]]*ventas_libreria[[#This Row],[cantidad]]</f>
        <v>21.89</v>
      </c>
      <c r="J1324">
        <v>66</v>
      </c>
      <c r="K1324" t="s">
        <v>62</v>
      </c>
      <c r="L1324" s="1">
        <v>45340</v>
      </c>
      <c r="M1324" t="s">
        <v>21</v>
      </c>
      <c r="N1324" t="s">
        <v>32</v>
      </c>
      <c r="O1324" t="s">
        <v>33</v>
      </c>
      <c r="P1324" t="s">
        <v>84</v>
      </c>
      <c r="Q1324">
        <v>4</v>
      </c>
      <c r="R1324">
        <f>IF(ventas_libreria[[#This Row],[valoracion_cliente]]="","Sin valoración",ventas_libreria[[#This Row],[valoracion_cliente]])</f>
        <v>4</v>
      </c>
    </row>
    <row r="1325" spans="1:18" x14ac:dyDescent="0.25">
      <c r="A1325" t="s">
        <v>1601</v>
      </c>
      <c r="B1325" t="s">
        <v>16</v>
      </c>
      <c r="C1325" t="s">
        <v>17</v>
      </c>
      <c r="D1325" t="s">
        <v>18</v>
      </c>
      <c r="E1325" t="s">
        <v>19</v>
      </c>
      <c r="F1325">
        <f>ventas_libreria[[#This Row],[precio_eur]]/100</f>
        <v>12.66</v>
      </c>
      <c r="G1325">
        <v>1266</v>
      </c>
      <c r="H1325">
        <v>1</v>
      </c>
      <c r="I1325">
        <f>ventas_libreria[[#This Row],[precio]]*ventas_libreria[[#This Row],[cantidad]]</f>
        <v>12.66</v>
      </c>
      <c r="J1325">
        <v>43</v>
      </c>
      <c r="K1325" t="s">
        <v>20</v>
      </c>
      <c r="L1325" s="1">
        <v>45431</v>
      </c>
      <c r="M1325" t="s">
        <v>21</v>
      </c>
      <c r="N1325" t="s">
        <v>22</v>
      </c>
      <c r="O1325" t="s">
        <v>49</v>
      </c>
      <c r="P1325" t="s">
        <v>34</v>
      </c>
      <c r="Q1325">
        <v>1</v>
      </c>
      <c r="R1325">
        <f>IF(ventas_libreria[[#This Row],[valoracion_cliente]]="","Sin valoración",ventas_libreria[[#This Row],[valoracion_cliente]])</f>
        <v>1</v>
      </c>
    </row>
    <row r="1326" spans="1:18" x14ac:dyDescent="0.25">
      <c r="A1326" t="s">
        <v>1602</v>
      </c>
      <c r="B1326" t="s">
        <v>273</v>
      </c>
      <c r="C1326" t="s">
        <v>274</v>
      </c>
      <c r="D1326" t="s">
        <v>262</v>
      </c>
      <c r="E1326" t="s">
        <v>263</v>
      </c>
      <c r="F1326">
        <f>ventas_libreria[[#This Row],[precio_eur]]/100</f>
        <v>24.09</v>
      </c>
      <c r="G1326">
        <v>2409</v>
      </c>
      <c r="H1326">
        <v>1</v>
      </c>
      <c r="I1326">
        <f>ventas_libreria[[#This Row],[precio]]*ventas_libreria[[#This Row],[cantidad]]</f>
        <v>24.09</v>
      </c>
      <c r="J1326">
        <v>51</v>
      </c>
      <c r="K1326" t="s">
        <v>20</v>
      </c>
      <c r="L1326" s="1">
        <v>44982</v>
      </c>
      <c r="M1326" t="s">
        <v>43</v>
      </c>
      <c r="N1326" t="s">
        <v>32</v>
      </c>
      <c r="O1326" t="s">
        <v>33</v>
      </c>
      <c r="P1326" t="s">
        <v>84</v>
      </c>
      <c r="Q1326">
        <v>4</v>
      </c>
      <c r="R1326">
        <f>IF(ventas_libreria[[#This Row],[valoracion_cliente]]="","Sin valoración",ventas_libreria[[#This Row],[valoracion_cliente]])</f>
        <v>4</v>
      </c>
    </row>
    <row r="1327" spans="1:18" x14ac:dyDescent="0.25">
      <c r="A1327" t="s">
        <v>1603</v>
      </c>
      <c r="B1327" t="s">
        <v>109</v>
      </c>
      <c r="C1327" t="s">
        <v>110</v>
      </c>
      <c r="D1327" t="s">
        <v>111</v>
      </c>
      <c r="E1327" t="s">
        <v>55</v>
      </c>
      <c r="F1327">
        <f>ventas_libreria[[#This Row],[precio_eur]]/100</f>
        <v>17.91</v>
      </c>
      <c r="G1327">
        <v>1791</v>
      </c>
      <c r="H1327">
        <v>1</v>
      </c>
      <c r="I1327">
        <f>ventas_libreria[[#This Row],[precio]]*ventas_libreria[[#This Row],[cantidad]]</f>
        <v>17.91</v>
      </c>
      <c r="J1327">
        <v>37</v>
      </c>
      <c r="K1327" t="s">
        <v>20</v>
      </c>
      <c r="L1327" s="1">
        <v>46021</v>
      </c>
      <c r="M1327" t="s">
        <v>31</v>
      </c>
      <c r="N1327" t="s">
        <v>32</v>
      </c>
      <c r="O1327" t="s">
        <v>33</v>
      </c>
      <c r="P1327" t="s">
        <v>34</v>
      </c>
      <c r="Q1327">
        <v>5</v>
      </c>
      <c r="R1327">
        <f>IF(ventas_libreria[[#This Row],[valoracion_cliente]]="","Sin valoración",ventas_libreria[[#This Row],[valoracion_cliente]])</f>
        <v>5</v>
      </c>
    </row>
    <row r="1328" spans="1:18" x14ac:dyDescent="0.25">
      <c r="A1328" t="s">
        <v>1604</v>
      </c>
      <c r="B1328" t="s">
        <v>129</v>
      </c>
      <c r="C1328" t="s">
        <v>130</v>
      </c>
      <c r="D1328" t="s">
        <v>131</v>
      </c>
      <c r="E1328" t="s">
        <v>107</v>
      </c>
      <c r="F1328">
        <f>ventas_libreria[[#This Row],[precio_eur]]/100</f>
        <v>1.59</v>
      </c>
      <c r="G1328">
        <v>159</v>
      </c>
      <c r="H1328">
        <v>4</v>
      </c>
      <c r="I1328">
        <f>ventas_libreria[[#This Row],[precio]]*ventas_libreria[[#This Row],[cantidad]]</f>
        <v>6.36</v>
      </c>
      <c r="J1328">
        <v>15</v>
      </c>
      <c r="K1328" t="s">
        <v>30</v>
      </c>
      <c r="L1328" s="1">
        <v>45212</v>
      </c>
      <c r="M1328" t="s">
        <v>21</v>
      </c>
      <c r="N1328" t="s">
        <v>32</v>
      </c>
      <c r="O1328" t="s">
        <v>33</v>
      </c>
      <c r="P1328" t="s">
        <v>84</v>
      </c>
      <c r="R1328" t="str">
        <f>IF(ventas_libreria[[#This Row],[valoracion_cliente]]="","Sin valoración",ventas_libreria[[#This Row],[valoracion_cliente]])</f>
        <v>Sin valoración</v>
      </c>
    </row>
    <row r="1329" spans="1:18" x14ac:dyDescent="0.25">
      <c r="A1329" t="s">
        <v>1605</v>
      </c>
      <c r="B1329" t="s">
        <v>240</v>
      </c>
      <c r="C1329" t="s">
        <v>241</v>
      </c>
      <c r="D1329" t="s">
        <v>54</v>
      </c>
      <c r="E1329" t="s">
        <v>172</v>
      </c>
      <c r="F1329">
        <f>ventas_libreria[[#This Row],[precio_eur]]/100</f>
        <v>12.66</v>
      </c>
      <c r="G1329">
        <v>1266</v>
      </c>
      <c r="H1329">
        <v>2</v>
      </c>
      <c r="I1329">
        <f>ventas_libreria[[#This Row],[precio]]*ventas_libreria[[#This Row],[cantidad]]</f>
        <v>25.32</v>
      </c>
      <c r="J1329">
        <v>30</v>
      </c>
      <c r="K1329" t="s">
        <v>62</v>
      </c>
      <c r="L1329" s="1">
        <v>45778</v>
      </c>
      <c r="M1329" t="s">
        <v>31</v>
      </c>
      <c r="N1329" t="s">
        <v>22</v>
      </c>
      <c r="O1329" t="s">
        <v>132</v>
      </c>
      <c r="P1329" t="s">
        <v>84</v>
      </c>
      <c r="Q1329">
        <v>2</v>
      </c>
      <c r="R1329">
        <f>IF(ventas_libreria[[#This Row],[valoracion_cliente]]="","Sin valoración",ventas_libreria[[#This Row],[valoracion_cliente]])</f>
        <v>2</v>
      </c>
    </row>
    <row r="1330" spans="1:18" x14ac:dyDescent="0.25">
      <c r="A1330" t="s">
        <v>1606</v>
      </c>
      <c r="B1330" t="s">
        <v>353</v>
      </c>
      <c r="C1330" t="s">
        <v>354</v>
      </c>
      <c r="D1330" t="s">
        <v>226</v>
      </c>
      <c r="E1330" t="s">
        <v>116</v>
      </c>
      <c r="F1330">
        <f>ventas_libreria[[#This Row],[precio_eur]]/100</f>
        <v>1.69</v>
      </c>
      <c r="G1330">
        <v>169</v>
      </c>
      <c r="H1330">
        <v>2</v>
      </c>
      <c r="I1330">
        <f>ventas_libreria[[#This Row],[precio]]*ventas_libreria[[#This Row],[cantidad]]</f>
        <v>3.38</v>
      </c>
      <c r="J1330">
        <v>31</v>
      </c>
      <c r="K1330" t="s">
        <v>30</v>
      </c>
      <c r="L1330" s="1">
        <v>45105</v>
      </c>
      <c r="M1330" t="s">
        <v>21</v>
      </c>
      <c r="N1330" t="s">
        <v>22</v>
      </c>
      <c r="O1330" t="s">
        <v>98</v>
      </c>
      <c r="P1330" t="s">
        <v>24</v>
      </c>
      <c r="Q1330">
        <v>5</v>
      </c>
      <c r="R1330">
        <f>IF(ventas_libreria[[#This Row],[valoracion_cliente]]="","Sin valoración",ventas_libreria[[#This Row],[valoracion_cliente]])</f>
        <v>5</v>
      </c>
    </row>
    <row r="1331" spans="1:18" x14ac:dyDescent="0.25">
      <c r="A1331" t="s">
        <v>1607</v>
      </c>
      <c r="B1331" t="s">
        <v>314</v>
      </c>
      <c r="C1331" t="s">
        <v>315</v>
      </c>
      <c r="D1331" t="s">
        <v>217</v>
      </c>
      <c r="E1331" t="s">
        <v>55</v>
      </c>
      <c r="F1331">
        <f>ventas_libreria[[#This Row],[precio_eur]]/100</f>
        <v>1.85</v>
      </c>
      <c r="G1331">
        <v>185</v>
      </c>
      <c r="H1331">
        <v>1</v>
      </c>
      <c r="I1331">
        <f>ventas_libreria[[#This Row],[precio]]*ventas_libreria[[#This Row],[cantidad]]</f>
        <v>1.85</v>
      </c>
      <c r="J1331">
        <v>74</v>
      </c>
      <c r="K1331" t="s">
        <v>30</v>
      </c>
      <c r="L1331" s="1">
        <v>45458</v>
      </c>
      <c r="M1331" t="s">
        <v>31</v>
      </c>
      <c r="N1331" t="s">
        <v>22</v>
      </c>
      <c r="O1331" t="s">
        <v>67</v>
      </c>
      <c r="P1331" t="s">
        <v>24</v>
      </c>
      <c r="Q1331">
        <v>2</v>
      </c>
      <c r="R1331">
        <f>IF(ventas_libreria[[#This Row],[valoracion_cliente]]="","Sin valoración",ventas_libreria[[#This Row],[valoracion_cliente]])</f>
        <v>2</v>
      </c>
    </row>
    <row r="1332" spans="1:18" x14ac:dyDescent="0.25">
      <c r="A1332" t="s">
        <v>1608</v>
      </c>
      <c r="B1332" t="s">
        <v>403</v>
      </c>
      <c r="C1332" t="s">
        <v>404</v>
      </c>
      <c r="D1332" t="s">
        <v>123</v>
      </c>
      <c r="E1332" t="s">
        <v>48</v>
      </c>
      <c r="F1332">
        <f>ventas_libreria[[#This Row],[precio_eur]]/100</f>
        <v>32.89</v>
      </c>
      <c r="G1332">
        <v>3289</v>
      </c>
      <c r="H1332">
        <v>1</v>
      </c>
      <c r="I1332">
        <f>ventas_libreria[[#This Row],[precio]]*ventas_libreria[[#This Row],[cantidad]]</f>
        <v>32.89</v>
      </c>
      <c r="J1332">
        <v>37</v>
      </c>
      <c r="K1332" t="s">
        <v>20</v>
      </c>
      <c r="L1332" s="1">
        <v>45323</v>
      </c>
      <c r="M1332" t="s">
        <v>43</v>
      </c>
      <c r="N1332" t="s">
        <v>32</v>
      </c>
      <c r="O1332" t="s">
        <v>33</v>
      </c>
      <c r="P1332" t="s">
        <v>56</v>
      </c>
      <c r="Q1332">
        <v>4</v>
      </c>
      <c r="R1332">
        <f>IF(ventas_libreria[[#This Row],[valoracion_cliente]]="","Sin valoración",ventas_libreria[[#This Row],[valoracion_cliente]])</f>
        <v>4</v>
      </c>
    </row>
    <row r="1333" spans="1:18" x14ac:dyDescent="0.25">
      <c r="A1333" t="s">
        <v>1609</v>
      </c>
      <c r="B1333" t="s">
        <v>353</v>
      </c>
      <c r="C1333" t="s">
        <v>354</v>
      </c>
      <c r="D1333" t="s">
        <v>226</v>
      </c>
      <c r="E1333" t="s">
        <v>116</v>
      </c>
      <c r="F1333">
        <f>ventas_libreria[[#This Row],[precio_eur]]/100</f>
        <v>15.21</v>
      </c>
      <c r="G1333">
        <v>1521</v>
      </c>
      <c r="H1333">
        <v>1</v>
      </c>
      <c r="I1333">
        <f>ventas_libreria[[#This Row],[precio]]*ventas_libreria[[#This Row],[cantidad]]</f>
        <v>15.21</v>
      </c>
      <c r="J1333">
        <v>49</v>
      </c>
      <c r="K1333" t="s">
        <v>20</v>
      </c>
      <c r="L1333" s="1">
        <v>45254</v>
      </c>
      <c r="M1333" t="s">
        <v>31</v>
      </c>
      <c r="N1333" t="s">
        <v>32</v>
      </c>
      <c r="O1333" t="s">
        <v>33</v>
      </c>
      <c r="P1333" t="s">
        <v>50</v>
      </c>
      <c r="Q1333">
        <v>4</v>
      </c>
      <c r="R1333">
        <f>IF(ventas_libreria[[#This Row],[valoracion_cliente]]="","Sin valoración",ventas_libreria[[#This Row],[valoracion_cliente]])</f>
        <v>4</v>
      </c>
    </row>
    <row r="1334" spans="1:18" x14ac:dyDescent="0.25">
      <c r="A1334" t="s">
        <v>1610</v>
      </c>
      <c r="B1334" t="s">
        <v>16</v>
      </c>
      <c r="C1334" t="s">
        <v>17</v>
      </c>
      <c r="D1334" t="s">
        <v>18</v>
      </c>
      <c r="E1334" t="s">
        <v>19</v>
      </c>
      <c r="F1334">
        <f>ventas_libreria[[#This Row],[precio_eur]]/100</f>
        <v>16.39</v>
      </c>
      <c r="G1334">
        <v>1639</v>
      </c>
      <c r="H1334">
        <v>2</v>
      </c>
      <c r="I1334">
        <f>ventas_libreria[[#This Row],[precio]]*ventas_libreria[[#This Row],[cantidad]]</f>
        <v>32.78</v>
      </c>
      <c r="J1334">
        <v>47</v>
      </c>
      <c r="K1334" t="s">
        <v>30</v>
      </c>
      <c r="L1334" s="1">
        <v>44932</v>
      </c>
      <c r="M1334" t="s">
        <v>43</v>
      </c>
      <c r="N1334" t="s">
        <v>32</v>
      </c>
      <c r="O1334" t="s">
        <v>33</v>
      </c>
      <c r="P1334" t="s">
        <v>24</v>
      </c>
      <c r="Q1334">
        <v>4</v>
      </c>
      <c r="R1334">
        <f>IF(ventas_libreria[[#This Row],[valoracion_cliente]]="","Sin valoración",ventas_libreria[[#This Row],[valoracion_cliente]])</f>
        <v>4</v>
      </c>
    </row>
    <row r="1335" spans="1:18" x14ac:dyDescent="0.25">
      <c r="A1335" t="s">
        <v>1611</v>
      </c>
      <c r="B1335" t="s">
        <v>530</v>
      </c>
      <c r="C1335" t="s">
        <v>531</v>
      </c>
      <c r="D1335" t="s">
        <v>195</v>
      </c>
      <c r="E1335" t="s">
        <v>48</v>
      </c>
      <c r="F1335">
        <f>ventas_libreria[[#This Row],[precio_eur]]/100</f>
        <v>20.89</v>
      </c>
      <c r="G1335">
        <v>2089</v>
      </c>
      <c r="H1335">
        <v>2</v>
      </c>
      <c r="I1335">
        <f>ventas_libreria[[#This Row],[precio]]*ventas_libreria[[#This Row],[cantidad]]</f>
        <v>41.78</v>
      </c>
      <c r="J1335">
        <v>46</v>
      </c>
      <c r="K1335" t="s">
        <v>30</v>
      </c>
      <c r="L1335" s="1">
        <v>45722</v>
      </c>
      <c r="M1335" t="s">
        <v>21</v>
      </c>
      <c r="N1335" t="s">
        <v>32</v>
      </c>
      <c r="O1335" t="s">
        <v>33</v>
      </c>
      <c r="P1335" t="s">
        <v>84</v>
      </c>
      <c r="R1335" t="str">
        <f>IF(ventas_libreria[[#This Row],[valoracion_cliente]]="","Sin valoración",ventas_libreria[[#This Row],[valoracion_cliente]])</f>
        <v>Sin valoración</v>
      </c>
    </row>
    <row r="1336" spans="1:18" x14ac:dyDescent="0.25">
      <c r="A1336" t="s">
        <v>1612</v>
      </c>
      <c r="B1336" t="s">
        <v>208</v>
      </c>
      <c r="C1336" t="s">
        <v>209</v>
      </c>
      <c r="D1336" t="s">
        <v>106</v>
      </c>
      <c r="E1336" t="s">
        <v>107</v>
      </c>
      <c r="F1336">
        <f>ventas_libreria[[#This Row],[precio_eur]]/100</f>
        <v>1.49</v>
      </c>
      <c r="G1336">
        <v>149</v>
      </c>
      <c r="H1336">
        <v>2</v>
      </c>
      <c r="I1336">
        <f>ventas_libreria[[#This Row],[precio]]*ventas_libreria[[#This Row],[cantidad]]</f>
        <v>2.98</v>
      </c>
      <c r="J1336">
        <v>15</v>
      </c>
      <c r="K1336" t="s">
        <v>38</v>
      </c>
      <c r="L1336" s="1">
        <v>46018</v>
      </c>
      <c r="M1336" t="s">
        <v>43</v>
      </c>
      <c r="N1336" t="s">
        <v>32</v>
      </c>
      <c r="O1336" t="s">
        <v>33</v>
      </c>
      <c r="P1336" t="s">
        <v>34</v>
      </c>
      <c r="Q1336">
        <v>3</v>
      </c>
      <c r="R1336">
        <f>IF(ventas_libreria[[#This Row],[valoracion_cliente]]="","Sin valoración",ventas_libreria[[#This Row],[valoracion_cliente]])</f>
        <v>3</v>
      </c>
    </row>
    <row r="1337" spans="1:18" x14ac:dyDescent="0.25">
      <c r="A1337" t="s">
        <v>1613</v>
      </c>
      <c r="B1337" t="s">
        <v>362</v>
      </c>
      <c r="C1337" t="s">
        <v>363</v>
      </c>
      <c r="D1337" t="s">
        <v>249</v>
      </c>
      <c r="E1337" t="s">
        <v>172</v>
      </c>
      <c r="F1337">
        <f>ventas_libreria[[#This Row],[precio_eur]]/100</f>
        <v>1.52</v>
      </c>
      <c r="G1337">
        <v>152</v>
      </c>
      <c r="H1337">
        <v>1</v>
      </c>
      <c r="I1337">
        <f>ventas_libreria[[#This Row],[precio]]*ventas_libreria[[#This Row],[cantidad]]</f>
        <v>1.52</v>
      </c>
      <c r="J1337">
        <v>31</v>
      </c>
      <c r="K1337" t="s">
        <v>62</v>
      </c>
      <c r="L1337" s="1">
        <v>45496</v>
      </c>
      <c r="M1337" t="s">
        <v>43</v>
      </c>
      <c r="N1337" t="s">
        <v>32</v>
      </c>
      <c r="O1337" t="s">
        <v>33</v>
      </c>
      <c r="P1337" t="s">
        <v>50</v>
      </c>
      <c r="Q1337">
        <v>1</v>
      </c>
      <c r="R1337">
        <f>IF(ventas_libreria[[#This Row],[valoracion_cliente]]="","Sin valoración",ventas_libreria[[#This Row],[valoracion_cliente]])</f>
        <v>1</v>
      </c>
    </row>
    <row r="1338" spans="1:18" x14ac:dyDescent="0.25">
      <c r="A1338" t="s">
        <v>1614</v>
      </c>
      <c r="B1338" t="s">
        <v>254</v>
      </c>
      <c r="C1338" t="s">
        <v>255</v>
      </c>
      <c r="D1338" t="s">
        <v>139</v>
      </c>
      <c r="E1338" t="s">
        <v>116</v>
      </c>
      <c r="F1338">
        <f>ventas_libreria[[#This Row],[precio_eur]]/100</f>
        <v>13.41</v>
      </c>
      <c r="G1338">
        <v>1341</v>
      </c>
      <c r="H1338">
        <v>1</v>
      </c>
      <c r="I1338">
        <f>ventas_libreria[[#This Row],[precio]]*ventas_libreria[[#This Row],[cantidad]]</f>
        <v>13.41</v>
      </c>
      <c r="J1338">
        <v>17</v>
      </c>
      <c r="K1338" t="s">
        <v>38</v>
      </c>
      <c r="L1338" s="1">
        <v>45436</v>
      </c>
      <c r="M1338" t="s">
        <v>21</v>
      </c>
      <c r="N1338" t="s">
        <v>22</v>
      </c>
      <c r="O1338" t="s">
        <v>67</v>
      </c>
      <c r="P1338" t="s">
        <v>56</v>
      </c>
      <c r="Q1338">
        <v>5</v>
      </c>
      <c r="R1338">
        <f>IF(ventas_libreria[[#This Row],[valoracion_cliente]]="","Sin valoración",ventas_libreria[[#This Row],[valoracion_cliente]])</f>
        <v>5</v>
      </c>
    </row>
    <row r="1339" spans="1:18" x14ac:dyDescent="0.25">
      <c r="A1339" t="s">
        <v>1615</v>
      </c>
      <c r="B1339" t="s">
        <v>318</v>
      </c>
      <c r="C1339" t="s">
        <v>319</v>
      </c>
      <c r="D1339" t="s">
        <v>167</v>
      </c>
      <c r="E1339" t="s">
        <v>61</v>
      </c>
      <c r="F1339">
        <f>ventas_libreria[[#This Row],[precio_eur]]/100</f>
        <v>20.79</v>
      </c>
      <c r="G1339">
        <v>2079</v>
      </c>
      <c r="H1339">
        <v>2</v>
      </c>
      <c r="I1339">
        <f>ventas_libreria[[#This Row],[precio]]*ventas_libreria[[#This Row],[cantidad]]</f>
        <v>41.58</v>
      </c>
      <c r="J1339">
        <v>65</v>
      </c>
      <c r="K1339" t="s">
        <v>38</v>
      </c>
      <c r="L1339" s="1">
        <v>45332</v>
      </c>
      <c r="M1339" t="s">
        <v>31</v>
      </c>
      <c r="N1339" t="s">
        <v>22</v>
      </c>
      <c r="O1339" t="s">
        <v>23</v>
      </c>
      <c r="P1339" t="s">
        <v>50</v>
      </c>
      <c r="Q1339">
        <v>5</v>
      </c>
      <c r="R1339">
        <f>IF(ventas_libreria[[#This Row],[valoracion_cliente]]="","Sin valoración",ventas_libreria[[#This Row],[valoracion_cliente]])</f>
        <v>5</v>
      </c>
    </row>
    <row r="1340" spans="1:18" x14ac:dyDescent="0.25">
      <c r="A1340" t="s">
        <v>1616</v>
      </c>
      <c r="B1340" t="s">
        <v>52</v>
      </c>
      <c r="C1340" t="s">
        <v>53</v>
      </c>
      <c r="D1340" t="s">
        <v>54</v>
      </c>
      <c r="E1340" t="s">
        <v>55</v>
      </c>
      <c r="F1340">
        <f>ventas_libreria[[#This Row],[precio_eur]]/100</f>
        <v>11.25</v>
      </c>
      <c r="G1340">
        <v>1125</v>
      </c>
      <c r="H1340">
        <v>1</v>
      </c>
      <c r="I1340">
        <f>ventas_libreria[[#This Row],[precio]]*ventas_libreria[[#This Row],[cantidad]]</f>
        <v>11.25</v>
      </c>
      <c r="J1340">
        <v>57</v>
      </c>
      <c r="K1340" t="s">
        <v>38</v>
      </c>
      <c r="L1340" s="1">
        <v>45853</v>
      </c>
      <c r="M1340" t="s">
        <v>43</v>
      </c>
      <c r="N1340" t="s">
        <v>32</v>
      </c>
      <c r="O1340" t="s">
        <v>33</v>
      </c>
      <c r="P1340" t="s">
        <v>84</v>
      </c>
      <c r="Q1340">
        <v>4</v>
      </c>
      <c r="R1340">
        <f>IF(ventas_libreria[[#This Row],[valoracion_cliente]]="","Sin valoración",ventas_libreria[[#This Row],[valoracion_cliente]])</f>
        <v>4</v>
      </c>
    </row>
    <row r="1341" spans="1:18" x14ac:dyDescent="0.25">
      <c r="A1341" t="s">
        <v>1617</v>
      </c>
      <c r="B1341" t="s">
        <v>353</v>
      </c>
      <c r="C1341" t="s">
        <v>354</v>
      </c>
      <c r="D1341" t="s">
        <v>226</v>
      </c>
      <c r="E1341" t="s">
        <v>116</v>
      </c>
      <c r="F1341">
        <f>ventas_libreria[[#This Row],[precio_eur]]/100</f>
        <v>1.69</v>
      </c>
      <c r="G1341">
        <v>169</v>
      </c>
      <c r="H1341">
        <v>2</v>
      </c>
      <c r="I1341">
        <f>ventas_libreria[[#This Row],[precio]]*ventas_libreria[[#This Row],[cantidad]]</f>
        <v>3.38</v>
      </c>
      <c r="J1341">
        <v>29</v>
      </c>
      <c r="K1341" t="s">
        <v>30</v>
      </c>
      <c r="L1341" s="1">
        <v>45869</v>
      </c>
      <c r="M1341" t="s">
        <v>21</v>
      </c>
      <c r="N1341" t="s">
        <v>22</v>
      </c>
      <c r="O1341" t="s">
        <v>49</v>
      </c>
      <c r="P1341" t="s">
        <v>34</v>
      </c>
      <c r="Q1341">
        <v>5</v>
      </c>
      <c r="R1341">
        <f>IF(ventas_libreria[[#This Row],[valoracion_cliente]]="","Sin valoración",ventas_libreria[[#This Row],[valoracion_cliente]])</f>
        <v>5</v>
      </c>
    </row>
    <row r="1342" spans="1:18" x14ac:dyDescent="0.25">
      <c r="A1342" t="s">
        <v>1618</v>
      </c>
      <c r="B1342" t="s">
        <v>16</v>
      </c>
      <c r="C1342" t="s">
        <v>17</v>
      </c>
      <c r="D1342" t="s">
        <v>18</v>
      </c>
      <c r="E1342" t="s">
        <v>19</v>
      </c>
      <c r="F1342">
        <f>ventas_libreria[[#This Row],[precio_eur]]/100</f>
        <v>13.41</v>
      </c>
      <c r="G1342">
        <v>1341</v>
      </c>
      <c r="H1342">
        <v>2</v>
      </c>
      <c r="I1342">
        <f>ventas_libreria[[#This Row],[precio]]*ventas_libreria[[#This Row],[cantidad]]</f>
        <v>26.82</v>
      </c>
      <c r="J1342">
        <v>47</v>
      </c>
      <c r="K1342" t="s">
        <v>62</v>
      </c>
      <c r="L1342" s="1">
        <v>45721</v>
      </c>
      <c r="M1342" t="s">
        <v>31</v>
      </c>
      <c r="N1342" t="s">
        <v>22</v>
      </c>
      <c r="O1342" t="s">
        <v>132</v>
      </c>
      <c r="P1342" t="s">
        <v>24</v>
      </c>
      <c r="Q1342">
        <v>5</v>
      </c>
      <c r="R1342">
        <f>IF(ventas_libreria[[#This Row],[valoracion_cliente]]="","Sin valoración",ventas_libreria[[#This Row],[valoracion_cliente]])</f>
        <v>5</v>
      </c>
    </row>
    <row r="1343" spans="1:18" x14ac:dyDescent="0.25">
      <c r="A1343" t="s">
        <v>1619</v>
      </c>
      <c r="B1343" t="s">
        <v>186</v>
      </c>
      <c r="C1343" t="s">
        <v>187</v>
      </c>
      <c r="D1343" t="s">
        <v>188</v>
      </c>
      <c r="E1343" t="s">
        <v>189</v>
      </c>
      <c r="F1343">
        <f>ventas_libreria[[#This Row],[precio_eur]]/100</f>
        <v>21.89</v>
      </c>
      <c r="G1343">
        <v>2189</v>
      </c>
      <c r="H1343">
        <v>3</v>
      </c>
      <c r="I1343">
        <f>ventas_libreria[[#This Row],[precio]]*ventas_libreria[[#This Row],[cantidad]]</f>
        <v>65.67</v>
      </c>
      <c r="J1343">
        <v>29</v>
      </c>
      <c r="K1343" t="s">
        <v>20</v>
      </c>
      <c r="L1343" s="1">
        <v>44932</v>
      </c>
      <c r="M1343" t="s">
        <v>43</v>
      </c>
      <c r="N1343" t="s">
        <v>32</v>
      </c>
      <c r="O1343" t="s">
        <v>33</v>
      </c>
      <c r="P1343" t="s">
        <v>24</v>
      </c>
      <c r="Q1343">
        <v>5</v>
      </c>
      <c r="R1343">
        <f>IF(ventas_libreria[[#This Row],[valoracion_cliente]]="","Sin valoración",ventas_libreria[[#This Row],[valoracion_cliente]])</f>
        <v>5</v>
      </c>
    </row>
    <row r="1344" spans="1:18" x14ac:dyDescent="0.25">
      <c r="A1344" t="s">
        <v>1620</v>
      </c>
      <c r="B1344" t="s">
        <v>375</v>
      </c>
      <c r="C1344" t="s">
        <v>376</v>
      </c>
      <c r="D1344" t="s">
        <v>377</v>
      </c>
      <c r="E1344" t="s">
        <v>29</v>
      </c>
      <c r="F1344">
        <f>ventas_libreria[[#This Row],[precio_eur]]/100</f>
        <v>1.67</v>
      </c>
      <c r="G1344">
        <v>167</v>
      </c>
      <c r="H1344">
        <v>1</v>
      </c>
      <c r="I1344">
        <f>ventas_libreria[[#This Row],[precio]]*ventas_libreria[[#This Row],[cantidad]]</f>
        <v>1.67</v>
      </c>
      <c r="J1344">
        <v>65</v>
      </c>
      <c r="K1344" t="s">
        <v>20</v>
      </c>
      <c r="L1344" s="1">
        <v>45304</v>
      </c>
      <c r="M1344" t="s">
        <v>43</v>
      </c>
      <c r="N1344" t="s">
        <v>32</v>
      </c>
      <c r="O1344" t="s">
        <v>33</v>
      </c>
      <c r="P1344" t="s">
        <v>84</v>
      </c>
      <c r="Q1344">
        <v>4</v>
      </c>
      <c r="R1344">
        <f>IF(ventas_libreria[[#This Row],[valoracion_cliente]]="","Sin valoración",ventas_libreria[[#This Row],[valoracion_cliente]])</f>
        <v>4</v>
      </c>
    </row>
    <row r="1345" spans="1:18" x14ac:dyDescent="0.25">
      <c r="A1345" t="s">
        <v>1621</v>
      </c>
      <c r="B1345" t="s">
        <v>193</v>
      </c>
      <c r="C1345" t="s">
        <v>194</v>
      </c>
      <c r="D1345" t="s">
        <v>195</v>
      </c>
      <c r="E1345" t="s">
        <v>48</v>
      </c>
      <c r="F1345">
        <f>ventas_libreria[[#This Row],[precio_eur]]/100</f>
        <v>15.92</v>
      </c>
      <c r="G1345">
        <v>1592</v>
      </c>
      <c r="H1345">
        <v>1</v>
      </c>
      <c r="I1345">
        <f>ventas_libreria[[#This Row],[precio]]*ventas_libreria[[#This Row],[cantidad]]</f>
        <v>15.92</v>
      </c>
      <c r="J1345">
        <v>73</v>
      </c>
      <c r="K1345" t="s">
        <v>38</v>
      </c>
      <c r="L1345" s="1">
        <v>45814</v>
      </c>
      <c r="M1345" t="s">
        <v>21</v>
      </c>
      <c r="N1345" t="s">
        <v>22</v>
      </c>
      <c r="O1345" t="s">
        <v>98</v>
      </c>
      <c r="P1345" t="s">
        <v>34</v>
      </c>
      <c r="Q1345">
        <v>5</v>
      </c>
      <c r="R1345">
        <f>IF(ventas_libreria[[#This Row],[valoracion_cliente]]="","Sin valoración",ventas_libreria[[#This Row],[valoracion_cliente]])</f>
        <v>5</v>
      </c>
    </row>
    <row r="1346" spans="1:18" x14ac:dyDescent="0.25">
      <c r="A1346" t="s">
        <v>1622</v>
      </c>
      <c r="B1346" t="s">
        <v>208</v>
      </c>
      <c r="C1346" t="s">
        <v>209</v>
      </c>
      <c r="D1346" t="s">
        <v>106</v>
      </c>
      <c r="E1346" t="s">
        <v>107</v>
      </c>
      <c r="F1346">
        <f>ventas_libreria[[#This Row],[precio_eur]]/100</f>
        <v>1.49</v>
      </c>
      <c r="G1346">
        <v>149</v>
      </c>
      <c r="H1346">
        <v>2</v>
      </c>
      <c r="I1346">
        <f>ventas_libreria[[#This Row],[precio]]*ventas_libreria[[#This Row],[cantidad]]</f>
        <v>2.98</v>
      </c>
      <c r="J1346">
        <v>15</v>
      </c>
      <c r="K1346" t="s">
        <v>38</v>
      </c>
      <c r="L1346" s="1">
        <v>45344</v>
      </c>
      <c r="M1346" t="s">
        <v>43</v>
      </c>
      <c r="N1346" t="s">
        <v>32</v>
      </c>
      <c r="O1346" t="s">
        <v>33</v>
      </c>
      <c r="P1346" t="s">
        <v>56</v>
      </c>
      <c r="Q1346">
        <v>5</v>
      </c>
      <c r="R1346">
        <f>IF(ventas_libreria[[#This Row],[valoracion_cliente]]="","Sin valoración",ventas_libreria[[#This Row],[valoracion_cliente]])</f>
        <v>5</v>
      </c>
    </row>
    <row r="1347" spans="1:18" x14ac:dyDescent="0.25">
      <c r="A1347" t="s">
        <v>1623</v>
      </c>
      <c r="B1347" t="s">
        <v>215</v>
      </c>
      <c r="C1347" t="s">
        <v>216</v>
      </c>
      <c r="D1347" t="s">
        <v>217</v>
      </c>
      <c r="E1347" t="s">
        <v>55</v>
      </c>
      <c r="F1347">
        <f>ventas_libreria[[#This Row],[precio_eur]]/100</f>
        <v>1.48</v>
      </c>
      <c r="G1347">
        <v>148</v>
      </c>
      <c r="H1347">
        <v>1</v>
      </c>
      <c r="I1347">
        <f>ventas_libreria[[#This Row],[precio]]*ventas_libreria[[#This Row],[cantidad]]</f>
        <v>1.48</v>
      </c>
      <c r="J1347">
        <v>36</v>
      </c>
      <c r="K1347" t="s">
        <v>62</v>
      </c>
      <c r="L1347" s="1">
        <v>45020</v>
      </c>
      <c r="M1347" t="s">
        <v>31</v>
      </c>
      <c r="N1347" t="s">
        <v>32</v>
      </c>
      <c r="O1347" t="s">
        <v>33</v>
      </c>
      <c r="P1347" t="s">
        <v>56</v>
      </c>
      <c r="Q1347">
        <v>5</v>
      </c>
      <c r="R1347">
        <f>IF(ventas_libreria[[#This Row],[valoracion_cliente]]="","Sin valoración",ventas_libreria[[#This Row],[valoracion_cliente]])</f>
        <v>5</v>
      </c>
    </row>
    <row r="1348" spans="1:18" x14ac:dyDescent="0.25">
      <c r="A1348" t="s">
        <v>1624</v>
      </c>
      <c r="B1348" t="s">
        <v>437</v>
      </c>
      <c r="C1348" t="s">
        <v>438</v>
      </c>
      <c r="D1348" t="s">
        <v>178</v>
      </c>
      <c r="E1348" t="s">
        <v>55</v>
      </c>
      <c r="F1348">
        <f>ventas_libreria[[#This Row],[precio_eur]]/100</f>
        <v>1.79</v>
      </c>
      <c r="G1348">
        <v>179</v>
      </c>
      <c r="H1348">
        <v>2</v>
      </c>
      <c r="I1348">
        <f>ventas_libreria[[#This Row],[precio]]*ventas_libreria[[#This Row],[cantidad]]</f>
        <v>3.58</v>
      </c>
      <c r="J1348">
        <v>72</v>
      </c>
      <c r="K1348" t="s">
        <v>20</v>
      </c>
      <c r="L1348" s="1">
        <v>45148</v>
      </c>
      <c r="M1348" t="s">
        <v>21</v>
      </c>
      <c r="N1348" t="s">
        <v>22</v>
      </c>
      <c r="O1348" t="s">
        <v>49</v>
      </c>
      <c r="P1348" t="s">
        <v>34</v>
      </c>
      <c r="Q1348">
        <v>5</v>
      </c>
      <c r="R1348">
        <f>IF(ventas_libreria[[#This Row],[valoracion_cliente]]="","Sin valoración",ventas_libreria[[#This Row],[valoracion_cliente]])</f>
        <v>5</v>
      </c>
    </row>
    <row r="1349" spans="1:18" x14ac:dyDescent="0.25">
      <c r="A1349" t="s">
        <v>1625</v>
      </c>
      <c r="B1349" t="s">
        <v>52</v>
      </c>
      <c r="C1349" t="s">
        <v>53</v>
      </c>
      <c r="D1349" t="s">
        <v>54</v>
      </c>
      <c r="E1349" t="s">
        <v>55</v>
      </c>
      <c r="F1349">
        <f>ventas_libreria[[#This Row],[precio_eur]]/100</f>
        <v>1.25</v>
      </c>
      <c r="G1349">
        <v>125</v>
      </c>
      <c r="H1349">
        <v>4</v>
      </c>
      <c r="I1349">
        <f>ventas_libreria[[#This Row],[precio]]*ventas_libreria[[#This Row],[cantidad]]</f>
        <v>5</v>
      </c>
      <c r="J1349">
        <v>25</v>
      </c>
      <c r="K1349" t="s">
        <v>30</v>
      </c>
      <c r="L1349" s="1">
        <v>45828</v>
      </c>
      <c r="M1349" t="s">
        <v>21</v>
      </c>
      <c r="N1349" t="s">
        <v>22</v>
      </c>
      <c r="O1349" t="s">
        <v>67</v>
      </c>
      <c r="P1349" t="s">
        <v>24</v>
      </c>
      <c r="Q1349">
        <v>3</v>
      </c>
      <c r="R1349">
        <f>IF(ventas_libreria[[#This Row],[valoracion_cliente]]="","Sin valoración",ventas_libreria[[#This Row],[valoracion_cliente]])</f>
        <v>3</v>
      </c>
    </row>
    <row r="1350" spans="1:18" x14ac:dyDescent="0.25">
      <c r="A1350" t="s">
        <v>1626</v>
      </c>
      <c r="B1350" t="s">
        <v>365</v>
      </c>
      <c r="C1350" t="s">
        <v>366</v>
      </c>
      <c r="D1350" t="s">
        <v>367</v>
      </c>
      <c r="E1350" t="s">
        <v>19</v>
      </c>
      <c r="F1350">
        <f>ventas_libreria[[#This Row],[precio_eur]]/100</f>
        <v>17.010000000000002</v>
      </c>
      <c r="G1350">
        <v>1701</v>
      </c>
      <c r="H1350">
        <v>1</v>
      </c>
      <c r="I1350">
        <f>ventas_libreria[[#This Row],[precio]]*ventas_libreria[[#This Row],[cantidad]]</f>
        <v>17.010000000000002</v>
      </c>
      <c r="J1350">
        <v>24</v>
      </c>
      <c r="K1350" t="s">
        <v>20</v>
      </c>
      <c r="L1350" s="1">
        <v>45561</v>
      </c>
      <c r="M1350" t="s">
        <v>31</v>
      </c>
      <c r="N1350" t="s">
        <v>22</v>
      </c>
      <c r="O1350" t="s">
        <v>132</v>
      </c>
      <c r="P1350" t="s">
        <v>56</v>
      </c>
      <c r="R1350" t="str">
        <f>IF(ventas_libreria[[#This Row],[valoracion_cliente]]="","Sin valoración",ventas_libreria[[#This Row],[valoracion_cliente]])</f>
        <v>Sin valoración</v>
      </c>
    </row>
    <row r="1351" spans="1:18" x14ac:dyDescent="0.25">
      <c r="A1351" t="s">
        <v>1627</v>
      </c>
      <c r="B1351" t="s">
        <v>291</v>
      </c>
      <c r="C1351" t="s">
        <v>292</v>
      </c>
      <c r="D1351" t="s">
        <v>76</v>
      </c>
      <c r="E1351" t="s">
        <v>77</v>
      </c>
      <c r="F1351">
        <f>ventas_libreria[[#This Row],[precio_eur]]/100</f>
        <v>10.89</v>
      </c>
      <c r="G1351">
        <v>1089</v>
      </c>
      <c r="H1351">
        <v>1</v>
      </c>
      <c r="I1351">
        <f>ventas_libreria[[#This Row],[precio]]*ventas_libreria[[#This Row],[cantidad]]</f>
        <v>10.89</v>
      </c>
      <c r="J1351">
        <v>11</v>
      </c>
      <c r="K1351" t="s">
        <v>30</v>
      </c>
      <c r="L1351" s="1">
        <v>45695</v>
      </c>
      <c r="M1351" t="s">
        <v>21</v>
      </c>
      <c r="N1351" t="s">
        <v>32</v>
      </c>
      <c r="O1351" t="s">
        <v>33</v>
      </c>
      <c r="P1351" t="s">
        <v>84</v>
      </c>
      <c r="Q1351">
        <v>5</v>
      </c>
      <c r="R1351">
        <f>IF(ventas_libreria[[#This Row],[valoracion_cliente]]="","Sin valoración",ventas_libreria[[#This Row],[valoracion_cliente]])</f>
        <v>5</v>
      </c>
    </row>
    <row r="1352" spans="1:18" x14ac:dyDescent="0.25">
      <c r="A1352" t="s">
        <v>1628</v>
      </c>
      <c r="B1352" t="s">
        <v>40</v>
      </c>
      <c r="C1352" t="s">
        <v>41</v>
      </c>
      <c r="D1352" t="s">
        <v>42</v>
      </c>
      <c r="E1352" t="s">
        <v>19</v>
      </c>
      <c r="F1352">
        <f>ventas_libreria[[#This Row],[precio_eur]]/100</f>
        <v>11.61</v>
      </c>
      <c r="G1352">
        <v>1161</v>
      </c>
      <c r="H1352">
        <v>1</v>
      </c>
      <c r="I1352">
        <f>ventas_libreria[[#This Row],[precio]]*ventas_libreria[[#This Row],[cantidad]]</f>
        <v>11.61</v>
      </c>
      <c r="J1352">
        <v>60</v>
      </c>
      <c r="K1352" t="s">
        <v>30</v>
      </c>
      <c r="L1352" s="1">
        <v>45764</v>
      </c>
      <c r="M1352" t="s">
        <v>31</v>
      </c>
      <c r="N1352" t="s">
        <v>32</v>
      </c>
      <c r="O1352" t="s">
        <v>33</v>
      </c>
      <c r="P1352" t="s">
        <v>84</v>
      </c>
      <c r="Q1352">
        <v>5</v>
      </c>
      <c r="R1352">
        <f>IF(ventas_libreria[[#This Row],[valoracion_cliente]]="","Sin valoración",ventas_libreria[[#This Row],[valoracion_cliente]])</f>
        <v>5</v>
      </c>
    </row>
    <row r="1353" spans="1:18" x14ac:dyDescent="0.25">
      <c r="A1353" t="s">
        <v>1629</v>
      </c>
      <c r="B1353" t="s">
        <v>169</v>
      </c>
      <c r="C1353" t="s">
        <v>170</v>
      </c>
      <c r="D1353" t="s">
        <v>171</v>
      </c>
      <c r="E1353" t="s">
        <v>172</v>
      </c>
      <c r="F1353">
        <f>ventas_libreria[[#This Row],[precio_eur]]/100</f>
        <v>20.61</v>
      </c>
      <c r="G1353">
        <v>2061</v>
      </c>
      <c r="H1353">
        <v>1</v>
      </c>
      <c r="I1353">
        <f>ventas_libreria[[#This Row],[precio]]*ventas_libreria[[#This Row],[cantidad]]</f>
        <v>20.61</v>
      </c>
      <c r="J1353">
        <v>63</v>
      </c>
      <c r="K1353" t="s">
        <v>38</v>
      </c>
      <c r="L1353" s="1">
        <v>45750</v>
      </c>
      <c r="M1353" t="s">
        <v>31</v>
      </c>
      <c r="N1353" t="s">
        <v>32</v>
      </c>
      <c r="O1353" t="s">
        <v>33</v>
      </c>
      <c r="P1353" t="s">
        <v>24</v>
      </c>
      <c r="R1353" t="str">
        <f>IF(ventas_libreria[[#This Row],[valoracion_cliente]]="","Sin valoración",ventas_libreria[[#This Row],[valoracion_cliente]])</f>
        <v>Sin valoración</v>
      </c>
    </row>
    <row r="1354" spans="1:18" x14ac:dyDescent="0.25">
      <c r="A1354" t="s">
        <v>1630</v>
      </c>
      <c r="B1354" t="s">
        <v>91</v>
      </c>
      <c r="C1354" t="s">
        <v>92</v>
      </c>
      <c r="D1354" t="s">
        <v>93</v>
      </c>
      <c r="E1354" t="s">
        <v>72</v>
      </c>
      <c r="F1354">
        <f>ventas_libreria[[#This Row],[precio_eur]]/100</f>
        <v>15.29</v>
      </c>
      <c r="G1354">
        <v>1529</v>
      </c>
      <c r="H1354">
        <v>3</v>
      </c>
      <c r="I1354">
        <f>ventas_libreria[[#This Row],[precio]]*ventas_libreria[[#This Row],[cantidad]]</f>
        <v>45.87</v>
      </c>
      <c r="J1354">
        <v>61</v>
      </c>
      <c r="K1354" t="s">
        <v>62</v>
      </c>
      <c r="L1354" s="1">
        <v>45687</v>
      </c>
      <c r="M1354" t="s">
        <v>43</v>
      </c>
      <c r="N1354" t="s">
        <v>32</v>
      </c>
      <c r="O1354" t="s">
        <v>33</v>
      </c>
      <c r="P1354" t="s">
        <v>50</v>
      </c>
      <c r="Q1354">
        <v>4</v>
      </c>
      <c r="R1354">
        <f>IF(ventas_libreria[[#This Row],[valoracion_cliente]]="","Sin valoración",ventas_libreria[[#This Row],[valoracion_cliente]])</f>
        <v>4</v>
      </c>
    </row>
    <row r="1355" spans="1:18" x14ac:dyDescent="0.25">
      <c r="A1355" t="s">
        <v>1631</v>
      </c>
      <c r="B1355" t="s">
        <v>413</v>
      </c>
      <c r="C1355" t="s">
        <v>414</v>
      </c>
      <c r="D1355" t="s">
        <v>270</v>
      </c>
      <c r="E1355" t="s">
        <v>415</v>
      </c>
      <c r="F1355">
        <f>ventas_libreria[[#This Row],[precio_eur]]/100</f>
        <v>8.91</v>
      </c>
      <c r="G1355">
        <v>891</v>
      </c>
      <c r="H1355">
        <v>2</v>
      </c>
      <c r="I1355">
        <f>ventas_libreria[[#This Row],[precio]]*ventas_libreria[[#This Row],[cantidad]]</f>
        <v>17.82</v>
      </c>
      <c r="J1355">
        <v>31</v>
      </c>
      <c r="K1355" t="s">
        <v>20</v>
      </c>
      <c r="L1355" s="1">
        <v>45777</v>
      </c>
      <c r="M1355" t="s">
        <v>43</v>
      </c>
      <c r="N1355" t="s">
        <v>32</v>
      </c>
      <c r="O1355" t="s">
        <v>33</v>
      </c>
      <c r="P1355" t="s">
        <v>34</v>
      </c>
      <c r="Q1355">
        <v>4</v>
      </c>
      <c r="R1355">
        <f>IF(ventas_libreria[[#This Row],[valoracion_cliente]]="","Sin valoración",ventas_libreria[[#This Row],[valoracion_cliente]])</f>
        <v>4</v>
      </c>
    </row>
    <row r="1356" spans="1:18" x14ac:dyDescent="0.25">
      <c r="A1356" t="s">
        <v>1632</v>
      </c>
      <c r="B1356" t="s">
        <v>211</v>
      </c>
      <c r="C1356" t="s">
        <v>212</v>
      </c>
      <c r="D1356" t="s">
        <v>131</v>
      </c>
      <c r="E1356" t="s">
        <v>107</v>
      </c>
      <c r="F1356">
        <f>ventas_libreria[[#This Row],[precio_eur]]/100</f>
        <v>14.36</v>
      </c>
      <c r="G1356">
        <v>1436</v>
      </c>
      <c r="H1356">
        <v>1</v>
      </c>
      <c r="I1356">
        <f>ventas_libreria[[#This Row],[precio]]*ventas_libreria[[#This Row],[cantidad]]</f>
        <v>14.36</v>
      </c>
      <c r="J1356">
        <v>12</v>
      </c>
      <c r="K1356" t="s">
        <v>62</v>
      </c>
      <c r="L1356" s="1">
        <v>45271</v>
      </c>
      <c r="M1356" t="s">
        <v>43</v>
      </c>
      <c r="N1356" t="s">
        <v>32</v>
      </c>
      <c r="O1356" t="s">
        <v>33</v>
      </c>
      <c r="P1356" t="s">
        <v>50</v>
      </c>
      <c r="Q1356">
        <v>5</v>
      </c>
      <c r="R1356">
        <f>IF(ventas_libreria[[#This Row],[valoracion_cliente]]="","Sin valoración",ventas_libreria[[#This Row],[valoracion_cliente]])</f>
        <v>5</v>
      </c>
    </row>
    <row r="1357" spans="1:18" x14ac:dyDescent="0.25">
      <c r="A1357" t="s">
        <v>1633</v>
      </c>
      <c r="B1357" t="s">
        <v>466</v>
      </c>
      <c r="C1357" t="s">
        <v>467</v>
      </c>
      <c r="D1357" t="s">
        <v>468</v>
      </c>
      <c r="E1357" t="s">
        <v>154</v>
      </c>
      <c r="F1357">
        <f>ventas_libreria[[#This Row],[precio_eur]]/100</f>
        <v>1.89</v>
      </c>
      <c r="G1357">
        <v>189</v>
      </c>
      <c r="H1357">
        <v>1</v>
      </c>
      <c r="I1357">
        <f>ventas_libreria[[#This Row],[precio]]*ventas_libreria[[#This Row],[cantidad]]</f>
        <v>1.89</v>
      </c>
      <c r="J1357">
        <v>38</v>
      </c>
      <c r="K1357" t="s">
        <v>20</v>
      </c>
      <c r="L1357" s="1">
        <v>45976</v>
      </c>
      <c r="M1357" t="s">
        <v>43</v>
      </c>
      <c r="N1357" t="s">
        <v>32</v>
      </c>
      <c r="O1357" t="s">
        <v>33</v>
      </c>
      <c r="P1357" t="s">
        <v>24</v>
      </c>
      <c r="Q1357">
        <v>3</v>
      </c>
      <c r="R1357">
        <f>IF(ventas_libreria[[#This Row],[valoracion_cliente]]="","Sin valoración",ventas_libreria[[#This Row],[valoracion_cliente]])</f>
        <v>3</v>
      </c>
    </row>
    <row r="1358" spans="1:18" x14ac:dyDescent="0.25">
      <c r="A1358" t="s">
        <v>1634</v>
      </c>
      <c r="B1358" t="s">
        <v>260</v>
      </c>
      <c r="C1358" t="s">
        <v>261</v>
      </c>
      <c r="D1358" t="s">
        <v>262</v>
      </c>
      <c r="E1358" t="s">
        <v>263</v>
      </c>
      <c r="F1358">
        <f>ventas_libreria[[#This Row],[precio_eur]]/100</f>
        <v>2.2999999999999998</v>
      </c>
      <c r="G1358">
        <v>230</v>
      </c>
      <c r="H1358">
        <v>1</v>
      </c>
      <c r="I1358">
        <f>ventas_libreria[[#This Row],[precio]]*ventas_libreria[[#This Row],[cantidad]]</f>
        <v>2.2999999999999998</v>
      </c>
      <c r="J1358">
        <v>61</v>
      </c>
      <c r="K1358" t="s">
        <v>20</v>
      </c>
      <c r="L1358" s="1">
        <v>45917</v>
      </c>
      <c r="M1358" t="s">
        <v>43</v>
      </c>
      <c r="N1358" t="s">
        <v>32</v>
      </c>
      <c r="O1358" t="s">
        <v>33</v>
      </c>
      <c r="P1358" t="s">
        <v>84</v>
      </c>
      <c r="Q1358">
        <v>4</v>
      </c>
      <c r="R1358">
        <f>IF(ventas_libreria[[#This Row],[valoracion_cliente]]="","Sin valoración",ventas_libreria[[#This Row],[valoracion_cliente]])</f>
        <v>4</v>
      </c>
    </row>
    <row r="1359" spans="1:18" x14ac:dyDescent="0.25">
      <c r="A1359" t="s">
        <v>1635</v>
      </c>
      <c r="B1359" t="s">
        <v>208</v>
      </c>
      <c r="C1359" t="s">
        <v>209</v>
      </c>
      <c r="D1359" t="s">
        <v>106</v>
      </c>
      <c r="E1359" t="s">
        <v>107</v>
      </c>
      <c r="F1359">
        <f>ventas_libreria[[#This Row],[precio_eur]]/100</f>
        <v>13.41</v>
      </c>
      <c r="G1359">
        <v>1341</v>
      </c>
      <c r="H1359">
        <v>1</v>
      </c>
      <c r="I1359">
        <f>ventas_libreria[[#This Row],[precio]]*ventas_libreria[[#This Row],[cantidad]]</f>
        <v>13.41</v>
      </c>
      <c r="J1359">
        <v>22</v>
      </c>
      <c r="K1359" t="s">
        <v>30</v>
      </c>
      <c r="L1359" s="1">
        <v>45527</v>
      </c>
      <c r="M1359" t="s">
        <v>43</v>
      </c>
      <c r="N1359" t="s">
        <v>32</v>
      </c>
      <c r="O1359" t="s">
        <v>33</v>
      </c>
      <c r="P1359" t="s">
        <v>56</v>
      </c>
      <c r="Q1359">
        <v>3</v>
      </c>
      <c r="R1359">
        <f>IF(ventas_libreria[[#This Row],[valoracion_cliente]]="","Sin valoración",ventas_libreria[[#This Row],[valoracion_cliente]])</f>
        <v>3</v>
      </c>
    </row>
    <row r="1360" spans="1:18" x14ac:dyDescent="0.25">
      <c r="A1360" t="s">
        <v>1636</v>
      </c>
      <c r="B1360" t="s">
        <v>58</v>
      </c>
      <c r="C1360" t="s">
        <v>59</v>
      </c>
      <c r="D1360" t="s">
        <v>60</v>
      </c>
      <c r="E1360" t="s">
        <v>61</v>
      </c>
      <c r="F1360">
        <f>ventas_libreria[[#This Row],[precio_eur]]/100</f>
        <v>1.29</v>
      </c>
      <c r="G1360">
        <v>129</v>
      </c>
      <c r="H1360">
        <v>1</v>
      </c>
      <c r="I1360">
        <f>ventas_libreria[[#This Row],[precio]]*ventas_libreria[[#This Row],[cantidad]]</f>
        <v>1.29</v>
      </c>
      <c r="J1360">
        <v>41</v>
      </c>
      <c r="K1360" t="s">
        <v>20</v>
      </c>
      <c r="L1360" s="1">
        <v>45217</v>
      </c>
      <c r="M1360" t="s">
        <v>43</v>
      </c>
      <c r="N1360" t="s">
        <v>32</v>
      </c>
      <c r="O1360" t="s">
        <v>33</v>
      </c>
      <c r="P1360" t="s">
        <v>24</v>
      </c>
      <c r="Q1360">
        <v>5</v>
      </c>
      <c r="R1360">
        <f>IF(ventas_libreria[[#This Row],[valoracion_cliente]]="","Sin valoración",ventas_libreria[[#This Row],[valoracion_cliente]])</f>
        <v>5</v>
      </c>
    </row>
    <row r="1361" spans="1:18" x14ac:dyDescent="0.25">
      <c r="A1361" t="s">
        <v>1637</v>
      </c>
      <c r="B1361" t="s">
        <v>215</v>
      </c>
      <c r="C1361" t="s">
        <v>216</v>
      </c>
      <c r="D1361" t="s">
        <v>217</v>
      </c>
      <c r="E1361" t="s">
        <v>55</v>
      </c>
      <c r="F1361">
        <f>ventas_libreria[[#This Row],[precio_eur]]/100</f>
        <v>19.43</v>
      </c>
      <c r="G1361">
        <v>1943</v>
      </c>
      <c r="H1361">
        <v>1</v>
      </c>
      <c r="I1361">
        <f>ventas_libreria[[#This Row],[precio]]*ventas_libreria[[#This Row],[cantidad]]</f>
        <v>19.43</v>
      </c>
      <c r="J1361">
        <v>47</v>
      </c>
      <c r="K1361" t="s">
        <v>20</v>
      </c>
      <c r="L1361" s="1">
        <v>45998</v>
      </c>
      <c r="M1361" t="s">
        <v>43</v>
      </c>
      <c r="N1361" t="s">
        <v>32</v>
      </c>
      <c r="O1361" t="s">
        <v>33</v>
      </c>
      <c r="P1361" t="s">
        <v>24</v>
      </c>
      <c r="Q1361">
        <v>5</v>
      </c>
      <c r="R1361">
        <f>IF(ventas_libreria[[#This Row],[valoracion_cliente]]="","Sin valoración",ventas_libreria[[#This Row],[valoracion_cliente]])</f>
        <v>5</v>
      </c>
    </row>
    <row r="1362" spans="1:18" x14ac:dyDescent="0.25">
      <c r="A1362" t="s">
        <v>1638</v>
      </c>
      <c r="B1362" t="s">
        <v>348</v>
      </c>
      <c r="C1362" t="s">
        <v>349</v>
      </c>
      <c r="D1362" t="s">
        <v>350</v>
      </c>
      <c r="E1362" t="s">
        <v>116</v>
      </c>
      <c r="F1362">
        <f>ventas_libreria[[#This Row],[precio_eur]]/100</f>
        <v>15.92</v>
      </c>
      <c r="G1362">
        <v>1592</v>
      </c>
      <c r="H1362">
        <v>3</v>
      </c>
      <c r="I1362">
        <f>ventas_libreria[[#This Row],[precio]]*ventas_libreria[[#This Row],[cantidad]]</f>
        <v>47.76</v>
      </c>
      <c r="J1362">
        <v>58</v>
      </c>
      <c r="K1362" t="s">
        <v>38</v>
      </c>
      <c r="L1362" s="1">
        <v>45673</v>
      </c>
      <c r="M1362" t="s">
        <v>31</v>
      </c>
      <c r="N1362" t="s">
        <v>32</v>
      </c>
      <c r="O1362" t="s">
        <v>33</v>
      </c>
      <c r="P1362" t="s">
        <v>34</v>
      </c>
      <c r="R1362" t="str">
        <f>IF(ventas_libreria[[#This Row],[valoracion_cliente]]="","Sin valoración",ventas_libreria[[#This Row],[valoracion_cliente]])</f>
        <v>Sin valoración</v>
      </c>
    </row>
    <row r="1363" spans="1:18" x14ac:dyDescent="0.25">
      <c r="A1363" t="s">
        <v>1639</v>
      </c>
      <c r="B1363" t="s">
        <v>215</v>
      </c>
      <c r="C1363" t="s">
        <v>216</v>
      </c>
      <c r="D1363" t="s">
        <v>217</v>
      </c>
      <c r="E1363" t="s">
        <v>55</v>
      </c>
      <c r="F1363">
        <f>ventas_libreria[[#This Row],[precio_eur]]/100</f>
        <v>16.649999999999999</v>
      </c>
      <c r="G1363">
        <v>1665</v>
      </c>
      <c r="H1363">
        <v>1</v>
      </c>
      <c r="I1363">
        <f>ventas_libreria[[#This Row],[precio]]*ventas_libreria[[#This Row],[cantidad]]</f>
        <v>16.649999999999999</v>
      </c>
      <c r="J1363">
        <v>68</v>
      </c>
      <c r="K1363" t="s">
        <v>20</v>
      </c>
      <c r="L1363" s="1">
        <v>45599</v>
      </c>
      <c r="M1363" t="s">
        <v>43</v>
      </c>
      <c r="N1363" t="s">
        <v>32</v>
      </c>
      <c r="O1363" t="s">
        <v>33</v>
      </c>
      <c r="P1363" t="s">
        <v>84</v>
      </c>
      <c r="Q1363">
        <v>5</v>
      </c>
      <c r="R1363">
        <f>IF(ventas_libreria[[#This Row],[valoracion_cliente]]="","Sin valoración",ventas_libreria[[#This Row],[valoracion_cliente]])</f>
        <v>5</v>
      </c>
    </row>
    <row r="1364" spans="1:18" x14ac:dyDescent="0.25">
      <c r="A1364" t="s">
        <v>1640</v>
      </c>
      <c r="B1364" t="s">
        <v>129</v>
      </c>
      <c r="C1364" t="s">
        <v>130</v>
      </c>
      <c r="D1364" t="s">
        <v>131</v>
      </c>
      <c r="E1364" t="s">
        <v>107</v>
      </c>
      <c r="F1364">
        <f>ventas_libreria[[#This Row],[precio_eur]]/100</f>
        <v>1.59</v>
      </c>
      <c r="G1364">
        <v>159</v>
      </c>
      <c r="H1364">
        <v>1</v>
      </c>
      <c r="I1364">
        <f>ventas_libreria[[#This Row],[precio]]*ventas_libreria[[#This Row],[cantidad]]</f>
        <v>1.59</v>
      </c>
      <c r="J1364">
        <v>22</v>
      </c>
      <c r="K1364" t="s">
        <v>38</v>
      </c>
      <c r="L1364" s="1">
        <v>44946</v>
      </c>
      <c r="M1364" t="s">
        <v>43</v>
      </c>
      <c r="N1364" t="s">
        <v>32</v>
      </c>
      <c r="O1364" t="s">
        <v>33</v>
      </c>
      <c r="P1364" t="s">
        <v>56</v>
      </c>
      <c r="Q1364">
        <v>5</v>
      </c>
      <c r="R1364">
        <f>IF(ventas_libreria[[#This Row],[valoracion_cliente]]="","Sin valoración",ventas_libreria[[#This Row],[valoracion_cliente]])</f>
        <v>5</v>
      </c>
    </row>
    <row r="1365" spans="1:18" x14ac:dyDescent="0.25">
      <c r="A1365" t="s">
        <v>1641</v>
      </c>
      <c r="B1365" t="s">
        <v>254</v>
      </c>
      <c r="C1365" t="s">
        <v>255</v>
      </c>
      <c r="D1365" t="s">
        <v>139</v>
      </c>
      <c r="E1365" t="s">
        <v>116</v>
      </c>
      <c r="F1365">
        <f>ventas_libreria[[#This Row],[precio_eur]]/100</f>
        <v>11.92</v>
      </c>
      <c r="G1365">
        <v>1192</v>
      </c>
      <c r="H1365">
        <v>1</v>
      </c>
      <c r="I1365">
        <f>ventas_libreria[[#This Row],[precio]]*ventas_libreria[[#This Row],[cantidad]]</f>
        <v>11.92</v>
      </c>
      <c r="J1365">
        <v>55</v>
      </c>
      <c r="K1365" t="s">
        <v>62</v>
      </c>
      <c r="L1365" s="1">
        <v>45641</v>
      </c>
      <c r="M1365" t="s">
        <v>43</v>
      </c>
      <c r="N1365" t="s">
        <v>32</v>
      </c>
      <c r="O1365" t="s">
        <v>33</v>
      </c>
      <c r="P1365" t="s">
        <v>50</v>
      </c>
      <c r="R1365" t="str">
        <f>IF(ventas_libreria[[#This Row],[valoracion_cliente]]="","Sin valoración",ventas_libreria[[#This Row],[valoracion_cliente]])</f>
        <v>Sin valoración</v>
      </c>
    </row>
    <row r="1366" spans="1:18" x14ac:dyDescent="0.25">
      <c r="A1366" t="s">
        <v>1642</v>
      </c>
      <c r="B1366" t="s">
        <v>208</v>
      </c>
      <c r="C1366" t="s">
        <v>209</v>
      </c>
      <c r="D1366" t="s">
        <v>106</v>
      </c>
      <c r="E1366" t="s">
        <v>107</v>
      </c>
      <c r="F1366">
        <f>ventas_libreria[[#This Row],[precio_eur]]/100</f>
        <v>12.66</v>
      </c>
      <c r="G1366">
        <v>1266</v>
      </c>
      <c r="H1366">
        <v>3</v>
      </c>
      <c r="I1366">
        <f>ventas_libreria[[#This Row],[precio]]*ventas_libreria[[#This Row],[cantidad]]</f>
        <v>37.980000000000004</v>
      </c>
      <c r="J1366">
        <v>15</v>
      </c>
      <c r="K1366" t="s">
        <v>62</v>
      </c>
      <c r="L1366" s="1">
        <v>45570</v>
      </c>
      <c r="M1366" t="s">
        <v>31</v>
      </c>
      <c r="N1366" t="s">
        <v>32</v>
      </c>
      <c r="O1366" t="s">
        <v>33</v>
      </c>
      <c r="P1366" t="s">
        <v>56</v>
      </c>
      <c r="Q1366">
        <v>5</v>
      </c>
      <c r="R1366">
        <f>IF(ventas_libreria[[#This Row],[valoracion_cliente]]="","Sin valoración",ventas_libreria[[#This Row],[valoracion_cliente]])</f>
        <v>5</v>
      </c>
    </row>
    <row r="1367" spans="1:18" x14ac:dyDescent="0.25">
      <c r="A1367" t="s">
        <v>1643</v>
      </c>
      <c r="B1367" t="s">
        <v>204</v>
      </c>
      <c r="C1367" t="s">
        <v>205</v>
      </c>
      <c r="D1367" t="s">
        <v>206</v>
      </c>
      <c r="E1367" t="s">
        <v>116</v>
      </c>
      <c r="F1367">
        <f>ventas_libreria[[#This Row],[precio_eur]]/100</f>
        <v>1.29</v>
      </c>
      <c r="G1367">
        <v>129</v>
      </c>
      <c r="H1367">
        <v>1</v>
      </c>
      <c r="I1367">
        <f>ventas_libreria[[#This Row],[precio]]*ventas_libreria[[#This Row],[cantidad]]</f>
        <v>1.29</v>
      </c>
      <c r="J1367">
        <v>34</v>
      </c>
      <c r="K1367" t="s">
        <v>30</v>
      </c>
      <c r="L1367" s="1">
        <v>45582</v>
      </c>
      <c r="M1367" t="s">
        <v>31</v>
      </c>
      <c r="N1367" t="s">
        <v>22</v>
      </c>
      <c r="O1367" t="s">
        <v>132</v>
      </c>
      <c r="P1367" t="s">
        <v>50</v>
      </c>
      <c r="Q1367">
        <v>5</v>
      </c>
      <c r="R1367">
        <f>IF(ventas_libreria[[#This Row],[valoracion_cliente]]="","Sin valoración",ventas_libreria[[#This Row],[valoracion_cliente]])</f>
        <v>5</v>
      </c>
    </row>
    <row r="1368" spans="1:18" x14ac:dyDescent="0.25">
      <c r="A1368" t="s">
        <v>1644</v>
      </c>
      <c r="B1368" t="s">
        <v>121</v>
      </c>
      <c r="C1368" t="s">
        <v>122</v>
      </c>
      <c r="D1368" t="s">
        <v>123</v>
      </c>
      <c r="E1368" t="s">
        <v>48</v>
      </c>
      <c r="F1368">
        <f>ventas_libreria[[#This Row],[precio_eur]]/100</f>
        <v>1.69</v>
      </c>
      <c r="G1368">
        <v>169</v>
      </c>
      <c r="H1368">
        <v>1</v>
      </c>
      <c r="I1368">
        <f>ventas_libreria[[#This Row],[precio]]*ventas_libreria[[#This Row],[cantidad]]</f>
        <v>1.69</v>
      </c>
      <c r="J1368">
        <v>22</v>
      </c>
      <c r="K1368" t="s">
        <v>62</v>
      </c>
      <c r="L1368" s="1">
        <v>45327</v>
      </c>
      <c r="M1368" t="s">
        <v>31</v>
      </c>
      <c r="N1368" t="s">
        <v>32</v>
      </c>
      <c r="O1368" t="s">
        <v>33</v>
      </c>
      <c r="P1368" t="s">
        <v>56</v>
      </c>
      <c r="Q1368">
        <v>1</v>
      </c>
      <c r="R1368">
        <f>IF(ventas_libreria[[#This Row],[valoracion_cliente]]="","Sin valoración",ventas_libreria[[#This Row],[valoracion_cliente]])</f>
        <v>1</v>
      </c>
    </row>
    <row r="1369" spans="1:18" x14ac:dyDescent="0.25">
      <c r="A1369" t="s">
        <v>1645</v>
      </c>
      <c r="B1369" t="s">
        <v>338</v>
      </c>
      <c r="C1369" t="s">
        <v>339</v>
      </c>
      <c r="D1369" t="s">
        <v>167</v>
      </c>
      <c r="E1369" t="s">
        <v>61</v>
      </c>
      <c r="F1369">
        <f>ventas_libreria[[#This Row],[precio_eur]]/100</f>
        <v>19.46</v>
      </c>
      <c r="G1369">
        <v>1946</v>
      </c>
      <c r="H1369">
        <v>1</v>
      </c>
      <c r="I1369">
        <f>ventas_libreria[[#This Row],[precio]]*ventas_libreria[[#This Row],[cantidad]]</f>
        <v>19.46</v>
      </c>
      <c r="J1369">
        <v>52</v>
      </c>
      <c r="K1369" t="s">
        <v>30</v>
      </c>
      <c r="L1369" s="1">
        <v>45595</v>
      </c>
      <c r="M1369" t="s">
        <v>31</v>
      </c>
      <c r="N1369" t="s">
        <v>22</v>
      </c>
      <c r="O1369" t="s">
        <v>98</v>
      </c>
      <c r="P1369" t="s">
        <v>84</v>
      </c>
      <c r="Q1369">
        <v>5</v>
      </c>
      <c r="R1369">
        <f>IF(ventas_libreria[[#This Row],[valoracion_cliente]]="","Sin valoración",ventas_libreria[[#This Row],[valoracion_cliente]])</f>
        <v>5</v>
      </c>
    </row>
    <row r="1370" spans="1:18" x14ac:dyDescent="0.25">
      <c r="A1370" t="s">
        <v>1646</v>
      </c>
      <c r="B1370" t="s">
        <v>286</v>
      </c>
      <c r="C1370" t="s">
        <v>287</v>
      </c>
      <c r="D1370" t="s">
        <v>288</v>
      </c>
      <c r="E1370" t="s">
        <v>289</v>
      </c>
      <c r="F1370">
        <f>ventas_libreria[[#This Row],[precio_eur]]/100</f>
        <v>18.61</v>
      </c>
      <c r="G1370">
        <v>1861</v>
      </c>
      <c r="H1370">
        <v>2</v>
      </c>
      <c r="I1370">
        <f>ventas_libreria[[#This Row],[precio]]*ventas_libreria[[#This Row],[cantidad]]</f>
        <v>37.22</v>
      </c>
      <c r="J1370">
        <v>68</v>
      </c>
      <c r="K1370" t="s">
        <v>62</v>
      </c>
      <c r="L1370" s="1">
        <v>45179</v>
      </c>
      <c r="M1370" t="s">
        <v>31</v>
      </c>
      <c r="N1370" t="s">
        <v>22</v>
      </c>
      <c r="O1370" t="s">
        <v>49</v>
      </c>
      <c r="P1370" t="s">
        <v>56</v>
      </c>
      <c r="Q1370">
        <v>5</v>
      </c>
      <c r="R1370">
        <f>IF(ventas_libreria[[#This Row],[valoracion_cliente]]="","Sin valoración",ventas_libreria[[#This Row],[valoracion_cliente]])</f>
        <v>5</v>
      </c>
    </row>
    <row r="1371" spans="1:18" x14ac:dyDescent="0.25">
      <c r="A1371" t="s">
        <v>1647</v>
      </c>
      <c r="B1371" t="s">
        <v>113</v>
      </c>
      <c r="C1371" t="s">
        <v>114</v>
      </c>
      <c r="D1371" t="s">
        <v>115</v>
      </c>
      <c r="E1371" t="s">
        <v>116</v>
      </c>
      <c r="F1371">
        <f>ventas_libreria[[#This Row],[precio_eur]]/100</f>
        <v>1.39</v>
      </c>
      <c r="G1371">
        <v>139</v>
      </c>
      <c r="H1371">
        <v>1</v>
      </c>
      <c r="I1371">
        <f>ventas_libreria[[#This Row],[precio]]*ventas_libreria[[#This Row],[cantidad]]</f>
        <v>1.39</v>
      </c>
      <c r="J1371">
        <v>18</v>
      </c>
      <c r="K1371" t="s">
        <v>20</v>
      </c>
      <c r="L1371" s="1">
        <v>45552</v>
      </c>
      <c r="M1371" t="s">
        <v>31</v>
      </c>
      <c r="N1371" t="s">
        <v>32</v>
      </c>
      <c r="O1371" t="s">
        <v>33</v>
      </c>
      <c r="P1371" t="s">
        <v>50</v>
      </c>
      <c r="Q1371">
        <v>4</v>
      </c>
      <c r="R1371">
        <f>IF(ventas_libreria[[#This Row],[valoracion_cliente]]="","Sin valoración",ventas_libreria[[#This Row],[valoracion_cliente]])</f>
        <v>4</v>
      </c>
    </row>
    <row r="1372" spans="1:18" x14ac:dyDescent="0.25">
      <c r="A1372" t="s">
        <v>1648</v>
      </c>
      <c r="B1372" t="s">
        <v>40</v>
      </c>
      <c r="C1372" t="s">
        <v>41</v>
      </c>
      <c r="D1372" t="s">
        <v>42</v>
      </c>
      <c r="E1372" t="s">
        <v>19</v>
      </c>
      <c r="F1372">
        <f>ventas_libreria[[#This Row],[precio_eur]]/100</f>
        <v>10.96</v>
      </c>
      <c r="G1372">
        <v>1096</v>
      </c>
      <c r="H1372">
        <v>2</v>
      </c>
      <c r="I1372">
        <f>ventas_libreria[[#This Row],[precio]]*ventas_libreria[[#This Row],[cantidad]]</f>
        <v>21.92</v>
      </c>
      <c r="J1372">
        <v>60</v>
      </c>
      <c r="K1372" t="s">
        <v>20</v>
      </c>
      <c r="L1372" s="1">
        <v>45209</v>
      </c>
      <c r="M1372" t="s">
        <v>31</v>
      </c>
      <c r="N1372" t="s">
        <v>32</v>
      </c>
      <c r="O1372" t="s">
        <v>33</v>
      </c>
      <c r="P1372" t="s">
        <v>34</v>
      </c>
      <c r="Q1372">
        <v>5</v>
      </c>
      <c r="R1372">
        <f>IF(ventas_libreria[[#This Row],[valoracion_cliente]]="","Sin valoración",ventas_libreria[[#This Row],[valoracion_cliente]])</f>
        <v>5</v>
      </c>
    </row>
    <row r="1373" spans="1:18" x14ac:dyDescent="0.25">
      <c r="A1373" t="s">
        <v>1649</v>
      </c>
      <c r="B1373" t="s">
        <v>508</v>
      </c>
      <c r="C1373" t="s">
        <v>509</v>
      </c>
      <c r="D1373" t="s">
        <v>199</v>
      </c>
      <c r="E1373" t="s">
        <v>55</v>
      </c>
      <c r="F1373">
        <f>ventas_libreria[[#This Row],[precio_eur]]/100</f>
        <v>19.84</v>
      </c>
      <c r="G1373">
        <v>1984</v>
      </c>
      <c r="H1373">
        <v>1</v>
      </c>
      <c r="I1373">
        <f>ventas_libreria[[#This Row],[precio]]*ventas_libreria[[#This Row],[cantidad]]</f>
        <v>19.84</v>
      </c>
      <c r="J1373">
        <v>60</v>
      </c>
      <c r="K1373" t="s">
        <v>30</v>
      </c>
      <c r="L1373" s="1">
        <v>45427</v>
      </c>
      <c r="M1373" t="s">
        <v>43</v>
      </c>
      <c r="N1373" t="s">
        <v>32</v>
      </c>
      <c r="O1373" t="s">
        <v>33</v>
      </c>
      <c r="P1373" t="s">
        <v>84</v>
      </c>
      <c r="Q1373">
        <v>2</v>
      </c>
      <c r="R1373">
        <f>IF(ventas_libreria[[#This Row],[valoracion_cliente]]="","Sin valoración",ventas_libreria[[#This Row],[valoracion_cliente]])</f>
        <v>2</v>
      </c>
    </row>
    <row r="1374" spans="1:18" x14ac:dyDescent="0.25">
      <c r="A1374" t="s">
        <v>1650</v>
      </c>
      <c r="B1374" t="s">
        <v>208</v>
      </c>
      <c r="C1374" t="s">
        <v>209</v>
      </c>
      <c r="D1374" t="s">
        <v>106</v>
      </c>
      <c r="E1374" t="s">
        <v>107</v>
      </c>
      <c r="F1374">
        <f>ventas_libreria[[#This Row],[precio_eur]]/100</f>
        <v>1.49</v>
      </c>
      <c r="G1374">
        <v>149</v>
      </c>
      <c r="H1374">
        <v>2</v>
      </c>
      <c r="I1374">
        <f>ventas_libreria[[#This Row],[precio]]*ventas_libreria[[#This Row],[cantidad]]</f>
        <v>2.98</v>
      </c>
      <c r="J1374">
        <v>13</v>
      </c>
      <c r="K1374" t="s">
        <v>30</v>
      </c>
      <c r="L1374" s="1">
        <v>45483</v>
      </c>
      <c r="M1374" t="s">
        <v>43</v>
      </c>
      <c r="N1374" t="s">
        <v>32</v>
      </c>
      <c r="O1374" t="s">
        <v>33</v>
      </c>
      <c r="P1374" t="s">
        <v>34</v>
      </c>
      <c r="Q1374">
        <v>5</v>
      </c>
      <c r="R1374">
        <f>IF(ventas_libreria[[#This Row],[valoracion_cliente]]="","Sin valoración",ventas_libreria[[#This Row],[valoracion_cliente]])</f>
        <v>5</v>
      </c>
    </row>
    <row r="1375" spans="1:18" x14ac:dyDescent="0.25">
      <c r="A1375" t="s">
        <v>1651</v>
      </c>
      <c r="B1375" t="s">
        <v>365</v>
      </c>
      <c r="C1375" t="s">
        <v>366</v>
      </c>
      <c r="D1375" t="s">
        <v>367</v>
      </c>
      <c r="E1375" t="s">
        <v>19</v>
      </c>
      <c r="F1375">
        <f>ventas_libreria[[#This Row],[precio_eur]]/100</f>
        <v>1.89</v>
      </c>
      <c r="G1375">
        <v>189</v>
      </c>
      <c r="H1375">
        <v>1</v>
      </c>
      <c r="I1375">
        <f>ventas_libreria[[#This Row],[precio]]*ventas_libreria[[#This Row],[cantidad]]</f>
        <v>1.89</v>
      </c>
      <c r="J1375">
        <v>53</v>
      </c>
      <c r="K1375" t="s">
        <v>30</v>
      </c>
      <c r="L1375" s="1">
        <v>44996</v>
      </c>
      <c r="M1375" t="s">
        <v>31</v>
      </c>
      <c r="N1375" t="s">
        <v>22</v>
      </c>
      <c r="O1375" t="s">
        <v>98</v>
      </c>
      <c r="P1375" t="s">
        <v>50</v>
      </c>
      <c r="R1375" t="str">
        <f>IF(ventas_libreria[[#This Row],[valoracion_cliente]]="","Sin valoración",ventas_libreria[[#This Row],[valoracion_cliente]])</f>
        <v>Sin valoración</v>
      </c>
    </row>
    <row r="1376" spans="1:18" x14ac:dyDescent="0.25">
      <c r="A1376" t="s">
        <v>1652</v>
      </c>
      <c r="B1376" t="s">
        <v>137</v>
      </c>
      <c r="C1376" t="s">
        <v>138</v>
      </c>
      <c r="D1376" t="s">
        <v>139</v>
      </c>
      <c r="E1376" t="s">
        <v>116</v>
      </c>
      <c r="F1376">
        <f>ventas_libreria[[#This Row],[precio_eur]]/100</f>
        <v>14.19</v>
      </c>
      <c r="G1376">
        <v>1419</v>
      </c>
      <c r="H1376">
        <v>1</v>
      </c>
      <c r="I1376">
        <f>ventas_libreria[[#This Row],[precio]]*ventas_libreria[[#This Row],[cantidad]]</f>
        <v>14.19</v>
      </c>
      <c r="J1376">
        <v>69</v>
      </c>
      <c r="K1376" t="s">
        <v>38</v>
      </c>
      <c r="L1376" s="1">
        <v>45100</v>
      </c>
      <c r="M1376" t="s">
        <v>21</v>
      </c>
      <c r="N1376" t="s">
        <v>22</v>
      </c>
      <c r="O1376" t="s">
        <v>23</v>
      </c>
      <c r="P1376" t="s">
        <v>34</v>
      </c>
      <c r="Q1376">
        <v>5</v>
      </c>
      <c r="R1376">
        <f>IF(ventas_libreria[[#This Row],[valoracion_cliente]]="","Sin valoración",ventas_libreria[[#This Row],[valoracion_cliente]])</f>
        <v>5</v>
      </c>
    </row>
    <row r="1377" spans="1:18" x14ac:dyDescent="0.25">
      <c r="A1377" t="s">
        <v>1653</v>
      </c>
      <c r="B1377" t="s">
        <v>437</v>
      </c>
      <c r="C1377" t="s">
        <v>438</v>
      </c>
      <c r="D1377" t="s">
        <v>178</v>
      </c>
      <c r="E1377" t="s">
        <v>55</v>
      </c>
      <c r="F1377">
        <f>ventas_libreria[[#This Row],[precio_eur]]/100</f>
        <v>15.21</v>
      </c>
      <c r="G1377">
        <v>1521</v>
      </c>
      <c r="H1377">
        <v>1</v>
      </c>
      <c r="I1377">
        <f>ventas_libreria[[#This Row],[precio]]*ventas_libreria[[#This Row],[cantidad]]</f>
        <v>15.21</v>
      </c>
      <c r="J1377">
        <v>30</v>
      </c>
      <c r="K1377" t="s">
        <v>30</v>
      </c>
      <c r="L1377" s="1">
        <v>45294</v>
      </c>
      <c r="M1377" t="s">
        <v>31</v>
      </c>
      <c r="N1377" t="s">
        <v>22</v>
      </c>
      <c r="O1377" t="s">
        <v>49</v>
      </c>
      <c r="P1377" t="s">
        <v>34</v>
      </c>
      <c r="Q1377">
        <v>2</v>
      </c>
      <c r="R1377">
        <f>IF(ventas_libreria[[#This Row],[valoracion_cliente]]="","Sin valoración",ventas_libreria[[#This Row],[valoracion_cliente]])</f>
        <v>2</v>
      </c>
    </row>
    <row r="1378" spans="1:18" x14ac:dyDescent="0.25">
      <c r="A1378" t="s">
        <v>1654</v>
      </c>
      <c r="B1378" t="s">
        <v>508</v>
      </c>
      <c r="C1378" t="s">
        <v>509</v>
      </c>
      <c r="D1378" t="s">
        <v>199</v>
      </c>
      <c r="E1378" t="s">
        <v>55</v>
      </c>
      <c r="F1378">
        <f>ventas_libreria[[#This Row],[precio_eur]]/100</f>
        <v>1.89</v>
      </c>
      <c r="G1378">
        <v>189</v>
      </c>
      <c r="H1378">
        <v>1</v>
      </c>
      <c r="I1378">
        <f>ventas_libreria[[#This Row],[precio]]*ventas_libreria[[#This Row],[cantidad]]</f>
        <v>1.89</v>
      </c>
      <c r="J1378">
        <v>58</v>
      </c>
      <c r="K1378" t="s">
        <v>20</v>
      </c>
      <c r="L1378" s="1">
        <v>45854</v>
      </c>
      <c r="M1378" t="s">
        <v>31</v>
      </c>
      <c r="N1378" t="s">
        <v>32</v>
      </c>
      <c r="O1378" t="s">
        <v>33</v>
      </c>
      <c r="P1378" t="s">
        <v>84</v>
      </c>
      <c r="Q1378">
        <v>4</v>
      </c>
      <c r="R1378">
        <f>IF(ventas_libreria[[#This Row],[valoracion_cliente]]="","Sin valoración",ventas_libreria[[#This Row],[valoracion_cliente]])</f>
        <v>4</v>
      </c>
    </row>
    <row r="1379" spans="1:18" x14ac:dyDescent="0.25">
      <c r="A1379" t="s">
        <v>1655</v>
      </c>
      <c r="B1379" t="s">
        <v>86</v>
      </c>
      <c r="C1379" t="s">
        <v>87</v>
      </c>
      <c r="D1379" t="s">
        <v>88</v>
      </c>
      <c r="E1379" t="s">
        <v>77</v>
      </c>
      <c r="F1379">
        <f>ventas_libreria[[#This Row],[precio_eur]]/100</f>
        <v>1.25</v>
      </c>
      <c r="G1379">
        <v>125</v>
      </c>
      <c r="H1379">
        <v>4</v>
      </c>
      <c r="I1379">
        <f>ventas_libreria[[#This Row],[precio]]*ventas_libreria[[#This Row],[cantidad]]</f>
        <v>5</v>
      </c>
      <c r="J1379">
        <v>7</v>
      </c>
      <c r="K1379" t="s">
        <v>38</v>
      </c>
      <c r="L1379" s="1">
        <v>45221</v>
      </c>
      <c r="M1379" t="s">
        <v>21</v>
      </c>
      <c r="N1379" t="s">
        <v>32</v>
      </c>
      <c r="O1379" t="s">
        <v>33</v>
      </c>
      <c r="P1379" t="s">
        <v>84</v>
      </c>
      <c r="Q1379">
        <v>2</v>
      </c>
      <c r="R1379">
        <f>IF(ventas_libreria[[#This Row],[valoracion_cliente]]="","Sin valoración",ventas_libreria[[#This Row],[valoracion_cliente]])</f>
        <v>2</v>
      </c>
    </row>
    <row r="1380" spans="1:18" x14ac:dyDescent="0.25">
      <c r="A1380" t="s">
        <v>1656</v>
      </c>
      <c r="B1380" t="s">
        <v>406</v>
      </c>
      <c r="C1380" t="s">
        <v>407</v>
      </c>
      <c r="D1380" t="s">
        <v>88</v>
      </c>
      <c r="E1380" t="s">
        <v>77</v>
      </c>
      <c r="F1380">
        <f>ventas_libreria[[#This Row],[precio_eur]]/100</f>
        <v>10.71</v>
      </c>
      <c r="G1380">
        <v>1071</v>
      </c>
      <c r="H1380">
        <v>1</v>
      </c>
      <c r="I1380">
        <f>ventas_libreria[[#This Row],[precio]]*ventas_libreria[[#This Row],[cantidad]]</f>
        <v>10.71</v>
      </c>
      <c r="J1380">
        <v>9</v>
      </c>
      <c r="K1380" t="s">
        <v>20</v>
      </c>
      <c r="L1380" s="1">
        <v>45037</v>
      </c>
      <c r="M1380" t="s">
        <v>21</v>
      </c>
      <c r="N1380" t="s">
        <v>22</v>
      </c>
      <c r="O1380" t="s">
        <v>67</v>
      </c>
      <c r="P1380" t="s">
        <v>34</v>
      </c>
      <c r="Q1380">
        <v>4</v>
      </c>
      <c r="R1380">
        <f>IF(ventas_libreria[[#This Row],[valoracion_cliente]]="","Sin valoración",ventas_libreria[[#This Row],[valoracion_cliente]])</f>
        <v>4</v>
      </c>
    </row>
    <row r="1381" spans="1:18" x14ac:dyDescent="0.25">
      <c r="A1381" t="s">
        <v>1657</v>
      </c>
      <c r="B1381" t="s">
        <v>45</v>
      </c>
      <c r="C1381" t="s">
        <v>46</v>
      </c>
      <c r="D1381" t="s">
        <v>47</v>
      </c>
      <c r="E1381" t="s">
        <v>48</v>
      </c>
      <c r="F1381">
        <f>ventas_libreria[[#This Row],[precio_eur]]/100</f>
        <v>21.89</v>
      </c>
      <c r="G1381">
        <v>2189</v>
      </c>
      <c r="H1381">
        <v>1</v>
      </c>
      <c r="I1381">
        <f>ventas_libreria[[#This Row],[precio]]*ventas_libreria[[#This Row],[cantidad]]</f>
        <v>21.89</v>
      </c>
      <c r="J1381">
        <v>45</v>
      </c>
      <c r="K1381" t="s">
        <v>30</v>
      </c>
      <c r="L1381" s="1">
        <v>45111</v>
      </c>
      <c r="M1381" t="s">
        <v>43</v>
      </c>
      <c r="N1381" t="s">
        <v>32</v>
      </c>
      <c r="O1381" t="s">
        <v>33</v>
      </c>
      <c r="P1381" t="s">
        <v>34</v>
      </c>
      <c r="Q1381">
        <v>3</v>
      </c>
      <c r="R1381">
        <f>IF(ventas_libreria[[#This Row],[valoracion_cliente]]="","Sin valoración",ventas_libreria[[#This Row],[valoracion_cliente]])</f>
        <v>3</v>
      </c>
    </row>
    <row r="1382" spans="1:18" x14ac:dyDescent="0.25">
      <c r="A1382" t="s">
        <v>1658</v>
      </c>
      <c r="B1382" t="s">
        <v>327</v>
      </c>
      <c r="C1382" t="s">
        <v>328</v>
      </c>
      <c r="D1382" t="s">
        <v>288</v>
      </c>
      <c r="E1382" t="s">
        <v>289</v>
      </c>
      <c r="F1382">
        <f>ventas_libreria[[#This Row],[precio_eur]]/100</f>
        <v>25.19</v>
      </c>
      <c r="G1382">
        <v>2519</v>
      </c>
      <c r="H1382">
        <v>1</v>
      </c>
      <c r="I1382">
        <f>ventas_libreria[[#This Row],[precio]]*ventas_libreria[[#This Row],[cantidad]]</f>
        <v>25.19</v>
      </c>
      <c r="J1382">
        <v>61</v>
      </c>
      <c r="K1382" t="s">
        <v>20</v>
      </c>
      <c r="L1382" s="1">
        <v>45379</v>
      </c>
      <c r="M1382" t="s">
        <v>43</v>
      </c>
      <c r="N1382" t="s">
        <v>32</v>
      </c>
      <c r="O1382" t="s">
        <v>33</v>
      </c>
      <c r="P1382" t="s">
        <v>24</v>
      </c>
      <c r="Q1382">
        <v>1</v>
      </c>
      <c r="R1382">
        <f>IF(ventas_libreria[[#This Row],[valoracion_cliente]]="","Sin valoración",ventas_libreria[[#This Row],[valoracion_cliente]])</f>
        <v>1</v>
      </c>
    </row>
    <row r="1383" spans="1:18" x14ac:dyDescent="0.25">
      <c r="A1383" t="s">
        <v>1659</v>
      </c>
      <c r="B1383" t="s">
        <v>365</v>
      </c>
      <c r="C1383" t="s">
        <v>366</v>
      </c>
      <c r="D1383" t="s">
        <v>367</v>
      </c>
      <c r="E1383" t="s">
        <v>19</v>
      </c>
      <c r="F1383">
        <f>ventas_libreria[[#This Row],[precio_eur]]/100</f>
        <v>19.84</v>
      </c>
      <c r="G1383">
        <v>1984</v>
      </c>
      <c r="H1383">
        <v>1</v>
      </c>
      <c r="I1383">
        <f>ventas_libreria[[#This Row],[precio]]*ventas_libreria[[#This Row],[cantidad]]</f>
        <v>19.84</v>
      </c>
      <c r="J1383">
        <v>62</v>
      </c>
      <c r="K1383" t="s">
        <v>30</v>
      </c>
      <c r="L1383" s="1">
        <v>45862</v>
      </c>
      <c r="M1383" t="s">
        <v>31</v>
      </c>
      <c r="N1383" t="s">
        <v>32</v>
      </c>
      <c r="O1383" t="s">
        <v>33</v>
      </c>
      <c r="P1383" t="s">
        <v>24</v>
      </c>
      <c r="Q1383">
        <v>5</v>
      </c>
      <c r="R1383">
        <f>IF(ventas_libreria[[#This Row],[valoracion_cliente]]="","Sin valoración",ventas_libreria[[#This Row],[valoracion_cliente]])</f>
        <v>5</v>
      </c>
    </row>
    <row r="1384" spans="1:18" x14ac:dyDescent="0.25">
      <c r="A1384" t="s">
        <v>1660</v>
      </c>
      <c r="B1384" t="s">
        <v>151</v>
      </c>
      <c r="C1384" t="s">
        <v>152</v>
      </c>
      <c r="D1384" t="s">
        <v>153</v>
      </c>
      <c r="E1384" t="s">
        <v>154</v>
      </c>
      <c r="F1384">
        <f>ventas_libreria[[#This Row],[precio_eur]]/100</f>
        <v>14.36</v>
      </c>
      <c r="G1384">
        <v>1436</v>
      </c>
      <c r="H1384">
        <v>1</v>
      </c>
      <c r="I1384">
        <f>ventas_libreria[[#This Row],[precio]]*ventas_libreria[[#This Row],[cantidad]]</f>
        <v>14.36</v>
      </c>
      <c r="J1384">
        <v>75</v>
      </c>
      <c r="K1384" t="s">
        <v>38</v>
      </c>
      <c r="L1384" s="1">
        <v>45071</v>
      </c>
      <c r="M1384" t="s">
        <v>43</v>
      </c>
      <c r="N1384" t="s">
        <v>32</v>
      </c>
      <c r="O1384" t="s">
        <v>33</v>
      </c>
      <c r="P1384" t="s">
        <v>34</v>
      </c>
      <c r="Q1384">
        <v>3</v>
      </c>
      <c r="R1384">
        <f>IF(ventas_libreria[[#This Row],[valoracion_cliente]]="","Sin valoración",ventas_libreria[[#This Row],[valoracion_cliente]])</f>
        <v>3</v>
      </c>
    </row>
    <row r="1385" spans="1:18" x14ac:dyDescent="0.25">
      <c r="A1385" t="s">
        <v>1661</v>
      </c>
      <c r="B1385" t="s">
        <v>332</v>
      </c>
      <c r="C1385" t="s">
        <v>333</v>
      </c>
      <c r="D1385" t="s">
        <v>334</v>
      </c>
      <c r="E1385" t="s">
        <v>116</v>
      </c>
      <c r="F1385">
        <f>ventas_libreria[[#This Row],[precio_eur]]/100</f>
        <v>17.75</v>
      </c>
      <c r="G1385">
        <v>1775</v>
      </c>
      <c r="H1385">
        <v>1</v>
      </c>
      <c r="I1385">
        <f>ventas_libreria[[#This Row],[precio]]*ventas_libreria[[#This Row],[cantidad]]</f>
        <v>17.75</v>
      </c>
      <c r="J1385">
        <v>43</v>
      </c>
      <c r="K1385" t="s">
        <v>38</v>
      </c>
      <c r="L1385" s="1">
        <v>45965</v>
      </c>
      <c r="M1385" t="s">
        <v>31</v>
      </c>
      <c r="N1385" t="s">
        <v>32</v>
      </c>
      <c r="O1385" t="s">
        <v>33</v>
      </c>
      <c r="P1385" t="s">
        <v>50</v>
      </c>
      <c r="Q1385">
        <v>2</v>
      </c>
      <c r="R1385">
        <f>IF(ventas_libreria[[#This Row],[valoracion_cliente]]="","Sin valoración",ventas_libreria[[#This Row],[valoracion_cliente]])</f>
        <v>2</v>
      </c>
    </row>
    <row r="1386" spans="1:18" x14ac:dyDescent="0.25">
      <c r="A1386" t="s">
        <v>1662</v>
      </c>
      <c r="B1386" t="s">
        <v>247</v>
      </c>
      <c r="C1386" t="s">
        <v>248</v>
      </c>
      <c r="D1386" t="s">
        <v>249</v>
      </c>
      <c r="E1386" t="s">
        <v>172</v>
      </c>
      <c r="F1386">
        <f>ventas_libreria[[#This Row],[precio_eur]]/100</f>
        <v>11.12</v>
      </c>
      <c r="G1386">
        <v>1112</v>
      </c>
      <c r="H1386">
        <v>1</v>
      </c>
      <c r="I1386">
        <f>ventas_libreria[[#This Row],[precio]]*ventas_libreria[[#This Row],[cantidad]]</f>
        <v>11.12</v>
      </c>
      <c r="J1386">
        <v>35</v>
      </c>
      <c r="K1386" t="s">
        <v>38</v>
      </c>
      <c r="L1386" s="1">
        <v>45487</v>
      </c>
      <c r="M1386" t="s">
        <v>43</v>
      </c>
      <c r="N1386" t="s">
        <v>32</v>
      </c>
      <c r="O1386" t="s">
        <v>33</v>
      </c>
      <c r="P1386" t="s">
        <v>50</v>
      </c>
      <c r="Q1386">
        <v>4</v>
      </c>
      <c r="R1386">
        <f>IF(ventas_libreria[[#This Row],[valoracion_cliente]]="","Sin valoración",ventas_libreria[[#This Row],[valoracion_cliente]])</f>
        <v>4</v>
      </c>
    </row>
    <row r="1387" spans="1:18" x14ac:dyDescent="0.25">
      <c r="A1387" t="s">
        <v>1663</v>
      </c>
      <c r="B1387" t="s">
        <v>45</v>
      </c>
      <c r="C1387" t="s">
        <v>46</v>
      </c>
      <c r="D1387" t="s">
        <v>47</v>
      </c>
      <c r="E1387" t="s">
        <v>48</v>
      </c>
      <c r="F1387">
        <f>ventas_libreria[[#This Row],[precio_eur]]/100</f>
        <v>20.89</v>
      </c>
      <c r="G1387">
        <v>2089</v>
      </c>
      <c r="H1387">
        <v>2</v>
      </c>
      <c r="I1387">
        <f>ventas_libreria[[#This Row],[precio]]*ventas_libreria[[#This Row],[cantidad]]</f>
        <v>41.78</v>
      </c>
      <c r="J1387">
        <v>71</v>
      </c>
      <c r="K1387" t="s">
        <v>62</v>
      </c>
      <c r="L1387" s="1">
        <v>45547</v>
      </c>
      <c r="M1387" t="s">
        <v>31</v>
      </c>
      <c r="N1387" t="s">
        <v>22</v>
      </c>
      <c r="O1387" t="s">
        <v>67</v>
      </c>
      <c r="P1387" t="s">
        <v>50</v>
      </c>
      <c r="Q1387">
        <v>3</v>
      </c>
      <c r="R1387">
        <f>IF(ventas_libreria[[#This Row],[valoracion_cliente]]="","Sin valoración",ventas_libreria[[#This Row],[valoracion_cliente]])</f>
        <v>3</v>
      </c>
    </row>
    <row r="1388" spans="1:18" x14ac:dyDescent="0.25">
      <c r="A1388" t="s">
        <v>1664</v>
      </c>
      <c r="B1388" t="s">
        <v>113</v>
      </c>
      <c r="C1388" t="s">
        <v>114</v>
      </c>
      <c r="D1388" t="s">
        <v>115</v>
      </c>
      <c r="E1388" t="s">
        <v>116</v>
      </c>
      <c r="F1388">
        <f>ventas_libreria[[#This Row],[precio_eur]]/100</f>
        <v>12.51</v>
      </c>
      <c r="G1388">
        <v>1251</v>
      </c>
      <c r="H1388">
        <v>1</v>
      </c>
      <c r="I1388">
        <f>ventas_libreria[[#This Row],[precio]]*ventas_libreria[[#This Row],[cantidad]]</f>
        <v>12.51</v>
      </c>
      <c r="J1388">
        <v>29</v>
      </c>
      <c r="K1388" t="s">
        <v>30</v>
      </c>
      <c r="L1388" s="1">
        <v>45916</v>
      </c>
      <c r="M1388" t="s">
        <v>31</v>
      </c>
      <c r="N1388" t="s">
        <v>22</v>
      </c>
      <c r="O1388" t="s">
        <v>23</v>
      </c>
      <c r="P1388" t="s">
        <v>50</v>
      </c>
      <c r="Q1388">
        <v>5</v>
      </c>
      <c r="R1388">
        <f>IF(ventas_libreria[[#This Row],[valoracion_cliente]]="","Sin valoración",ventas_libreria[[#This Row],[valoracion_cliente]])</f>
        <v>5</v>
      </c>
    </row>
    <row r="1389" spans="1:18" x14ac:dyDescent="0.25">
      <c r="A1389" t="s">
        <v>1665</v>
      </c>
      <c r="B1389" t="s">
        <v>424</v>
      </c>
      <c r="C1389" t="s">
        <v>425</v>
      </c>
      <c r="D1389" t="s">
        <v>426</v>
      </c>
      <c r="E1389" t="s">
        <v>55</v>
      </c>
      <c r="F1389">
        <f>ventas_libreria[[#This Row],[precio_eur]]/100</f>
        <v>15.12</v>
      </c>
      <c r="G1389">
        <v>1512</v>
      </c>
      <c r="H1389">
        <v>1</v>
      </c>
      <c r="I1389">
        <f>ventas_libreria[[#This Row],[precio]]*ventas_libreria[[#This Row],[cantidad]]</f>
        <v>15.12</v>
      </c>
      <c r="J1389">
        <v>38</v>
      </c>
      <c r="K1389" t="s">
        <v>30</v>
      </c>
      <c r="L1389" s="1">
        <v>45390</v>
      </c>
      <c r="M1389" t="s">
        <v>31</v>
      </c>
      <c r="N1389" t="s">
        <v>32</v>
      </c>
      <c r="O1389" t="s">
        <v>33</v>
      </c>
      <c r="P1389" t="s">
        <v>50</v>
      </c>
      <c r="Q1389">
        <v>4</v>
      </c>
      <c r="R1389">
        <f>IF(ventas_libreria[[#This Row],[valoracion_cliente]]="","Sin valoración",ventas_libreria[[#This Row],[valoracion_cliente]])</f>
        <v>4</v>
      </c>
    </row>
    <row r="1390" spans="1:18" x14ac:dyDescent="0.25">
      <c r="A1390" t="s">
        <v>1666</v>
      </c>
      <c r="B1390" t="s">
        <v>141</v>
      </c>
      <c r="C1390" t="s">
        <v>142</v>
      </c>
      <c r="D1390" t="s">
        <v>143</v>
      </c>
      <c r="E1390" t="s">
        <v>116</v>
      </c>
      <c r="F1390">
        <f>ventas_libreria[[#This Row],[precio_eur]]/100</f>
        <v>12.66</v>
      </c>
      <c r="G1390">
        <v>1266</v>
      </c>
      <c r="H1390">
        <v>1</v>
      </c>
      <c r="I1390">
        <f>ventas_libreria[[#This Row],[precio]]*ventas_libreria[[#This Row],[cantidad]]</f>
        <v>12.66</v>
      </c>
      <c r="J1390">
        <v>29</v>
      </c>
      <c r="K1390" t="s">
        <v>20</v>
      </c>
      <c r="L1390" s="1">
        <v>45342</v>
      </c>
      <c r="M1390" t="s">
        <v>43</v>
      </c>
      <c r="N1390" t="s">
        <v>32</v>
      </c>
      <c r="O1390" t="s">
        <v>33</v>
      </c>
      <c r="P1390" t="s">
        <v>34</v>
      </c>
      <c r="Q1390">
        <v>3</v>
      </c>
      <c r="R1390">
        <f>IF(ventas_libreria[[#This Row],[valoracion_cliente]]="","Sin valoración",ventas_libreria[[#This Row],[valoracion_cliente]])</f>
        <v>3</v>
      </c>
    </row>
    <row r="1391" spans="1:18" x14ac:dyDescent="0.25">
      <c r="A1391" t="s">
        <v>1667</v>
      </c>
      <c r="B1391" t="s">
        <v>220</v>
      </c>
      <c r="C1391" t="s">
        <v>221</v>
      </c>
      <c r="D1391" t="s">
        <v>222</v>
      </c>
      <c r="E1391" t="s">
        <v>116</v>
      </c>
      <c r="F1391">
        <f>ventas_libreria[[#This Row],[precio_eur]]/100</f>
        <v>1.29</v>
      </c>
      <c r="G1391">
        <v>129</v>
      </c>
      <c r="H1391">
        <v>1</v>
      </c>
      <c r="I1391">
        <f>ventas_libreria[[#This Row],[precio]]*ventas_libreria[[#This Row],[cantidad]]</f>
        <v>1.29</v>
      </c>
      <c r="J1391">
        <v>24</v>
      </c>
      <c r="K1391" t="s">
        <v>38</v>
      </c>
      <c r="L1391" s="1">
        <v>45768</v>
      </c>
      <c r="M1391" t="s">
        <v>31</v>
      </c>
      <c r="N1391" t="s">
        <v>22</v>
      </c>
      <c r="O1391" t="s">
        <v>23</v>
      </c>
      <c r="P1391" t="s">
        <v>84</v>
      </c>
      <c r="R1391" t="str">
        <f>IF(ventas_libreria[[#This Row],[valoracion_cliente]]="","Sin valoración",ventas_libreria[[#This Row],[valoracion_cliente]])</f>
        <v>Sin valoración</v>
      </c>
    </row>
    <row r="1392" spans="1:18" x14ac:dyDescent="0.25">
      <c r="A1392" t="s">
        <v>1668</v>
      </c>
      <c r="B1392" t="s">
        <v>141</v>
      </c>
      <c r="C1392" t="s">
        <v>142</v>
      </c>
      <c r="D1392" t="s">
        <v>143</v>
      </c>
      <c r="E1392" t="s">
        <v>116</v>
      </c>
      <c r="F1392">
        <f>ventas_libreria[[#This Row],[precio_eur]]/100</f>
        <v>1.49</v>
      </c>
      <c r="G1392">
        <v>149</v>
      </c>
      <c r="H1392">
        <v>1</v>
      </c>
      <c r="I1392">
        <f>ventas_libreria[[#This Row],[precio]]*ventas_libreria[[#This Row],[cantidad]]</f>
        <v>1.49</v>
      </c>
      <c r="J1392">
        <v>59</v>
      </c>
      <c r="K1392" t="s">
        <v>30</v>
      </c>
      <c r="L1392" s="1">
        <v>45806</v>
      </c>
      <c r="M1392" t="s">
        <v>43</v>
      </c>
      <c r="N1392" t="s">
        <v>32</v>
      </c>
      <c r="O1392" t="s">
        <v>33</v>
      </c>
      <c r="P1392" t="s">
        <v>50</v>
      </c>
      <c r="Q1392">
        <v>4</v>
      </c>
      <c r="R1392">
        <f>IF(ventas_libreria[[#This Row],[valoracion_cliente]]="","Sin valoración",ventas_libreria[[#This Row],[valoracion_cliente]])</f>
        <v>4</v>
      </c>
    </row>
    <row r="1393" spans="1:18" x14ac:dyDescent="0.25">
      <c r="A1393" t="s">
        <v>1669</v>
      </c>
      <c r="B1393" t="s">
        <v>104</v>
      </c>
      <c r="C1393" t="s">
        <v>105</v>
      </c>
      <c r="D1393" t="s">
        <v>106</v>
      </c>
      <c r="E1393" t="s">
        <v>107</v>
      </c>
      <c r="F1393">
        <f>ventas_libreria[[#This Row],[precio_eur]]/100</f>
        <v>1.49</v>
      </c>
      <c r="G1393">
        <v>149</v>
      </c>
      <c r="H1393">
        <v>1</v>
      </c>
      <c r="I1393">
        <f>ventas_libreria[[#This Row],[precio]]*ventas_libreria[[#This Row],[cantidad]]</f>
        <v>1.49</v>
      </c>
      <c r="J1393">
        <v>22</v>
      </c>
      <c r="K1393" t="s">
        <v>62</v>
      </c>
      <c r="L1393" s="1">
        <v>45250</v>
      </c>
      <c r="M1393" t="s">
        <v>21</v>
      </c>
      <c r="N1393" t="s">
        <v>32</v>
      </c>
      <c r="O1393" t="s">
        <v>33</v>
      </c>
      <c r="P1393" t="s">
        <v>24</v>
      </c>
      <c r="R1393" t="str">
        <f>IF(ventas_libreria[[#This Row],[valoracion_cliente]]="","Sin valoración",ventas_libreria[[#This Row],[valoracion_cliente]])</f>
        <v>Sin valoración</v>
      </c>
    </row>
    <row r="1394" spans="1:18" x14ac:dyDescent="0.25">
      <c r="A1394" t="s">
        <v>1670</v>
      </c>
      <c r="B1394" t="s">
        <v>146</v>
      </c>
      <c r="C1394" t="s">
        <v>147</v>
      </c>
      <c r="D1394" t="s">
        <v>148</v>
      </c>
      <c r="E1394" t="s">
        <v>149</v>
      </c>
      <c r="F1394">
        <f>ventas_libreria[[#This Row],[precio_eur]]/100</f>
        <v>12.72</v>
      </c>
      <c r="G1394">
        <v>1272</v>
      </c>
      <c r="H1394">
        <v>2</v>
      </c>
      <c r="I1394">
        <f>ventas_libreria[[#This Row],[precio]]*ventas_libreria[[#This Row],[cantidad]]</f>
        <v>25.44</v>
      </c>
      <c r="J1394">
        <v>47</v>
      </c>
      <c r="K1394" t="s">
        <v>62</v>
      </c>
      <c r="L1394" s="1">
        <v>45293</v>
      </c>
      <c r="M1394" t="s">
        <v>31</v>
      </c>
      <c r="N1394" t="s">
        <v>32</v>
      </c>
      <c r="O1394" t="s">
        <v>33</v>
      </c>
      <c r="P1394" t="s">
        <v>50</v>
      </c>
      <c r="Q1394">
        <v>4</v>
      </c>
      <c r="R1394">
        <f>IF(ventas_libreria[[#This Row],[valoracion_cliente]]="","Sin valoración",ventas_libreria[[#This Row],[valoracion_cliente]])</f>
        <v>4</v>
      </c>
    </row>
    <row r="1395" spans="1:18" x14ac:dyDescent="0.25">
      <c r="A1395" t="s">
        <v>1671</v>
      </c>
      <c r="B1395" t="s">
        <v>286</v>
      </c>
      <c r="C1395" t="s">
        <v>287</v>
      </c>
      <c r="D1395" t="s">
        <v>288</v>
      </c>
      <c r="E1395" t="s">
        <v>289</v>
      </c>
      <c r="F1395">
        <f>ventas_libreria[[#This Row],[precio_eur]]/100</f>
        <v>2.19</v>
      </c>
      <c r="G1395">
        <v>219</v>
      </c>
      <c r="H1395">
        <v>1</v>
      </c>
      <c r="I1395">
        <f>ventas_libreria[[#This Row],[precio]]*ventas_libreria[[#This Row],[cantidad]]</f>
        <v>2.19</v>
      </c>
      <c r="J1395">
        <v>57</v>
      </c>
      <c r="K1395" t="s">
        <v>30</v>
      </c>
      <c r="L1395" s="1">
        <v>45169</v>
      </c>
      <c r="M1395" t="s">
        <v>21</v>
      </c>
      <c r="N1395" t="s">
        <v>32</v>
      </c>
      <c r="O1395" t="s">
        <v>33</v>
      </c>
      <c r="P1395" t="s">
        <v>84</v>
      </c>
      <c r="R1395" t="str">
        <f>IF(ventas_libreria[[#This Row],[valoracion_cliente]]="","Sin valoración",ventas_libreria[[#This Row],[valoracion_cliente]])</f>
        <v>Sin valoración</v>
      </c>
    </row>
    <row r="1396" spans="1:18" x14ac:dyDescent="0.25">
      <c r="A1396" t="s">
        <v>1672</v>
      </c>
      <c r="B1396" t="s">
        <v>181</v>
      </c>
      <c r="C1396" t="s">
        <v>182</v>
      </c>
      <c r="D1396" t="s">
        <v>183</v>
      </c>
      <c r="E1396" t="s">
        <v>116</v>
      </c>
      <c r="F1396">
        <f>ventas_libreria[[#This Row],[precio_eur]]/100</f>
        <v>11.12</v>
      </c>
      <c r="G1396">
        <v>1112</v>
      </c>
      <c r="H1396">
        <v>2</v>
      </c>
      <c r="I1396">
        <f>ventas_libreria[[#This Row],[precio]]*ventas_libreria[[#This Row],[cantidad]]</f>
        <v>22.24</v>
      </c>
      <c r="J1396">
        <v>33</v>
      </c>
      <c r="K1396" t="s">
        <v>20</v>
      </c>
      <c r="L1396" s="1">
        <v>45061</v>
      </c>
      <c r="M1396" t="s">
        <v>43</v>
      </c>
      <c r="N1396" t="s">
        <v>32</v>
      </c>
      <c r="O1396" t="s">
        <v>33</v>
      </c>
      <c r="P1396" t="s">
        <v>84</v>
      </c>
      <c r="Q1396">
        <v>4</v>
      </c>
      <c r="R1396">
        <f>IF(ventas_libreria[[#This Row],[valoracion_cliente]]="","Sin valoración",ventas_libreria[[#This Row],[valoracion_cliente]])</f>
        <v>4</v>
      </c>
    </row>
    <row r="1397" spans="1:18" x14ac:dyDescent="0.25">
      <c r="A1397" t="s">
        <v>1673</v>
      </c>
      <c r="B1397" t="s">
        <v>602</v>
      </c>
      <c r="C1397" t="s">
        <v>603</v>
      </c>
      <c r="D1397" t="s">
        <v>217</v>
      </c>
      <c r="E1397" t="s">
        <v>55</v>
      </c>
      <c r="F1397">
        <f>ventas_libreria[[#This Row],[precio_eur]]/100</f>
        <v>19.690000000000001</v>
      </c>
      <c r="G1397">
        <v>1969</v>
      </c>
      <c r="H1397">
        <v>1</v>
      </c>
      <c r="I1397">
        <f>ventas_libreria[[#This Row],[precio]]*ventas_libreria[[#This Row],[cantidad]]</f>
        <v>19.690000000000001</v>
      </c>
      <c r="J1397">
        <v>32</v>
      </c>
      <c r="K1397" t="s">
        <v>30</v>
      </c>
      <c r="L1397" s="1">
        <v>45006</v>
      </c>
      <c r="M1397" t="s">
        <v>43</v>
      </c>
      <c r="N1397" t="s">
        <v>32</v>
      </c>
      <c r="O1397" t="s">
        <v>33</v>
      </c>
      <c r="P1397" t="s">
        <v>84</v>
      </c>
      <c r="Q1397">
        <v>4</v>
      </c>
      <c r="R1397">
        <f>IF(ventas_libreria[[#This Row],[valoracion_cliente]]="","Sin valoración",ventas_libreria[[#This Row],[valoracion_cliente]])</f>
        <v>4</v>
      </c>
    </row>
    <row r="1398" spans="1:18" x14ac:dyDescent="0.25">
      <c r="A1398" t="s">
        <v>1674</v>
      </c>
      <c r="B1398" t="s">
        <v>69</v>
      </c>
      <c r="C1398" t="s">
        <v>70</v>
      </c>
      <c r="D1398" t="s">
        <v>71</v>
      </c>
      <c r="E1398" t="s">
        <v>72</v>
      </c>
      <c r="F1398">
        <f>ventas_libreria[[#This Row],[precio_eur]]/100</f>
        <v>1.69</v>
      </c>
      <c r="G1398">
        <v>169</v>
      </c>
      <c r="H1398">
        <v>1</v>
      </c>
      <c r="I1398">
        <f>ventas_libreria[[#This Row],[precio]]*ventas_libreria[[#This Row],[cantidad]]</f>
        <v>1.69</v>
      </c>
      <c r="J1398">
        <v>16</v>
      </c>
      <c r="K1398" t="s">
        <v>30</v>
      </c>
      <c r="L1398" s="1">
        <v>45505</v>
      </c>
      <c r="M1398" t="s">
        <v>21</v>
      </c>
      <c r="N1398" t="s">
        <v>32</v>
      </c>
      <c r="O1398" t="s">
        <v>33</v>
      </c>
      <c r="P1398" t="s">
        <v>24</v>
      </c>
      <c r="Q1398">
        <v>4</v>
      </c>
      <c r="R1398">
        <f>IF(ventas_libreria[[#This Row],[valoracion_cliente]]="","Sin valoración",ventas_libreria[[#This Row],[valoracion_cliente]])</f>
        <v>4</v>
      </c>
    </row>
    <row r="1399" spans="1:18" x14ac:dyDescent="0.25">
      <c r="A1399" t="s">
        <v>1675</v>
      </c>
      <c r="B1399" t="s">
        <v>100</v>
      </c>
      <c r="C1399" t="s">
        <v>101</v>
      </c>
      <c r="D1399" t="s">
        <v>102</v>
      </c>
      <c r="E1399" t="s">
        <v>61</v>
      </c>
      <c r="F1399">
        <f>ventas_libreria[[#This Row],[precio_eur]]/100</f>
        <v>10.71</v>
      </c>
      <c r="G1399">
        <v>1071</v>
      </c>
      <c r="H1399">
        <v>1</v>
      </c>
      <c r="I1399">
        <f>ventas_libreria[[#This Row],[precio]]*ventas_libreria[[#This Row],[cantidad]]</f>
        <v>10.71</v>
      </c>
      <c r="J1399">
        <v>19</v>
      </c>
      <c r="K1399" t="s">
        <v>20</v>
      </c>
      <c r="L1399" s="1">
        <v>44937</v>
      </c>
      <c r="M1399" t="s">
        <v>31</v>
      </c>
      <c r="N1399" t="s">
        <v>22</v>
      </c>
      <c r="O1399" t="s">
        <v>23</v>
      </c>
      <c r="P1399" t="s">
        <v>56</v>
      </c>
      <c r="Q1399">
        <v>4</v>
      </c>
      <c r="R1399">
        <f>IF(ventas_libreria[[#This Row],[valoracion_cliente]]="","Sin valoración",ventas_libreria[[#This Row],[valoracion_cliente]])</f>
        <v>4</v>
      </c>
    </row>
    <row r="1400" spans="1:18" x14ac:dyDescent="0.25">
      <c r="A1400" t="s">
        <v>1676</v>
      </c>
      <c r="B1400" t="s">
        <v>151</v>
      </c>
      <c r="C1400" t="s">
        <v>152</v>
      </c>
      <c r="D1400" t="s">
        <v>153</v>
      </c>
      <c r="E1400" t="s">
        <v>154</v>
      </c>
      <c r="F1400">
        <f>ventas_libreria[[#This Row],[precio_eur]]/100</f>
        <v>13.52</v>
      </c>
      <c r="G1400">
        <v>1352</v>
      </c>
      <c r="H1400">
        <v>2</v>
      </c>
      <c r="I1400">
        <f>ventas_libreria[[#This Row],[precio]]*ventas_libreria[[#This Row],[cantidad]]</f>
        <v>27.04</v>
      </c>
      <c r="J1400">
        <v>68</v>
      </c>
      <c r="K1400" t="s">
        <v>20</v>
      </c>
      <c r="L1400" s="1">
        <v>44939</v>
      </c>
      <c r="M1400" t="s">
        <v>31</v>
      </c>
      <c r="N1400" t="s">
        <v>22</v>
      </c>
      <c r="O1400" t="s">
        <v>98</v>
      </c>
      <c r="P1400" t="s">
        <v>24</v>
      </c>
      <c r="Q1400">
        <v>5</v>
      </c>
      <c r="R1400">
        <f>IF(ventas_libreria[[#This Row],[valoracion_cliente]]="","Sin valoración",ventas_libreria[[#This Row],[valoracion_cliente]])</f>
        <v>5</v>
      </c>
    </row>
    <row r="1401" spans="1:18" x14ac:dyDescent="0.25">
      <c r="A1401" t="s">
        <v>1677</v>
      </c>
      <c r="B1401" t="s">
        <v>406</v>
      </c>
      <c r="C1401" t="s">
        <v>407</v>
      </c>
      <c r="D1401" t="s">
        <v>88</v>
      </c>
      <c r="E1401" t="s">
        <v>77</v>
      </c>
      <c r="F1401">
        <f>ventas_libreria[[#This Row],[precio_eur]]/100</f>
        <v>1.19</v>
      </c>
      <c r="G1401">
        <v>119</v>
      </c>
      <c r="H1401">
        <v>2</v>
      </c>
      <c r="I1401">
        <f>ventas_libreria[[#This Row],[precio]]*ventas_libreria[[#This Row],[cantidad]]</f>
        <v>2.38</v>
      </c>
      <c r="J1401">
        <v>7</v>
      </c>
      <c r="K1401" t="s">
        <v>38</v>
      </c>
      <c r="L1401" s="1">
        <v>45143</v>
      </c>
      <c r="M1401" t="s">
        <v>31</v>
      </c>
      <c r="N1401" t="s">
        <v>32</v>
      </c>
      <c r="O1401" t="s">
        <v>33</v>
      </c>
      <c r="P1401" t="s">
        <v>34</v>
      </c>
      <c r="Q1401">
        <v>5</v>
      </c>
      <c r="R1401">
        <f>IF(ventas_libreria[[#This Row],[valoracion_cliente]]="","Sin valoración",ventas_libreria[[#This Row],[valoracion_cliente]])</f>
        <v>5</v>
      </c>
    </row>
    <row r="1402" spans="1:18" x14ac:dyDescent="0.25">
      <c r="A1402" t="s">
        <v>1678</v>
      </c>
      <c r="B1402" t="s">
        <v>74</v>
      </c>
      <c r="C1402" t="s">
        <v>75</v>
      </c>
      <c r="D1402" t="s">
        <v>76</v>
      </c>
      <c r="E1402" t="s">
        <v>77</v>
      </c>
      <c r="F1402">
        <f>ventas_libreria[[#This Row],[precio_eur]]/100</f>
        <v>17.489999999999998</v>
      </c>
      <c r="G1402">
        <v>1749</v>
      </c>
      <c r="H1402">
        <v>1</v>
      </c>
      <c r="I1402">
        <f>ventas_libreria[[#This Row],[precio]]*ventas_libreria[[#This Row],[cantidad]]</f>
        <v>17.489999999999998</v>
      </c>
      <c r="J1402">
        <v>10</v>
      </c>
      <c r="K1402" t="s">
        <v>20</v>
      </c>
      <c r="L1402" s="1">
        <v>45138</v>
      </c>
      <c r="M1402" t="s">
        <v>21</v>
      </c>
      <c r="N1402" t="s">
        <v>22</v>
      </c>
      <c r="O1402" t="s">
        <v>23</v>
      </c>
      <c r="P1402" t="s">
        <v>56</v>
      </c>
      <c r="Q1402">
        <v>4</v>
      </c>
      <c r="R1402">
        <f>IF(ventas_libreria[[#This Row],[valoracion_cliente]]="","Sin valoración",ventas_libreria[[#This Row],[valoracion_cliente]])</f>
        <v>4</v>
      </c>
    </row>
    <row r="1403" spans="1:18" x14ac:dyDescent="0.25">
      <c r="A1403" t="s">
        <v>1679</v>
      </c>
      <c r="B1403" t="s">
        <v>365</v>
      </c>
      <c r="C1403" t="s">
        <v>366</v>
      </c>
      <c r="D1403" t="s">
        <v>367</v>
      </c>
      <c r="E1403" t="s">
        <v>19</v>
      </c>
      <c r="F1403">
        <f>ventas_libreria[[#This Row],[precio_eur]]/100</f>
        <v>19.84</v>
      </c>
      <c r="G1403">
        <v>1984</v>
      </c>
      <c r="H1403">
        <v>1</v>
      </c>
      <c r="I1403">
        <f>ventas_libreria[[#This Row],[precio]]*ventas_libreria[[#This Row],[cantidad]]</f>
        <v>19.84</v>
      </c>
      <c r="J1403">
        <v>53</v>
      </c>
      <c r="K1403" t="s">
        <v>62</v>
      </c>
      <c r="L1403" s="1">
        <v>45222</v>
      </c>
      <c r="M1403" t="s">
        <v>31</v>
      </c>
      <c r="N1403" t="s">
        <v>22</v>
      </c>
      <c r="O1403" t="s">
        <v>49</v>
      </c>
      <c r="P1403" t="s">
        <v>50</v>
      </c>
      <c r="Q1403">
        <v>5</v>
      </c>
      <c r="R1403">
        <f>IF(ventas_libreria[[#This Row],[valoracion_cliente]]="","Sin valoración",ventas_libreria[[#This Row],[valoracion_cliente]])</f>
        <v>5</v>
      </c>
    </row>
    <row r="1404" spans="1:18" x14ac:dyDescent="0.25">
      <c r="A1404" t="s">
        <v>1680</v>
      </c>
      <c r="B1404" t="s">
        <v>134</v>
      </c>
      <c r="C1404" t="s">
        <v>135</v>
      </c>
      <c r="D1404" t="s">
        <v>106</v>
      </c>
      <c r="E1404" t="s">
        <v>107</v>
      </c>
      <c r="F1404">
        <f>ventas_libreria[[#This Row],[precio_eur]]/100</f>
        <v>1.49</v>
      </c>
      <c r="G1404">
        <v>149</v>
      </c>
      <c r="H1404">
        <v>3</v>
      </c>
      <c r="I1404">
        <f>ventas_libreria[[#This Row],[precio]]*ventas_libreria[[#This Row],[cantidad]]</f>
        <v>4.47</v>
      </c>
      <c r="J1404">
        <v>15</v>
      </c>
      <c r="K1404" t="s">
        <v>38</v>
      </c>
      <c r="L1404" s="1">
        <v>45115</v>
      </c>
      <c r="M1404" t="s">
        <v>43</v>
      </c>
      <c r="N1404" t="s">
        <v>32</v>
      </c>
      <c r="O1404" t="s">
        <v>33</v>
      </c>
      <c r="P1404" t="s">
        <v>50</v>
      </c>
      <c r="R1404" t="str">
        <f>IF(ventas_libreria[[#This Row],[valoracion_cliente]]="","Sin valoración",ventas_libreria[[#This Row],[valoracion_cliente]])</f>
        <v>Sin valoración</v>
      </c>
    </row>
    <row r="1405" spans="1:18" x14ac:dyDescent="0.25">
      <c r="A1405" t="s">
        <v>1681</v>
      </c>
      <c r="B1405" t="s">
        <v>268</v>
      </c>
      <c r="C1405" t="s">
        <v>269</v>
      </c>
      <c r="D1405" t="s">
        <v>270</v>
      </c>
      <c r="E1405" t="s">
        <v>83</v>
      </c>
      <c r="F1405">
        <f>ventas_libreria[[#This Row],[precio_eur]]/100</f>
        <v>1.0900000000000001</v>
      </c>
      <c r="G1405">
        <v>109</v>
      </c>
      <c r="H1405">
        <v>3</v>
      </c>
      <c r="I1405">
        <f>ventas_libreria[[#This Row],[precio]]*ventas_libreria[[#This Row],[cantidad]]</f>
        <v>3.2700000000000005</v>
      </c>
      <c r="J1405">
        <v>26</v>
      </c>
      <c r="K1405" t="s">
        <v>20</v>
      </c>
      <c r="L1405" s="1">
        <v>45020</v>
      </c>
      <c r="M1405" t="s">
        <v>31</v>
      </c>
      <c r="N1405" t="s">
        <v>32</v>
      </c>
      <c r="O1405" t="s">
        <v>33</v>
      </c>
      <c r="P1405" t="s">
        <v>56</v>
      </c>
      <c r="Q1405">
        <v>4</v>
      </c>
      <c r="R1405">
        <f>IF(ventas_libreria[[#This Row],[valoracion_cliente]]="","Sin valoración",ventas_libreria[[#This Row],[valoracion_cliente]])</f>
        <v>4</v>
      </c>
    </row>
    <row r="1406" spans="1:18" x14ac:dyDescent="0.25">
      <c r="A1406" t="s">
        <v>1682</v>
      </c>
      <c r="B1406" t="s">
        <v>276</v>
      </c>
      <c r="C1406" t="s">
        <v>277</v>
      </c>
      <c r="D1406" t="s">
        <v>278</v>
      </c>
      <c r="E1406" t="s">
        <v>189</v>
      </c>
      <c r="F1406">
        <f>ventas_libreria[[#This Row],[precio_eur]]/100</f>
        <v>16.11</v>
      </c>
      <c r="G1406">
        <v>1611</v>
      </c>
      <c r="H1406">
        <v>1</v>
      </c>
      <c r="I1406">
        <f>ventas_libreria[[#This Row],[precio]]*ventas_libreria[[#This Row],[cantidad]]</f>
        <v>16.11</v>
      </c>
      <c r="J1406">
        <v>18</v>
      </c>
      <c r="K1406" t="s">
        <v>30</v>
      </c>
      <c r="L1406" s="1">
        <v>45400</v>
      </c>
      <c r="M1406" t="s">
        <v>31</v>
      </c>
      <c r="N1406" t="s">
        <v>32</v>
      </c>
      <c r="O1406" t="s">
        <v>33</v>
      </c>
      <c r="P1406" t="s">
        <v>56</v>
      </c>
      <c r="Q1406">
        <v>5</v>
      </c>
      <c r="R1406">
        <f>IF(ventas_libreria[[#This Row],[valoracion_cliente]]="","Sin valoración",ventas_libreria[[#This Row],[valoracion_cliente]])</f>
        <v>5</v>
      </c>
    </row>
    <row r="1407" spans="1:18" x14ac:dyDescent="0.25">
      <c r="A1407" t="s">
        <v>1683</v>
      </c>
      <c r="B1407" t="s">
        <v>160</v>
      </c>
      <c r="C1407" t="s">
        <v>161</v>
      </c>
      <c r="D1407" t="s">
        <v>162</v>
      </c>
      <c r="E1407" t="s">
        <v>29</v>
      </c>
      <c r="F1407">
        <f>ventas_libreria[[#This Row],[precio_eur]]/100</f>
        <v>1.69</v>
      </c>
      <c r="G1407">
        <v>169</v>
      </c>
      <c r="H1407">
        <v>1</v>
      </c>
      <c r="I1407">
        <f>ventas_libreria[[#This Row],[precio]]*ventas_libreria[[#This Row],[cantidad]]</f>
        <v>1.69</v>
      </c>
      <c r="J1407">
        <v>56</v>
      </c>
      <c r="K1407" t="s">
        <v>62</v>
      </c>
      <c r="L1407" s="1">
        <v>45137</v>
      </c>
      <c r="M1407" t="s">
        <v>43</v>
      </c>
      <c r="N1407" t="s">
        <v>32</v>
      </c>
      <c r="O1407" t="s">
        <v>33</v>
      </c>
      <c r="P1407" t="s">
        <v>50</v>
      </c>
      <c r="Q1407">
        <v>4</v>
      </c>
      <c r="R1407">
        <f>IF(ventas_libreria[[#This Row],[valoracion_cliente]]="","Sin valoración",ventas_libreria[[#This Row],[valoracion_cliente]])</f>
        <v>4</v>
      </c>
    </row>
    <row r="1408" spans="1:18" x14ac:dyDescent="0.25">
      <c r="A1408" t="s">
        <v>1684</v>
      </c>
      <c r="B1408" t="s">
        <v>91</v>
      </c>
      <c r="C1408" t="s">
        <v>92</v>
      </c>
      <c r="D1408" t="s">
        <v>93</v>
      </c>
      <c r="E1408" t="s">
        <v>72</v>
      </c>
      <c r="F1408">
        <f>ventas_libreria[[#This Row],[precio_eur]]/100</f>
        <v>1.39</v>
      </c>
      <c r="G1408">
        <v>139</v>
      </c>
      <c r="H1408">
        <v>1</v>
      </c>
      <c r="I1408">
        <f>ventas_libreria[[#This Row],[precio]]*ventas_libreria[[#This Row],[cantidad]]</f>
        <v>1.39</v>
      </c>
      <c r="J1408">
        <v>45</v>
      </c>
      <c r="K1408" t="s">
        <v>20</v>
      </c>
      <c r="L1408" s="1">
        <v>45296</v>
      </c>
      <c r="M1408" t="s">
        <v>21</v>
      </c>
      <c r="N1408" t="s">
        <v>32</v>
      </c>
      <c r="O1408" t="s">
        <v>33</v>
      </c>
      <c r="P1408" t="s">
        <v>56</v>
      </c>
      <c r="Q1408">
        <v>3</v>
      </c>
      <c r="R1408">
        <f>IF(ventas_libreria[[#This Row],[valoracion_cliente]]="","Sin valoración",ventas_libreria[[#This Row],[valoracion_cliente]])</f>
        <v>3</v>
      </c>
    </row>
    <row r="1409" spans="1:18" x14ac:dyDescent="0.25">
      <c r="A1409" t="s">
        <v>1685</v>
      </c>
      <c r="B1409" t="s">
        <v>40</v>
      </c>
      <c r="C1409" t="s">
        <v>41</v>
      </c>
      <c r="D1409" t="s">
        <v>42</v>
      </c>
      <c r="E1409" t="s">
        <v>19</v>
      </c>
      <c r="F1409">
        <f>ventas_libreria[[#This Row],[precio_eur]]/100</f>
        <v>1.29</v>
      </c>
      <c r="G1409">
        <v>129</v>
      </c>
      <c r="H1409">
        <v>2</v>
      </c>
      <c r="I1409">
        <f>ventas_libreria[[#This Row],[precio]]*ventas_libreria[[#This Row],[cantidad]]</f>
        <v>2.58</v>
      </c>
      <c r="J1409">
        <v>23</v>
      </c>
      <c r="K1409" t="s">
        <v>20</v>
      </c>
      <c r="L1409" s="1">
        <v>45104</v>
      </c>
      <c r="M1409" t="s">
        <v>31</v>
      </c>
      <c r="N1409" t="s">
        <v>22</v>
      </c>
      <c r="O1409" t="s">
        <v>67</v>
      </c>
      <c r="P1409" t="s">
        <v>84</v>
      </c>
      <c r="Q1409">
        <v>4</v>
      </c>
      <c r="R1409">
        <f>IF(ventas_libreria[[#This Row],[valoracion_cliente]]="","Sin valoración",ventas_libreria[[#This Row],[valoracion_cliente]])</f>
        <v>4</v>
      </c>
    </row>
    <row r="1410" spans="1:18" x14ac:dyDescent="0.25">
      <c r="A1410" t="s">
        <v>1686</v>
      </c>
      <c r="B1410" t="s">
        <v>137</v>
      </c>
      <c r="C1410" t="s">
        <v>138</v>
      </c>
      <c r="D1410" t="s">
        <v>139</v>
      </c>
      <c r="E1410" t="s">
        <v>116</v>
      </c>
      <c r="F1410">
        <f>ventas_libreria[[#This Row],[precio_eur]]/100</f>
        <v>1.29</v>
      </c>
      <c r="G1410">
        <v>129</v>
      </c>
      <c r="H1410">
        <v>2</v>
      </c>
      <c r="I1410">
        <f>ventas_libreria[[#This Row],[precio]]*ventas_libreria[[#This Row],[cantidad]]</f>
        <v>2.58</v>
      </c>
      <c r="J1410">
        <v>52</v>
      </c>
      <c r="K1410" t="s">
        <v>38</v>
      </c>
      <c r="L1410" s="1">
        <v>45448</v>
      </c>
      <c r="M1410" t="s">
        <v>43</v>
      </c>
      <c r="N1410" t="s">
        <v>32</v>
      </c>
      <c r="O1410" t="s">
        <v>33</v>
      </c>
      <c r="P1410" t="s">
        <v>56</v>
      </c>
      <c r="Q1410">
        <v>5</v>
      </c>
      <c r="R1410">
        <f>IF(ventas_libreria[[#This Row],[valoracion_cliente]]="","Sin valoración",ventas_libreria[[#This Row],[valoracion_cliente]])</f>
        <v>5</v>
      </c>
    </row>
    <row r="1411" spans="1:18" x14ac:dyDescent="0.25">
      <c r="A1411" t="s">
        <v>1687</v>
      </c>
      <c r="B1411" t="s">
        <v>181</v>
      </c>
      <c r="C1411" t="s">
        <v>182</v>
      </c>
      <c r="D1411" t="s">
        <v>183</v>
      </c>
      <c r="E1411" t="s">
        <v>116</v>
      </c>
      <c r="F1411">
        <f>ventas_libreria[[#This Row],[precio_eur]]/100</f>
        <v>1.39</v>
      </c>
      <c r="G1411">
        <v>139</v>
      </c>
      <c r="H1411">
        <v>1</v>
      </c>
      <c r="I1411">
        <f>ventas_libreria[[#This Row],[precio]]*ventas_libreria[[#This Row],[cantidad]]</f>
        <v>1.39</v>
      </c>
      <c r="J1411">
        <v>30</v>
      </c>
      <c r="K1411" t="s">
        <v>38</v>
      </c>
      <c r="L1411" s="1">
        <v>45181</v>
      </c>
      <c r="M1411" t="s">
        <v>31</v>
      </c>
      <c r="N1411" t="s">
        <v>22</v>
      </c>
      <c r="O1411" t="s">
        <v>49</v>
      </c>
      <c r="P1411" t="s">
        <v>84</v>
      </c>
      <c r="Q1411">
        <v>3</v>
      </c>
      <c r="R1411">
        <f>IF(ventas_libreria[[#This Row],[valoracion_cliente]]="","Sin valoración",ventas_libreria[[#This Row],[valoracion_cliente]])</f>
        <v>3</v>
      </c>
    </row>
    <row r="1412" spans="1:18" x14ac:dyDescent="0.25">
      <c r="A1412" t="s">
        <v>1688</v>
      </c>
      <c r="B1412" t="s">
        <v>338</v>
      </c>
      <c r="C1412" t="s">
        <v>339</v>
      </c>
      <c r="D1412" t="s">
        <v>167</v>
      </c>
      <c r="E1412" t="s">
        <v>61</v>
      </c>
      <c r="F1412">
        <f>ventas_libreria[[#This Row],[precio_eur]]/100</f>
        <v>18.32</v>
      </c>
      <c r="G1412">
        <v>1832</v>
      </c>
      <c r="H1412">
        <v>2</v>
      </c>
      <c r="I1412">
        <f>ventas_libreria[[#This Row],[precio]]*ventas_libreria[[#This Row],[cantidad]]</f>
        <v>36.64</v>
      </c>
      <c r="J1412">
        <v>35</v>
      </c>
      <c r="K1412" t="s">
        <v>38</v>
      </c>
      <c r="L1412" s="1">
        <v>45420</v>
      </c>
      <c r="M1412" t="s">
        <v>31</v>
      </c>
      <c r="N1412" t="s">
        <v>32</v>
      </c>
      <c r="O1412" t="s">
        <v>33</v>
      </c>
      <c r="P1412" t="s">
        <v>50</v>
      </c>
      <c r="Q1412">
        <v>4</v>
      </c>
      <c r="R1412">
        <f>IF(ventas_libreria[[#This Row],[valoracion_cliente]]="","Sin valoración",ventas_libreria[[#This Row],[valoracion_cliente]])</f>
        <v>4</v>
      </c>
    </row>
    <row r="1413" spans="1:18" x14ac:dyDescent="0.25">
      <c r="A1413" t="s">
        <v>1689</v>
      </c>
      <c r="B1413" t="s">
        <v>52</v>
      </c>
      <c r="C1413" t="s">
        <v>53</v>
      </c>
      <c r="D1413" t="s">
        <v>54</v>
      </c>
      <c r="E1413" t="s">
        <v>55</v>
      </c>
      <c r="F1413">
        <f>ventas_libreria[[#This Row],[precio_eur]]/100</f>
        <v>11.25</v>
      </c>
      <c r="G1413">
        <v>1125</v>
      </c>
      <c r="H1413">
        <v>1</v>
      </c>
      <c r="I1413">
        <f>ventas_libreria[[#This Row],[precio]]*ventas_libreria[[#This Row],[cantidad]]</f>
        <v>11.25</v>
      </c>
      <c r="J1413">
        <v>56</v>
      </c>
      <c r="K1413" t="s">
        <v>20</v>
      </c>
      <c r="L1413" s="1">
        <v>44996</v>
      </c>
      <c r="M1413" t="s">
        <v>21</v>
      </c>
      <c r="N1413" t="s">
        <v>32</v>
      </c>
      <c r="O1413" t="s">
        <v>33</v>
      </c>
      <c r="P1413" t="s">
        <v>50</v>
      </c>
      <c r="Q1413">
        <v>3</v>
      </c>
      <c r="R1413">
        <f>IF(ventas_libreria[[#This Row],[valoracion_cliente]]="","Sin valoración",ventas_libreria[[#This Row],[valoracion_cliente]])</f>
        <v>3</v>
      </c>
    </row>
    <row r="1414" spans="1:18" x14ac:dyDescent="0.25">
      <c r="A1414" t="s">
        <v>1690</v>
      </c>
      <c r="B1414" t="s">
        <v>201</v>
      </c>
      <c r="C1414" t="s">
        <v>202</v>
      </c>
      <c r="D1414" t="s">
        <v>47</v>
      </c>
      <c r="E1414" t="s">
        <v>107</v>
      </c>
      <c r="F1414">
        <f>ventas_libreria[[#This Row],[precio_eur]]/100</f>
        <v>11.12</v>
      </c>
      <c r="G1414">
        <v>1112</v>
      </c>
      <c r="H1414">
        <v>4</v>
      </c>
      <c r="I1414">
        <f>ventas_libreria[[#This Row],[precio]]*ventas_libreria[[#This Row],[cantidad]]</f>
        <v>44.48</v>
      </c>
      <c r="J1414">
        <v>10</v>
      </c>
      <c r="K1414" t="s">
        <v>62</v>
      </c>
      <c r="L1414" s="1">
        <v>45325</v>
      </c>
      <c r="M1414" t="s">
        <v>31</v>
      </c>
      <c r="N1414" t="s">
        <v>22</v>
      </c>
      <c r="O1414" t="s">
        <v>23</v>
      </c>
      <c r="P1414" t="s">
        <v>56</v>
      </c>
      <c r="Q1414">
        <v>4</v>
      </c>
      <c r="R1414">
        <f>IF(ventas_libreria[[#This Row],[valoracion_cliente]]="","Sin valoración",ventas_libreria[[#This Row],[valoracion_cliente]])</f>
        <v>4</v>
      </c>
    </row>
    <row r="1415" spans="1:18" x14ac:dyDescent="0.25">
      <c r="A1415" t="s">
        <v>1691</v>
      </c>
      <c r="B1415" t="s">
        <v>137</v>
      </c>
      <c r="C1415" t="s">
        <v>138</v>
      </c>
      <c r="D1415" t="s">
        <v>139</v>
      </c>
      <c r="E1415" t="s">
        <v>116</v>
      </c>
      <c r="F1415">
        <f>ventas_libreria[[#This Row],[precio_eur]]/100</f>
        <v>10.96</v>
      </c>
      <c r="G1415">
        <v>1096</v>
      </c>
      <c r="H1415">
        <v>1</v>
      </c>
      <c r="I1415">
        <f>ventas_libreria[[#This Row],[precio]]*ventas_libreria[[#This Row],[cantidad]]</f>
        <v>10.96</v>
      </c>
      <c r="J1415">
        <v>41</v>
      </c>
      <c r="K1415" t="s">
        <v>38</v>
      </c>
      <c r="L1415" s="1">
        <v>45154</v>
      </c>
      <c r="M1415" t="s">
        <v>31</v>
      </c>
      <c r="N1415" t="s">
        <v>22</v>
      </c>
      <c r="O1415" t="s">
        <v>67</v>
      </c>
      <c r="P1415" t="s">
        <v>24</v>
      </c>
      <c r="Q1415">
        <v>4</v>
      </c>
      <c r="R1415">
        <f>IF(ventas_libreria[[#This Row],[valoracion_cliente]]="","Sin valoración",ventas_libreria[[#This Row],[valoracion_cliente]])</f>
        <v>4</v>
      </c>
    </row>
    <row r="1416" spans="1:18" x14ac:dyDescent="0.25">
      <c r="A1416" t="s">
        <v>1692</v>
      </c>
      <c r="B1416" t="s">
        <v>236</v>
      </c>
      <c r="C1416" t="s">
        <v>237</v>
      </c>
      <c r="D1416" t="s">
        <v>238</v>
      </c>
      <c r="E1416" t="s">
        <v>29</v>
      </c>
      <c r="F1416">
        <f>ventas_libreria[[#This Row],[precio_eur]]/100</f>
        <v>14.32</v>
      </c>
      <c r="G1416">
        <v>1432</v>
      </c>
      <c r="H1416">
        <v>1</v>
      </c>
      <c r="I1416">
        <f>ventas_libreria[[#This Row],[precio]]*ventas_libreria[[#This Row],[cantidad]]</f>
        <v>14.32</v>
      </c>
      <c r="J1416">
        <v>47</v>
      </c>
      <c r="K1416" t="s">
        <v>62</v>
      </c>
      <c r="L1416" s="1">
        <v>45248</v>
      </c>
      <c r="M1416" t="s">
        <v>21</v>
      </c>
      <c r="N1416" t="s">
        <v>22</v>
      </c>
      <c r="O1416" t="s">
        <v>67</v>
      </c>
      <c r="P1416" t="s">
        <v>34</v>
      </c>
      <c r="R1416" t="str">
        <f>IF(ventas_libreria[[#This Row],[valoracion_cliente]]="","Sin valoración",ventas_libreria[[#This Row],[valoracion_cliente]])</f>
        <v>Sin valoración</v>
      </c>
    </row>
    <row r="1417" spans="1:18" x14ac:dyDescent="0.25">
      <c r="A1417" t="s">
        <v>1693</v>
      </c>
      <c r="B1417" t="s">
        <v>247</v>
      </c>
      <c r="C1417" t="s">
        <v>248</v>
      </c>
      <c r="D1417" t="s">
        <v>249</v>
      </c>
      <c r="E1417" t="s">
        <v>172</v>
      </c>
      <c r="F1417">
        <f>ventas_libreria[[#This Row],[precio_eur]]/100</f>
        <v>11.12</v>
      </c>
      <c r="G1417">
        <v>1112</v>
      </c>
      <c r="H1417">
        <v>4</v>
      </c>
      <c r="I1417">
        <f>ventas_libreria[[#This Row],[precio]]*ventas_libreria[[#This Row],[cantidad]]</f>
        <v>44.48</v>
      </c>
      <c r="J1417">
        <v>29</v>
      </c>
      <c r="K1417" t="s">
        <v>62</v>
      </c>
      <c r="L1417" s="1">
        <v>45837</v>
      </c>
      <c r="M1417" t="s">
        <v>43</v>
      </c>
      <c r="N1417" t="s">
        <v>32</v>
      </c>
      <c r="O1417" t="s">
        <v>33</v>
      </c>
      <c r="P1417" t="s">
        <v>24</v>
      </c>
      <c r="Q1417">
        <v>4</v>
      </c>
      <c r="R1417">
        <f>IF(ventas_libreria[[#This Row],[valoracion_cliente]]="","Sin valoración",ventas_libreria[[#This Row],[valoracion_cliente]])</f>
        <v>4</v>
      </c>
    </row>
    <row r="1418" spans="1:18" x14ac:dyDescent="0.25">
      <c r="A1418" t="s">
        <v>1694</v>
      </c>
      <c r="B1418" t="s">
        <v>118</v>
      </c>
      <c r="C1418" t="s">
        <v>119</v>
      </c>
      <c r="D1418" t="s">
        <v>47</v>
      </c>
      <c r="E1418" t="s">
        <v>48</v>
      </c>
      <c r="F1418">
        <f>ventas_libreria[[#This Row],[precio_eur]]/100</f>
        <v>17.489999999999998</v>
      </c>
      <c r="G1418">
        <v>1749</v>
      </c>
      <c r="H1418">
        <v>1</v>
      </c>
      <c r="I1418">
        <f>ventas_libreria[[#This Row],[precio]]*ventas_libreria[[#This Row],[cantidad]]</f>
        <v>17.489999999999998</v>
      </c>
      <c r="J1418">
        <v>25</v>
      </c>
      <c r="K1418" t="s">
        <v>38</v>
      </c>
      <c r="L1418" s="1">
        <v>45660</v>
      </c>
      <c r="M1418" t="s">
        <v>21</v>
      </c>
      <c r="N1418" t="s">
        <v>32</v>
      </c>
      <c r="O1418" t="s">
        <v>33</v>
      </c>
      <c r="P1418" t="s">
        <v>50</v>
      </c>
      <c r="Q1418">
        <v>5</v>
      </c>
      <c r="R1418">
        <f>IF(ventas_libreria[[#This Row],[valoracion_cliente]]="","Sin valoración",ventas_libreria[[#This Row],[valoracion_cliente]])</f>
        <v>5</v>
      </c>
    </row>
    <row r="1419" spans="1:18" x14ac:dyDescent="0.25">
      <c r="A1419" t="s">
        <v>1695</v>
      </c>
      <c r="B1419" t="s">
        <v>156</v>
      </c>
      <c r="C1419" t="s">
        <v>157</v>
      </c>
      <c r="D1419" t="s">
        <v>158</v>
      </c>
      <c r="E1419" t="s">
        <v>149</v>
      </c>
      <c r="F1419">
        <f>ventas_libreria[[#This Row],[precio_eur]]/100</f>
        <v>20.79</v>
      </c>
      <c r="G1419">
        <v>2079</v>
      </c>
      <c r="H1419">
        <v>1</v>
      </c>
      <c r="I1419">
        <f>ventas_libreria[[#This Row],[precio]]*ventas_libreria[[#This Row],[cantidad]]</f>
        <v>20.79</v>
      </c>
      <c r="J1419">
        <v>47</v>
      </c>
      <c r="K1419" t="s">
        <v>62</v>
      </c>
      <c r="L1419" s="1">
        <v>45066</v>
      </c>
      <c r="M1419" t="s">
        <v>21</v>
      </c>
      <c r="N1419" t="s">
        <v>22</v>
      </c>
      <c r="O1419" t="s">
        <v>132</v>
      </c>
      <c r="P1419" t="s">
        <v>56</v>
      </c>
      <c r="Q1419">
        <v>4</v>
      </c>
      <c r="R1419">
        <f>IF(ventas_libreria[[#This Row],[valoracion_cliente]]="","Sin valoración",ventas_libreria[[#This Row],[valoracion_cliente]])</f>
        <v>4</v>
      </c>
    </row>
    <row r="1420" spans="1:18" x14ac:dyDescent="0.25">
      <c r="A1420" t="s">
        <v>1696</v>
      </c>
      <c r="B1420" t="s">
        <v>268</v>
      </c>
      <c r="C1420" t="s">
        <v>269</v>
      </c>
      <c r="D1420" t="s">
        <v>270</v>
      </c>
      <c r="E1420" t="s">
        <v>83</v>
      </c>
      <c r="F1420">
        <f>ventas_libreria[[#This Row],[precio_eur]]/100</f>
        <v>11.45</v>
      </c>
      <c r="G1420">
        <v>1145</v>
      </c>
      <c r="H1420">
        <v>1</v>
      </c>
      <c r="I1420">
        <f>ventas_libreria[[#This Row],[precio]]*ventas_libreria[[#This Row],[cantidad]]</f>
        <v>11.45</v>
      </c>
      <c r="J1420">
        <v>56</v>
      </c>
      <c r="K1420" t="s">
        <v>38</v>
      </c>
      <c r="L1420" s="1">
        <v>45351</v>
      </c>
      <c r="M1420" t="s">
        <v>21</v>
      </c>
      <c r="N1420" t="s">
        <v>32</v>
      </c>
      <c r="O1420" t="s">
        <v>33</v>
      </c>
      <c r="P1420" t="s">
        <v>56</v>
      </c>
      <c r="Q1420">
        <v>4</v>
      </c>
      <c r="R1420">
        <f>IF(ventas_libreria[[#This Row],[valoracion_cliente]]="","Sin valoración",ventas_libreria[[#This Row],[valoracion_cliente]])</f>
        <v>4</v>
      </c>
    </row>
    <row r="1421" spans="1:18" x14ac:dyDescent="0.25">
      <c r="A1421" t="s">
        <v>1697</v>
      </c>
      <c r="B1421" t="s">
        <v>318</v>
      </c>
      <c r="C1421" t="s">
        <v>319</v>
      </c>
      <c r="D1421" t="s">
        <v>167</v>
      </c>
      <c r="E1421" t="s">
        <v>61</v>
      </c>
      <c r="F1421">
        <f>ventas_libreria[[#This Row],[precio_eur]]/100</f>
        <v>19.84</v>
      </c>
      <c r="G1421">
        <v>1984</v>
      </c>
      <c r="H1421">
        <v>1</v>
      </c>
      <c r="I1421">
        <f>ventas_libreria[[#This Row],[precio]]*ventas_libreria[[#This Row],[cantidad]]</f>
        <v>19.84</v>
      </c>
      <c r="J1421">
        <v>16</v>
      </c>
      <c r="K1421" t="s">
        <v>38</v>
      </c>
      <c r="L1421" s="1">
        <v>45628</v>
      </c>
      <c r="M1421" t="s">
        <v>21</v>
      </c>
      <c r="N1421" t="s">
        <v>32</v>
      </c>
      <c r="O1421" t="s">
        <v>33</v>
      </c>
      <c r="P1421" t="s">
        <v>56</v>
      </c>
      <c r="Q1421">
        <v>5</v>
      </c>
      <c r="R1421">
        <f>IF(ventas_libreria[[#This Row],[valoracion_cliente]]="","Sin valoración",ventas_libreria[[#This Row],[valoracion_cliente]])</f>
        <v>5</v>
      </c>
    </row>
    <row r="1422" spans="1:18" x14ac:dyDescent="0.25">
      <c r="A1422" t="s">
        <v>1698</v>
      </c>
      <c r="B1422" t="s">
        <v>413</v>
      </c>
      <c r="C1422" t="s">
        <v>414</v>
      </c>
      <c r="D1422" t="s">
        <v>270</v>
      </c>
      <c r="E1422" t="s">
        <v>415</v>
      </c>
      <c r="F1422">
        <f>ventas_libreria[[#This Row],[precio_eur]]/100</f>
        <v>0.99</v>
      </c>
      <c r="G1422">
        <v>99</v>
      </c>
      <c r="H1422">
        <v>1</v>
      </c>
      <c r="I1422">
        <f>ventas_libreria[[#This Row],[precio]]*ventas_libreria[[#This Row],[cantidad]]</f>
        <v>0.99</v>
      </c>
      <c r="J1422">
        <v>51</v>
      </c>
      <c r="K1422" t="s">
        <v>30</v>
      </c>
      <c r="L1422" s="1">
        <v>45412</v>
      </c>
      <c r="M1422" t="s">
        <v>21</v>
      </c>
      <c r="N1422" t="s">
        <v>22</v>
      </c>
      <c r="O1422" t="s">
        <v>67</v>
      </c>
      <c r="P1422" t="s">
        <v>34</v>
      </c>
      <c r="Q1422">
        <v>4</v>
      </c>
      <c r="R1422">
        <f>IF(ventas_libreria[[#This Row],[valoracion_cliente]]="","Sin valoración",ventas_libreria[[#This Row],[valoracion_cliente]])</f>
        <v>4</v>
      </c>
    </row>
    <row r="1423" spans="1:18" x14ac:dyDescent="0.25">
      <c r="A1423" t="s">
        <v>1699</v>
      </c>
      <c r="B1423" t="s">
        <v>268</v>
      </c>
      <c r="C1423" t="s">
        <v>269</v>
      </c>
      <c r="D1423" t="s">
        <v>270</v>
      </c>
      <c r="E1423" t="s">
        <v>83</v>
      </c>
      <c r="F1423">
        <f>ventas_libreria[[#This Row],[precio_eur]]/100</f>
        <v>1.0900000000000001</v>
      </c>
      <c r="G1423">
        <v>109</v>
      </c>
      <c r="H1423">
        <v>4</v>
      </c>
      <c r="I1423">
        <f>ventas_libreria[[#This Row],[precio]]*ventas_libreria[[#This Row],[cantidad]]</f>
        <v>4.3600000000000003</v>
      </c>
      <c r="J1423">
        <v>58</v>
      </c>
      <c r="K1423" t="s">
        <v>30</v>
      </c>
      <c r="L1423" s="1">
        <v>45312</v>
      </c>
      <c r="M1423" t="s">
        <v>21</v>
      </c>
      <c r="N1423" t="s">
        <v>32</v>
      </c>
      <c r="O1423" t="s">
        <v>33</v>
      </c>
      <c r="P1423" t="s">
        <v>24</v>
      </c>
      <c r="Q1423">
        <v>2</v>
      </c>
      <c r="R1423">
        <f>IF(ventas_libreria[[#This Row],[valoracion_cliente]]="","Sin valoración",ventas_libreria[[#This Row],[valoracion_cliente]])</f>
        <v>2</v>
      </c>
    </row>
    <row r="1424" spans="1:18" x14ac:dyDescent="0.25">
      <c r="A1424" t="s">
        <v>1700</v>
      </c>
      <c r="B1424" t="s">
        <v>151</v>
      </c>
      <c r="C1424" t="s">
        <v>152</v>
      </c>
      <c r="D1424" t="s">
        <v>153</v>
      </c>
      <c r="E1424" t="s">
        <v>154</v>
      </c>
      <c r="F1424">
        <f>ventas_libreria[[#This Row],[precio_eur]]/100</f>
        <v>15.21</v>
      </c>
      <c r="G1424">
        <v>1521</v>
      </c>
      <c r="H1424">
        <v>1</v>
      </c>
      <c r="I1424">
        <f>ventas_libreria[[#This Row],[precio]]*ventas_libreria[[#This Row],[cantidad]]</f>
        <v>15.21</v>
      </c>
      <c r="J1424">
        <v>43</v>
      </c>
      <c r="K1424" t="s">
        <v>38</v>
      </c>
      <c r="L1424" s="1">
        <v>45387</v>
      </c>
      <c r="M1424" t="s">
        <v>31</v>
      </c>
      <c r="N1424" t="s">
        <v>22</v>
      </c>
      <c r="O1424" t="s">
        <v>49</v>
      </c>
      <c r="P1424" t="s">
        <v>24</v>
      </c>
      <c r="Q1424">
        <v>5</v>
      </c>
      <c r="R1424">
        <f>IF(ventas_libreria[[#This Row],[valoracion_cliente]]="","Sin valoración",ventas_libreria[[#This Row],[valoracion_cliente]])</f>
        <v>5</v>
      </c>
    </row>
    <row r="1425" spans="1:18" x14ac:dyDescent="0.25">
      <c r="A1425" t="s">
        <v>1701</v>
      </c>
      <c r="B1425" t="s">
        <v>186</v>
      </c>
      <c r="C1425" t="s">
        <v>187</v>
      </c>
      <c r="D1425" t="s">
        <v>188</v>
      </c>
      <c r="E1425" t="s">
        <v>189</v>
      </c>
      <c r="F1425">
        <f>ventas_libreria[[#This Row],[precio_eur]]/100</f>
        <v>1.99</v>
      </c>
      <c r="G1425">
        <v>199</v>
      </c>
      <c r="H1425">
        <v>1</v>
      </c>
      <c r="I1425">
        <f>ventas_libreria[[#This Row],[precio]]*ventas_libreria[[#This Row],[cantidad]]</f>
        <v>1.99</v>
      </c>
      <c r="J1425">
        <v>67</v>
      </c>
      <c r="K1425" t="s">
        <v>30</v>
      </c>
      <c r="L1425" s="1">
        <v>45316</v>
      </c>
      <c r="M1425" t="s">
        <v>43</v>
      </c>
      <c r="N1425" t="s">
        <v>32</v>
      </c>
      <c r="O1425" t="s">
        <v>33</v>
      </c>
      <c r="P1425" t="s">
        <v>84</v>
      </c>
      <c r="Q1425">
        <v>4</v>
      </c>
      <c r="R1425">
        <f>IF(ventas_libreria[[#This Row],[valoracion_cliente]]="","Sin valoración",ventas_libreria[[#This Row],[valoracion_cliente]])</f>
        <v>4</v>
      </c>
    </row>
    <row r="1426" spans="1:18" x14ac:dyDescent="0.25">
      <c r="A1426" t="s">
        <v>1702</v>
      </c>
      <c r="B1426" t="s">
        <v>104</v>
      </c>
      <c r="C1426" t="s">
        <v>105</v>
      </c>
      <c r="D1426" t="s">
        <v>106</v>
      </c>
      <c r="E1426" t="s">
        <v>107</v>
      </c>
      <c r="F1426">
        <f>ventas_libreria[[#This Row],[precio_eur]]/100</f>
        <v>1.49</v>
      </c>
      <c r="G1426">
        <v>149</v>
      </c>
      <c r="H1426">
        <v>2</v>
      </c>
      <c r="I1426">
        <f>ventas_libreria[[#This Row],[precio]]*ventas_libreria[[#This Row],[cantidad]]</f>
        <v>2.98</v>
      </c>
      <c r="J1426">
        <v>12</v>
      </c>
      <c r="K1426" t="s">
        <v>30</v>
      </c>
      <c r="L1426" s="1">
        <v>45748</v>
      </c>
      <c r="M1426" t="s">
        <v>31</v>
      </c>
      <c r="N1426" t="s">
        <v>32</v>
      </c>
      <c r="O1426" t="s">
        <v>33</v>
      </c>
      <c r="P1426" t="s">
        <v>56</v>
      </c>
      <c r="Q1426">
        <v>4</v>
      </c>
      <c r="R1426">
        <f>IF(ventas_libreria[[#This Row],[valoracion_cliente]]="","Sin valoración",ventas_libreria[[#This Row],[valoracion_cliente]])</f>
        <v>4</v>
      </c>
    </row>
    <row r="1427" spans="1:18" x14ac:dyDescent="0.25">
      <c r="A1427" t="s">
        <v>1703</v>
      </c>
      <c r="B1427" t="s">
        <v>197</v>
      </c>
      <c r="C1427" t="s">
        <v>198</v>
      </c>
      <c r="D1427" t="s">
        <v>199</v>
      </c>
      <c r="E1427" t="s">
        <v>55</v>
      </c>
      <c r="F1427">
        <f>ventas_libreria[[#This Row],[precio_eur]]/100</f>
        <v>1.75</v>
      </c>
      <c r="G1427">
        <v>175</v>
      </c>
      <c r="H1427">
        <v>2</v>
      </c>
      <c r="I1427">
        <f>ventas_libreria[[#This Row],[precio]]*ventas_libreria[[#This Row],[cantidad]]</f>
        <v>3.5</v>
      </c>
      <c r="J1427">
        <v>17</v>
      </c>
      <c r="K1427" t="s">
        <v>62</v>
      </c>
      <c r="L1427" s="1">
        <v>45224</v>
      </c>
      <c r="M1427" t="s">
        <v>21</v>
      </c>
      <c r="N1427" t="s">
        <v>32</v>
      </c>
      <c r="O1427" t="s">
        <v>33</v>
      </c>
      <c r="P1427" t="s">
        <v>34</v>
      </c>
      <c r="Q1427">
        <v>3</v>
      </c>
      <c r="R1427">
        <f>IF(ventas_libreria[[#This Row],[valoracion_cliente]]="","Sin valoración",ventas_libreria[[#This Row],[valoracion_cliente]])</f>
        <v>3</v>
      </c>
    </row>
    <row r="1428" spans="1:18" x14ac:dyDescent="0.25">
      <c r="A1428" t="s">
        <v>1704</v>
      </c>
      <c r="B1428" t="s">
        <v>137</v>
      </c>
      <c r="C1428" t="s">
        <v>138</v>
      </c>
      <c r="D1428" t="s">
        <v>139</v>
      </c>
      <c r="E1428" t="s">
        <v>116</v>
      </c>
      <c r="F1428">
        <f>ventas_libreria[[#This Row],[precio_eur]]/100</f>
        <v>13.55</v>
      </c>
      <c r="G1428">
        <v>1355</v>
      </c>
      <c r="H1428">
        <v>1</v>
      </c>
      <c r="I1428">
        <f>ventas_libreria[[#This Row],[precio]]*ventas_libreria[[#This Row],[cantidad]]</f>
        <v>13.55</v>
      </c>
      <c r="J1428">
        <v>50</v>
      </c>
      <c r="K1428" t="s">
        <v>62</v>
      </c>
      <c r="L1428" s="1">
        <v>45409</v>
      </c>
      <c r="M1428" t="s">
        <v>31</v>
      </c>
      <c r="N1428" t="s">
        <v>32</v>
      </c>
      <c r="O1428" t="s">
        <v>33</v>
      </c>
      <c r="P1428" t="s">
        <v>24</v>
      </c>
      <c r="R1428" t="str">
        <f>IF(ventas_libreria[[#This Row],[valoracion_cliente]]="","Sin valoración",ventas_libreria[[#This Row],[valoracion_cliente]])</f>
        <v>Sin valoración</v>
      </c>
    </row>
    <row r="1429" spans="1:18" x14ac:dyDescent="0.25">
      <c r="A1429" t="s">
        <v>1705</v>
      </c>
      <c r="B1429" t="s">
        <v>291</v>
      </c>
      <c r="C1429" t="s">
        <v>292</v>
      </c>
      <c r="D1429" t="s">
        <v>76</v>
      </c>
      <c r="E1429" t="s">
        <v>77</v>
      </c>
      <c r="F1429">
        <f>ventas_libreria[[#This Row],[precio_eur]]/100</f>
        <v>8.42</v>
      </c>
      <c r="G1429">
        <v>842</v>
      </c>
      <c r="H1429">
        <v>2</v>
      </c>
      <c r="I1429">
        <f>ventas_libreria[[#This Row],[precio]]*ventas_libreria[[#This Row],[cantidad]]</f>
        <v>16.84</v>
      </c>
      <c r="J1429">
        <v>12</v>
      </c>
      <c r="K1429" t="s">
        <v>30</v>
      </c>
      <c r="L1429" s="1">
        <v>46019</v>
      </c>
      <c r="M1429" t="s">
        <v>31</v>
      </c>
      <c r="N1429" t="s">
        <v>32</v>
      </c>
      <c r="O1429" t="s">
        <v>33</v>
      </c>
      <c r="P1429" t="s">
        <v>50</v>
      </c>
      <c r="R1429" t="str">
        <f>IF(ventas_libreria[[#This Row],[valoracion_cliente]]="","Sin valoración",ventas_libreria[[#This Row],[valoracion_cliente]])</f>
        <v>Sin valoración</v>
      </c>
    </row>
    <row r="1430" spans="1:18" x14ac:dyDescent="0.25">
      <c r="A1430" t="s">
        <v>1706</v>
      </c>
      <c r="B1430" t="s">
        <v>74</v>
      </c>
      <c r="C1430" t="s">
        <v>75</v>
      </c>
      <c r="D1430" t="s">
        <v>76</v>
      </c>
      <c r="E1430" t="s">
        <v>77</v>
      </c>
      <c r="F1430">
        <f>ventas_libreria[[#This Row],[precio_eur]]/100</f>
        <v>1.67</v>
      </c>
      <c r="G1430">
        <v>167</v>
      </c>
      <c r="H1430">
        <v>1</v>
      </c>
      <c r="I1430">
        <f>ventas_libreria[[#This Row],[precio]]*ventas_libreria[[#This Row],[cantidad]]</f>
        <v>1.67</v>
      </c>
      <c r="J1430">
        <v>5</v>
      </c>
      <c r="K1430" t="s">
        <v>20</v>
      </c>
      <c r="L1430" s="1">
        <v>45271</v>
      </c>
      <c r="M1430" t="s">
        <v>31</v>
      </c>
      <c r="N1430" t="s">
        <v>32</v>
      </c>
      <c r="O1430" t="s">
        <v>33</v>
      </c>
      <c r="P1430" t="s">
        <v>84</v>
      </c>
      <c r="Q1430">
        <v>4</v>
      </c>
      <c r="R1430">
        <f>IF(ventas_libreria[[#This Row],[valoracion_cliente]]="","Sin valoración",ventas_libreria[[#This Row],[valoracion_cliente]])</f>
        <v>4</v>
      </c>
    </row>
    <row r="1431" spans="1:18" x14ac:dyDescent="0.25">
      <c r="A1431" t="s">
        <v>1707</v>
      </c>
      <c r="B1431" t="s">
        <v>58</v>
      </c>
      <c r="C1431" t="s">
        <v>59</v>
      </c>
      <c r="D1431" t="s">
        <v>60</v>
      </c>
      <c r="E1431" t="s">
        <v>61</v>
      </c>
      <c r="F1431">
        <f>ventas_libreria[[#This Row],[precio_eur]]/100</f>
        <v>10.96</v>
      </c>
      <c r="G1431">
        <v>1096</v>
      </c>
      <c r="H1431">
        <v>1</v>
      </c>
      <c r="I1431">
        <f>ventas_libreria[[#This Row],[precio]]*ventas_libreria[[#This Row],[cantidad]]</f>
        <v>10.96</v>
      </c>
      <c r="J1431">
        <v>60</v>
      </c>
      <c r="K1431" t="s">
        <v>20</v>
      </c>
      <c r="L1431" s="1">
        <v>45323</v>
      </c>
      <c r="M1431" t="s">
        <v>43</v>
      </c>
      <c r="N1431" t="s">
        <v>32</v>
      </c>
      <c r="O1431" t="s">
        <v>33</v>
      </c>
      <c r="P1431" t="s">
        <v>56</v>
      </c>
      <c r="Q1431">
        <v>4</v>
      </c>
      <c r="R1431">
        <f>IF(ventas_libreria[[#This Row],[valoracion_cliente]]="","Sin valoración",ventas_libreria[[#This Row],[valoracion_cliente]])</f>
        <v>4</v>
      </c>
    </row>
    <row r="1432" spans="1:18" x14ac:dyDescent="0.25">
      <c r="A1432" t="s">
        <v>1708</v>
      </c>
      <c r="B1432" t="s">
        <v>64</v>
      </c>
      <c r="C1432" t="s">
        <v>65</v>
      </c>
      <c r="D1432" t="s">
        <v>66</v>
      </c>
      <c r="E1432" t="s">
        <v>29</v>
      </c>
      <c r="F1432">
        <f>ventas_libreria[[#This Row],[precio_eur]]/100</f>
        <v>1.65</v>
      </c>
      <c r="G1432">
        <v>165</v>
      </c>
      <c r="H1432">
        <v>2</v>
      </c>
      <c r="I1432">
        <f>ventas_libreria[[#This Row],[precio]]*ventas_libreria[[#This Row],[cantidad]]</f>
        <v>3.3</v>
      </c>
      <c r="J1432">
        <v>47</v>
      </c>
      <c r="K1432" t="s">
        <v>20</v>
      </c>
      <c r="L1432" s="1">
        <v>45653</v>
      </c>
      <c r="M1432" t="s">
        <v>43</v>
      </c>
      <c r="N1432" t="s">
        <v>32</v>
      </c>
      <c r="O1432" t="s">
        <v>33</v>
      </c>
      <c r="P1432" t="s">
        <v>84</v>
      </c>
      <c r="Q1432">
        <v>4</v>
      </c>
      <c r="R1432">
        <f>IF(ventas_libreria[[#This Row],[valoracion_cliente]]="","Sin valoración",ventas_libreria[[#This Row],[valoracion_cliente]])</f>
        <v>4</v>
      </c>
    </row>
    <row r="1433" spans="1:18" x14ac:dyDescent="0.25">
      <c r="A1433" t="s">
        <v>1709</v>
      </c>
      <c r="B1433" t="s">
        <v>215</v>
      </c>
      <c r="C1433" t="s">
        <v>216</v>
      </c>
      <c r="D1433" t="s">
        <v>217</v>
      </c>
      <c r="E1433" t="s">
        <v>55</v>
      </c>
      <c r="F1433">
        <f>ventas_libreria[[#This Row],[precio_eur]]/100</f>
        <v>20.350000000000001</v>
      </c>
      <c r="G1433">
        <v>2035</v>
      </c>
      <c r="H1433">
        <v>1</v>
      </c>
      <c r="I1433">
        <f>ventas_libreria[[#This Row],[precio]]*ventas_libreria[[#This Row],[cantidad]]</f>
        <v>20.350000000000001</v>
      </c>
      <c r="J1433">
        <v>32</v>
      </c>
      <c r="K1433" t="s">
        <v>30</v>
      </c>
      <c r="L1433" s="1">
        <v>44974</v>
      </c>
      <c r="M1433" t="s">
        <v>31</v>
      </c>
      <c r="N1433" t="s">
        <v>32</v>
      </c>
      <c r="O1433" t="s">
        <v>33</v>
      </c>
      <c r="P1433" t="s">
        <v>84</v>
      </c>
      <c r="Q1433">
        <v>5</v>
      </c>
      <c r="R1433">
        <f>IF(ventas_libreria[[#This Row],[valoracion_cliente]]="","Sin valoración",ventas_libreria[[#This Row],[valoracion_cliente]])</f>
        <v>5</v>
      </c>
    </row>
    <row r="1434" spans="1:18" x14ac:dyDescent="0.25">
      <c r="A1434" t="s">
        <v>1710</v>
      </c>
      <c r="B1434" t="s">
        <v>384</v>
      </c>
      <c r="C1434" t="s">
        <v>385</v>
      </c>
      <c r="D1434" t="s">
        <v>158</v>
      </c>
      <c r="E1434" t="s">
        <v>149</v>
      </c>
      <c r="F1434">
        <f>ventas_libreria[[#This Row],[precio_eur]]/100</f>
        <v>2.19</v>
      </c>
      <c r="G1434">
        <v>219</v>
      </c>
      <c r="H1434">
        <v>1</v>
      </c>
      <c r="I1434">
        <f>ventas_libreria[[#This Row],[precio]]*ventas_libreria[[#This Row],[cantidad]]</f>
        <v>2.19</v>
      </c>
      <c r="J1434">
        <v>49</v>
      </c>
      <c r="K1434" t="s">
        <v>62</v>
      </c>
      <c r="L1434" s="1">
        <v>45258</v>
      </c>
      <c r="M1434" t="s">
        <v>31</v>
      </c>
      <c r="N1434" t="s">
        <v>22</v>
      </c>
      <c r="O1434" t="s">
        <v>23</v>
      </c>
      <c r="P1434" t="s">
        <v>24</v>
      </c>
      <c r="Q1434">
        <v>5</v>
      </c>
      <c r="R1434">
        <f>IF(ventas_libreria[[#This Row],[valoracion_cliente]]="","Sin valoración",ventas_libreria[[#This Row],[valoracion_cliente]])</f>
        <v>5</v>
      </c>
    </row>
    <row r="1435" spans="1:18" x14ac:dyDescent="0.25">
      <c r="A1435" t="s">
        <v>1711</v>
      </c>
      <c r="B1435" t="s">
        <v>26</v>
      </c>
      <c r="C1435" t="s">
        <v>27</v>
      </c>
      <c r="D1435" t="s">
        <v>28</v>
      </c>
      <c r="E1435" t="s">
        <v>29</v>
      </c>
      <c r="F1435">
        <f>ventas_libreria[[#This Row],[precio_eur]]/100</f>
        <v>1.89</v>
      </c>
      <c r="G1435">
        <v>189</v>
      </c>
      <c r="H1435">
        <v>1</v>
      </c>
      <c r="I1435">
        <f>ventas_libreria[[#This Row],[precio]]*ventas_libreria[[#This Row],[cantidad]]</f>
        <v>1.89</v>
      </c>
      <c r="J1435">
        <v>50</v>
      </c>
      <c r="K1435" t="s">
        <v>20</v>
      </c>
      <c r="L1435" s="1">
        <v>44993</v>
      </c>
      <c r="M1435" t="s">
        <v>43</v>
      </c>
      <c r="N1435" t="s">
        <v>32</v>
      </c>
      <c r="O1435" t="s">
        <v>33</v>
      </c>
      <c r="P1435" t="s">
        <v>34</v>
      </c>
      <c r="Q1435">
        <v>3</v>
      </c>
      <c r="R1435">
        <f>IF(ventas_libreria[[#This Row],[valoracion_cliente]]="","Sin valoración",ventas_libreria[[#This Row],[valoracion_cliente]])</f>
        <v>3</v>
      </c>
    </row>
    <row r="1436" spans="1:18" x14ac:dyDescent="0.25">
      <c r="A1436" t="s">
        <v>1712</v>
      </c>
      <c r="B1436" t="s">
        <v>95</v>
      </c>
      <c r="C1436" t="s">
        <v>96</v>
      </c>
      <c r="D1436" t="s">
        <v>97</v>
      </c>
      <c r="E1436" t="s">
        <v>29</v>
      </c>
      <c r="F1436">
        <f>ventas_libreria[[#This Row],[precio_eur]]/100</f>
        <v>16.11</v>
      </c>
      <c r="G1436">
        <v>1611</v>
      </c>
      <c r="H1436">
        <v>1</v>
      </c>
      <c r="I1436">
        <f>ventas_libreria[[#This Row],[precio]]*ventas_libreria[[#This Row],[cantidad]]</f>
        <v>16.11</v>
      </c>
      <c r="J1436">
        <v>54</v>
      </c>
      <c r="K1436" t="s">
        <v>62</v>
      </c>
      <c r="L1436" s="1">
        <v>45178</v>
      </c>
      <c r="M1436" t="s">
        <v>21</v>
      </c>
      <c r="N1436" t="s">
        <v>32</v>
      </c>
      <c r="O1436" t="s">
        <v>33</v>
      </c>
      <c r="P1436" t="s">
        <v>50</v>
      </c>
      <c r="Q1436">
        <v>5</v>
      </c>
      <c r="R1436">
        <f>IF(ventas_libreria[[#This Row],[valoracion_cliente]]="","Sin valoración",ventas_libreria[[#This Row],[valoracion_cliente]])</f>
        <v>5</v>
      </c>
    </row>
    <row r="1437" spans="1:18" x14ac:dyDescent="0.25">
      <c r="A1437" t="s">
        <v>1713</v>
      </c>
      <c r="B1437" t="s">
        <v>181</v>
      </c>
      <c r="C1437" t="s">
        <v>182</v>
      </c>
      <c r="D1437" t="s">
        <v>183</v>
      </c>
      <c r="E1437" t="s">
        <v>116</v>
      </c>
      <c r="F1437">
        <f>ventas_libreria[[#This Row],[precio_eur]]/100</f>
        <v>11.12</v>
      </c>
      <c r="G1437">
        <v>1112</v>
      </c>
      <c r="H1437">
        <v>1</v>
      </c>
      <c r="I1437">
        <f>ventas_libreria[[#This Row],[precio]]*ventas_libreria[[#This Row],[cantidad]]</f>
        <v>11.12</v>
      </c>
      <c r="J1437">
        <v>33</v>
      </c>
      <c r="K1437" t="s">
        <v>38</v>
      </c>
      <c r="L1437" s="1">
        <v>46014</v>
      </c>
      <c r="M1437" t="s">
        <v>31</v>
      </c>
      <c r="N1437" t="s">
        <v>32</v>
      </c>
      <c r="O1437" t="s">
        <v>33</v>
      </c>
      <c r="P1437" t="s">
        <v>24</v>
      </c>
      <c r="Q1437">
        <v>4</v>
      </c>
      <c r="R1437">
        <f>IF(ventas_libreria[[#This Row],[valoracion_cliente]]="","Sin valoración",ventas_libreria[[#This Row],[valoracion_cliente]])</f>
        <v>4</v>
      </c>
    </row>
    <row r="1438" spans="1:18" x14ac:dyDescent="0.25">
      <c r="A1438" t="s">
        <v>1714</v>
      </c>
      <c r="B1438" t="s">
        <v>530</v>
      </c>
      <c r="C1438" t="s">
        <v>531</v>
      </c>
      <c r="D1438" t="s">
        <v>195</v>
      </c>
      <c r="E1438" t="s">
        <v>48</v>
      </c>
      <c r="F1438">
        <f>ventas_libreria[[#This Row],[precio_eur]]/100</f>
        <v>1.99</v>
      </c>
      <c r="G1438">
        <v>199</v>
      </c>
      <c r="H1438">
        <v>1</v>
      </c>
      <c r="I1438">
        <f>ventas_libreria[[#This Row],[precio]]*ventas_libreria[[#This Row],[cantidad]]</f>
        <v>1.99</v>
      </c>
      <c r="J1438">
        <v>25</v>
      </c>
      <c r="K1438" t="s">
        <v>62</v>
      </c>
      <c r="L1438" s="1">
        <v>45747</v>
      </c>
      <c r="M1438" t="s">
        <v>43</v>
      </c>
      <c r="N1438" t="s">
        <v>32</v>
      </c>
      <c r="O1438" t="s">
        <v>33</v>
      </c>
      <c r="P1438" t="s">
        <v>56</v>
      </c>
      <c r="R1438" t="str">
        <f>IF(ventas_libreria[[#This Row],[valoracion_cliente]]="","Sin valoración",ventas_libreria[[#This Row],[valoracion_cliente]])</f>
        <v>Sin valoración</v>
      </c>
    </row>
    <row r="1439" spans="1:18" x14ac:dyDescent="0.25">
      <c r="A1439" t="s">
        <v>1715</v>
      </c>
      <c r="B1439" t="s">
        <v>549</v>
      </c>
      <c r="C1439" t="s">
        <v>550</v>
      </c>
      <c r="D1439" t="s">
        <v>162</v>
      </c>
      <c r="E1439" t="s">
        <v>29</v>
      </c>
      <c r="F1439">
        <f>ventas_libreria[[#This Row],[precio_eur]]/100</f>
        <v>21.89</v>
      </c>
      <c r="G1439">
        <v>2189</v>
      </c>
      <c r="H1439">
        <v>2</v>
      </c>
      <c r="I1439">
        <f>ventas_libreria[[#This Row],[precio]]*ventas_libreria[[#This Row],[cantidad]]</f>
        <v>43.78</v>
      </c>
      <c r="J1439">
        <v>25</v>
      </c>
      <c r="K1439" t="s">
        <v>30</v>
      </c>
      <c r="L1439" s="1">
        <v>45182</v>
      </c>
      <c r="M1439" t="s">
        <v>31</v>
      </c>
      <c r="N1439" t="s">
        <v>32</v>
      </c>
      <c r="O1439" t="s">
        <v>33</v>
      </c>
      <c r="P1439" t="s">
        <v>24</v>
      </c>
      <c r="Q1439">
        <v>5</v>
      </c>
      <c r="R1439">
        <f>IF(ventas_libreria[[#This Row],[valoracion_cliente]]="","Sin valoración",ventas_libreria[[#This Row],[valoracion_cliente]])</f>
        <v>5</v>
      </c>
    </row>
    <row r="1440" spans="1:18" x14ac:dyDescent="0.25">
      <c r="A1440" t="s">
        <v>1716</v>
      </c>
      <c r="B1440" t="s">
        <v>95</v>
      </c>
      <c r="C1440" t="s">
        <v>96</v>
      </c>
      <c r="D1440" t="s">
        <v>97</v>
      </c>
      <c r="E1440" t="s">
        <v>29</v>
      </c>
      <c r="F1440">
        <f>ventas_libreria[[#This Row],[precio_eur]]/100</f>
        <v>1.79</v>
      </c>
      <c r="G1440">
        <v>179</v>
      </c>
      <c r="H1440">
        <v>2</v>
      </c>
      <c r="I1440">
        <f>ventas_libreria[[#This Row],[precio]]*ventas_libreria[[#This Row],[cantidad]]</f>
        <v>3.58</v>
      </c>
      <c r="J1440">
        <v>32</v>
      </c>
      <c r="K1440" t="s">
        <v>20</v>
      </c>
      <c r="L1440" s="1">
        <v>45473</v>
      </c>
      <c r="M1440" t="s">
        <v>31</v>
      </c>
      <c r="N1440" t="s">
        <v>32</v>
      </c>
      <c r="O1440" t="s">
        <v>33</v>
      </c>
      <c r="P1440" t="s">
        <v>84</v>
      </c>
      <c r="Q1440">
        <v>4</v>
      </c>
      <c r="R1440">
        <f>IF(ventas_libreria[[#This Row],[valoracion_cliente]]="","Sin valoración",ventas_libreria[[#This Row],[valoracion_cliente]])</f>
        <v>4</v>
      </c>
    </row>
    <row r="1441" spans="1:18" x14ac:dyDescent="0.25">
      <c r="A1441" t="s">
        <v>1717</v>
      </c>
      <c r="B1441" t="s">
        <v>197</v>
      </c>
      <c r="C1441" t="s">
        <v>198</v>
      </c>
      <c r="D1441" t="s">
        <v>199</v>
      </c>
      <c r="E1441" t="s">
        <v>55</v>
      </c>
      <c r="F1441">
        <f>ventas_libreria[[#This Row],[precio_eur]]/100</f>
        <v>14.88</v>
      </c>
      <c r="G1441">
        <v>1488</v>
      </c>
      <c r="H1441">
        <v>1</v>
      </c>
      <c r="I1441">
        <f>ventas_libreria[[#This Row],[precio]]*ventas_libreria[[#This Row],[cantidad]]</f>
        <v>14.88</v>
      </c>
      <c r="J1441">
        <v>39</v>
      </c>
      <c r="K1441" t="s">
        <v>62</v>
      </c>
      <c r="L1441" s="1">
        <v>45903</v>
      </c>
      <c r="M1441" t="s">
        <v>31</v>
      </c>
      <c r="N1441" t="s">
        <v>32</v>
      </c>
      <c r="O1441" t="s">
        <v>33</v>
      </c>
      <c r="P1441" t="s">
        <v>34</v>
      </c>
      <c r="Q1441">
        <v>5</v>
      </c>
      <c r="R1441">
        <f>IF(ventas_libreria[[#This Row],[valoracion_cliente]]="","Sin valoración",ventas_libreria[[#This Row],[valoracion_cliente]])</f>
        <v>5</v>
      </c>
    </row>
    <row r="1442" spans="1:18" x14ac:dyDescent="0.25">
      <c r="A1442" t="s">
        <v>1718</v>
      </c>
      <c r="B1442" t="s">
        <v>137</v>
      </c>
      <c r="C1442" t="s">
        <v>138</v>
      </c>
      <c r="D1442" t="s">
        <v>139</v>
      </c>
      <c r="E1442" t="s">
        <v>116</v>
      </c>
      <c r="F1442">
        <f>ventas_libreria[[#This Row],[precio_eur]]/100</f>
        <v>10.96</v>
      </c>
      <c r="G1442">
        <v>1096</v>
      </c>
      <c r="H1442">
        <v>1</v>
      </c>
      <c r="I1442">
        <f>ventas_libreria[[#This Row],[precio]]*ventas_libreria[[#This Row],[cantidad]]</f>
        <v>10.96</v>
      </c>
      <c r="J1442">
        <v>40</v>
      </c>
      <c r="K1442" t="s">
        <v>30</v>
      </c>
      <c r="L1442" s="1">
        <v>44959</v>
      </c>
      <c r="M1442" t="s">
        <v>31</v>
      </c>
      <c r="N1442" t="s">
        <v>22</v>
      </c>
      <c r="O1442" t="s">
        <v>67</v>
      </c>
      <c r="P1442" t="s">
        <v>34</v>
      </c>
      <c r="Q1442">
        <v>3</v>
      </c>
      <c r="R1442">
        <f>IF(ventas_libreria[[#This Row],[valoracion_cliente]]="","Sin valoración",ventas_libreria[[#This Row],[valoracion_cliente]])</f>
        <v>3</v>
      </c>
    </row>
    <row r="1443" spans="1:18" x14ac:dyDescent="0.25">
      <c r="A1443" t="s">
        <v>1719</v>
      </c>
      <c r="B1443" t="s">
        <v>362</v>
      </c>
      <c r="C1443" t="s">
        <v>363</v>
      </c>
      <c r="D1443" t="s">
        <v>249</v>
      </c>
      <c r="E1443" t="s">
        <v>172</v>
      </c>
      <c r="F1443">
        <f>ventas_libreria[[#This Row],[precio_eur]]/100</f>
        <v>1.52</v>
      </c>
      <c r="G1443">
        <v>152</v>
      </c>
      <c r="H1443">
        <v>2</v>
      </c>
      <c r="I1443">
        <f>ventas_libreria[[#This Row],[precio]]*ventas_libreria[[#This Row],[cantidad]]</f>
        <v>3.04</v>
      </c>
      <c r="J1443">
        <v>57</v>
      </c>
      <c r="K1443" t="s">
        <v>30</v>
      </c>
      <c r="L1443" s="1">
        <v>45510</v>
      </c>
      <c r="M1443" t="s">
        <v>21</v>
      </c>
      <c r="N1443" t="s">
        <v>32</v>
      </c>
      <c r="O1443" t="s">
        <v>33</v>
      </c>
      <c r="P1443" t="s">
        <v>84</v>
      </c>
      <c r="Q1443">
        <v>5</v>
      </c>
      <c r="R1443">
        <f>IF(ventas_libreria[[#This Row],[valoracion_cliente]]="","Sin valoración",ventas_libreria[[#This Row],[valoracion_cliente]])</f>
        <v>5</v>
      </c>
    </row>
    <row r="1444" spans="1:18" x14ac:dyDescent="0.25">
      <c r="A1444" t="s">
        <v>1720</v>
      </c>
      <c r="B1444" t="s">
        <v>327</v>
      </c>
      <c r="C1444" t="s">
        <v>328</v>
      </c>
      <c r="D1444" t="s">
        <v>288</v>
      </c>
      <c r="E1444" t="s">
        <v>289</v>
      </c>
      <c r="F1444">
        <f>ventas_libreria[[#This Row],[precio_eur]]/100</f>
        <v>18.32</v>
      </c>
      <c r="G1444">
        <v>1832</v>
      </c>
      <c r="H1444">
        <v>2</v>
      </c>
      <c r="I1444">
        <f>ventas_libreria[[#This Row],[precio]]*ventas_libreria[[#This Row],[cantidad]]</f>
        <v>36.64</v>
      </c>
      <c r="J1444">
        <v>59</v>
      </c>
      <c r="K1444" t="s">
        <v>30</v>
      </c>
      <c r="L1444" s="1">
        <v>45690</v>
      </c>
      <c r="M1444" t="s">
        <v>31</v>
      </c>
      <c r="N1444" t="s">
        <v>22</v>
      </c>
      <c r="O1444" t="s">
        <v>67</v>
      </c>
      <c r="P1444" t="s">
        <v>50</v>
      </c>
      <c r="Q1444">
        <v>3</v>
      </c>
      <c r="R1444">
        <f>IF(ventas_libreria[[#This Row],[valoracion_cliente]]="","Sin valoración",ventas_libreria[[#This Row],[valoracion_cliente]])</f>
        <v>3</v>
      </c>
    </row>
    <row r="1445" spans="1:18" x14ac:dyDescent="0.25">
      <c r="A1445" t="s">
        <v>1721</v>
      </c>
      <c r="B1445" t="s">
        <v>362</v>
      </c>
      <c r="C1445" t="s">
        <v>363</v>
      </c>
      <c r="D1445" t="s">
        <v>249</v>
      </c>
      <c r="E1445" t="s">
        <v>172</v>
      </c>
      <c r="F1445">
        <f>ventas_libreria[[#This Row],[precio_eur]]/100</f>
        <v>1.52</v>
      </c>
      <c r="G1445">
        <v>152</v>
      </c>
      <c r="H1445">
        <v>1</v>
      </c>
      <c r="I1445">
        <f>ventas_libreria[[#This Row],[precio]]*ventas_libreria[[#This Row],[cantidad]]</f>
        <v>1.52</v>
      </c>
      <c r="J1445">
        <v>17</v>
      </c>
      <c r="K1445" t="s">
        <v>20</v>
      </c>
      <c r="L1445" s="1">
        <v>45917</v>
      </c>
      <c r="M1445" t="s">
        <v>43</v>
      </c>
      <c r="N1445" t="s">
        <v>32</v>
      </c>
      <c r="O1445" t="s">
        <v>33</v>
      </c>
      <c r="P1445" t="s">
        <v>56</v>
      </c>
      <c r="Q1445">
        <v>3</v>
      </c>
      <c r="R1445">
        <f>IF(ventas_libreria[[#This Row],[valoracion_cliente]]="","Sin valoración",ventas_libreria[[#This Row],[valoracion_cliente]])</f>
        <v>3</v>
      </c>
    </row>
    <row r="1446" spans="1:18" x14ac:dyDescent="0.25">
      <c r="A1446" t="s">
        <v>1722</v>
      </c>
      <c r="B1446" t="s">
        <v>466</v>
      </c>
      <c r="C1446" t="s">
        <v>467</v>
      </c>
      <c r="D1446" t="s">
        <v>468</v>
      </c>
      <c r="E1446" t="s">
        <v>154</v>
      </c>
      <c r="F1446">
        <f>ventas_libreria[[#This Row],[precio_eur]]/100</f>
        <v>1.89</v>
      </c>
      <c r="G1446">
        <v>189</v>
      </c>
      <c r="H1446">
        <v>2</v>
      </c>
      <c r="I1446">
        <f>ventas_libreria[[#This Row],[precio]]*ventas_libreria[[#This Row],[cantidad]]</f>
        <v>3.78</v>
      </c>
      <c r="J1446">
        <v>56</v>
      </c>
      <c r="K1446" t="s">
        <v>62</v>
      </c>
      <c r="L1446" s="1">
        <v>45957</v>
      </c>
      <c r="M1446" t="s">
        <v>31</v>
      </c>
      <c r="N1446" t="s">
        <v>32</v>
      </c>
      <c r="O1446" t="s">
        <v>33</v>
      </c>
      <c r="P1446" t="s">
        <v>34</v>
      </c>
      <c r="Q1446">
        <v>4</v>
      </c>
      <c r="R1446">
        <f>IF(ventas_libreria[[#This Row],[valoracion_cliente]]="","Sin valoración",ventas_libreria[[#This Row],[valoracion_cliente]])</f>
        <v>4</v>
      </c>
    </row>
    <row r="1447" spans="1:18" x14ac:dyDescent="0.25">
      <c r="A1447" t="s">
        <v>1723</v>
      </c>
      <c r="B1447" t="s">
        <v>160</v>
      </c>
      <c r="C1447" t="s">
        <v>161</v>
      </c>
      <c r="D1447" t="s">
        <v>162</v>
      </c>
      <c r="E1447" t="s">
        <v>29</v>
      </c>
      <c r="F1447">
        <f>ventas_libreria[[#This Row],[precio_eur]]/100</f>
        <v>15.21</v>
      </c>
      <c r="G1447">
        <v>1521</v>
      </c>
      <c r="H1447">
        <v>1</v>
      </c>
      <c r="I1447">
        <f>ventas_libreria[[#This Row],[precio]]*ventas_libreria[[#This Row],[cantidad]]</f>
        <v>15.21</v>
      </c>
      <c r="J1447">
        <v>41</v>
      </c>
      <c r="K1447" t="s">
        <v>20</v>
      </c>
      <c r="L1447" s="1">
        <v>45492</v>
      </c>
      <c r="M1447" t="s">
        <v>31</v>
      </c>
      <c r="N1447" t="s">
        <v>32</v>
      </c>
      <c r="O1447" t="s">
        <v>33</v>
      </c>
      <c r="P1447" t="s">
        <v>50</v>
      </c>
      <c r="Q1447">
        <v>2</v>
      </c>
      <c r="R1447">
        <f>IF(ventas_libreria[[#This Row],[valoracion_cliente]]="","Sin valoración",ventas_libreria[[#This Row],[valoracion_cliente]])</f>
        <v>2</v>
      </c>
    </row>
    <row r="1448" spans="1:18" x14ac:dyDescent="0.25">
      <c r="A1448" t="s">
        <v>1724</v>
      </c>
      <c r="B1448" t="s">
        <v>398</v>
      </c>
      <c r="C1448" t="s">
        <v>399</v>
      </c>
      <c r="D1448" t="s">
        <v>167</v>
      </c>
      <c r="E1448" t="s">
        <v>61</v>
      </c>
      <c r="F1448">
        <f>ventas_libreria[[#This Row],[precio_eur]]/100</f>
        <v>1.69</v>
      </c>
      <c r="G1448">
        <v>169</v>
      </c>
      <c r="H1448">
        <v>2</v>
      </c>
      <c r="I1448">
        <f>ventas_libreria[[#This Row],[precio]]*ventas_libreria[[#This Row],[cantidad]]</f>
        <v>3.38</v>
      </c>
      <c r="J1448">
        <v>24</v>
      </c>
      <c r="K1448" t="s">
        <v>30</v>
      </c>
      <c r="L1448" s="1">
        <v>45609</v>
      </c>
      <c r="M1448" t="s">
        <v>43</v>
      </c>
      <c r="N1448" t="s">
        <v>32</v>
      </c>
      <c r="O1448" t="s">
        <v>33</v>
      </c>
      <c r="P1448" t="s">
        <v>56</v>
      </c>
      <c r="Q1448">
        <v>5</v>
      </c>
      <c r="R1448">
        <f>IF(ventas_libreria[[#This Row],[valoracion_cliente]]="","Sin valoración",ventas_libreria[[#This Row],[valoracion_cliente]])</f>
        <v>5</v>
      </c>
    </row>
    <row r="1449" spans="1:18" x14ac:dyDescent="0.25">
      <c r="A1449" t="s">
        <v>1725</v>
      </c>
      <c r="B1449" t="s">
        <v>208</v>
      </c>
      <c r="C1449" t="s">
        <v>209</v>
      </c>
      <c r="D1449" t="s">
        <v>106</v>
      </c>
      <c r="E1449" t="s">
        <v>107</v>
      </c>
      <c r="F1449">
        <f>ventas_libreria[[#This Row],[precio_eur]]/100</f>
        <v>15.65</v>
      </c>
      <c r="G1449">
        <v>1565</v>
      </c>
      <c r="H1449">
        <v>1</v>
      </c>
      <c r="I1449">
        <f>ventas_libreria[[#This Row],[precio]]*ventas_libreria[[#This Row],[cantidad]]</f>
        <v>15.65</v>
      </c>
      <c r="J1449">
        <v>11</v>
      </c>
      <c r="K1449" t="s">
        <v>20</v>
      </c>
      <c r="L1449" s="1">
        <v>44989</v>
      </c>
      <c r="M1449" t="s">
        <v>21</v>
      </c>
      <c r="N1449" t="s">
        <v>32</v>
      </c>
      <c r="O1449" t="s">
        <v>33</v>
      </c>
      <c r="P1449" t="s">
        <v>50</v>
      </c>
      <c r="Q1449">
        <v>4</v>
      </c>
      <c r="R1449">
        <f>IF(ventas_libreria[[#This Row],[valoracion_cliente]]="","Sin valoración",ventas_libreria[[#This Row],[valoracion_cliente]])</f>
        <v>4</v>
      </c>
    </row>
    <row r="1450" spans="1:18" x14ac:dyDescent="0.25">
      <c r="A1450" t="s">
        <v>1726</v>
      </c>
      <c r="B1450" t="s">
        <v>121</v>
      </c>
      <c r="C1450" t="s">
        <v>122</v>
      </c>
      <c r="D1450" t="s">
        <v>123</v>
      </c>
      <c r="E1450" t="s">
        <v>48</v>
      </c>
      <c r="F1450">
        <f>ventas_libreria[[#This Row],[precio_eur]]/100</f>
        <v>14.36</v>
      </c>
      <c r="G1450">
        <v>1436</v>
      </c>
      <c r="H1450">
        <v>1</v>
      </c>
      <c r="I1450">
        <f>ventas_libreria[[#This Row],[precio]]*ventas_libreria[[#This Row],[cantidad]]</f>
        <v>14.36</v>
      </c>
      <c r="J1450">
        <v>19</v>
      </c>
      <c r="K1450" t="s">
        <v>20</v>
      </c>
      <c r="L1450" s="1">
        <v>45519</v>
      </c>
      <c r="M1450" t="s">
        <v>43</v>
      </c>
      <c r="N1450" t="s">
        <v>32</v>
      </c>
      <c r="O1450" t="s">
        <v>33</v>
      </c>
      <c r="P1450" t="s">
        <v>24</v>
      </c>
      <c r="Q1450">
        <v>5</v>
      </c>
      <c r="R1450">
        <f>IF(ventas_libreria[[#This Row],[valoracion_cliente]]="","Sin valoración",ventas_libreria[[#This Row],[valoracion_cliente]])</f>
        <v>5</v>
      </c>
    </row>
    <row r="1451" spans="1:18" x14ac:dyDescent="0.25">
      <c r="A1451" t="s">
        <v>1727</v>
      </c>
      <c r="B1451" t="s">
        <v>74</v>
      </c>
      <c r="C1451" t="s">
        <v>75</v>
      </c>
      <c r="D1451" t="s">
        <v>76</v>
      </c>
      <c r="E1451" t="s">
        <v>77</v>
      </c>
      <c r="F1451">
        <f>ventas_libreria[[#This Row],[precio_eur]]/100</f>
        <v>1.59</v>
      </c>
      <c r="G1451">
        <v>159</v>
      </c>
      <c r="H1451">
        <v>1</v>
      </c>
      <c r="I1451">
        <f>ventas_libreria[[#This Row],[precio]]*ventas_libreria[[#This Row],[cantidad]]</f>
        <v>1.59</v>
      </c>
      <c r="J1451">
        <v>8</v>
      </c>
      <c r="K1451" t="s">
        <v>20</v>
      </c>
      <c r="L1451" s="1">
        <v>45645</v>
      </c>
      <c r="M1451" t="s">
        <v>43</v>
      </c>
      <c r="N1451" t="s">
        <v>32</v>
      </c>
      <c r="O1451" t="s">
        <v>33</v>
      </c>
      <c r="P1451" t="s">
        <v>50</v>
      </c>
      <c r="Q1451">
        <v>3</v>
      </c>
      <c r="R1451">
        <f>IF(ventas_libreria[[#This Row],[valoracion_cliente]]="","Sin valoración",ventas_libreria[[#This Row],[valoracion_cliente]])</f>
        <v>3</v>
      </c>
    </row>
    <row r="1452" spans="1:18" x14ac:dyDescent="0.25">
      <c r="A1452" t="s">
        <v>1728</v>
      </c>
      <c r="B1452" t="s">
        <v>301</v>
      </c>
      <c r="C1452" t="s">
        <v>302</v>
      </c>
      <c r="D1452" t="s">
        <v>245</v>
      </c>
      <c r="E1452" t="s">
        <v>48</v>
      </c>
      <c r="F1452">
        <f>ventas_libreria[[#This Row],[precio_eur]]/100</f>
        <v>2.4900000000000002</v>
      </c>
      <c r="G1452">
        <v>249</v>
      </c>
      <c r="H1452">
        <v>1</v>
      </c>
      <c r="I1452">
        <f>ventas_libreria[[#This Row],[precio]]*ventas_libreria[[#This Row],[cantidad]]</f>
        <v>2.4900000000000002</v>
      </c>
      <c r="J1452">
        <v>44</v>
      </c>
      <c r="K1452" t="s">
        <v>30</v>
      </c>
      <c r="L1452" s="1">
        <v>45781</v>
      </c>
      <c r="M1452" t="s">
        <v>21</v>
      </c>
      <c r="N1452" t="s">
        <v>22</v>
      </c>
      <c r="O1452" t="s">
        <v>49</v>
      </c>
      <c r="P1452" t="s">
        <v>34</v>
      </c>
      <c r="R1452" t="str">
        <f>IF(ventas_libreria[[#This Row],[valoracion_cliente]]="","Sin valoración",ventas_libreria[[#This Row],[valoracion_cliente]])</f>
        <v>Sin valoración</v>
      </c>
    </row>
    <row r="1453" spans="1:18" x14ac:dyDescent="0.25">
      <c r="A1453" t="s">
        <v>1729</v>
      </c>
      <c r="B1453" t="s">
        <v>204</v>
      </c>
      <c r="C1453" t="s">
        <v>205</v>
      </c>
      <c r="D1453" t="s">
        <v>206</v>
      </c>
      <c r="E1453" t="s">
        <v>116</v>
      </c>
      <c r="F1453">
        <f>ventas_libreria[[#This Row],[precio_eur]]/100</f>
        <v>10.32</v>
      </c>
      <c r="G1453">
        <v>1032</v>
      </c>
      <c r="H1453">
        <v>1</v>
      </c>
      <c r="I1453">
        <f>ventas_libreria[[#This Row],[precio]]*ventas_libreria[[#This Row],[cantidad]]</f>
        <v>10.32</v>
      </c>
      <c r="J1453">
        <v>20</v>
      </c>
      <c r="K1453" t="s">
        <v>20</v>
      </c>
      <c r="L1453" s="1">
        <v>45622</v>
      </c>
      <c r="M1453" t="s">
        <v>31</v>
      </c>
      <c r="N1453" t="s">
        <v>22</v>
      </c>
      <c r="O1453" t="s">
        <v>132</v>
      </c>
      <c r="P1453" t="s">
        <v>24</v>
      </c>
      <c r="Q1453">
        <v>4</v>
      </c>
      <c r="R1453">
        <f>IF(ventas_libreria[[#This Row],[valoracion_cliente]]="","Sin valoración",ventas_libreria[[#This Row],[valoracion_cliente]])</f>
        <v>4</v>
      </c>
    </row>
    <row r="1454" spans="1:18" x14ac:dyDescent="0.25">
      <c r="A1454" t="s">
        <v>1730</v>
      </c>
      <c r="B1454" t="s">
        <v>461</v>
      </c>
      <c r="C1454" t="s">
        <v>462</v>
      </c>
      <c r="D1454" t="s">
        <v>143</v>
      </c>
      <c r="E1454" t="s">
        <v>116</v>
      </c>
      <c r="F1454">
        <f>ventas_libreria[[#This Row],[precio_eur]]/100</f>
        <v>1.39</v>
      </c>
      <c r="G1454">
        <v>139</v>
      </c>
      <c r="H1454">
        <v>1</v>
      </c>
      <c r="I1454">
        <f>ventas_libreria[[#This Row],[precio]]*ventas_libreria[[#This Row],[cantidad]]</f>
        <v>1.39</v>
      </c>
      <c r="J1454">
        <v>25</v>
      </c>
      <c r="K1454" t="s">
        <v>38</v>
      </c>
      <c r="L1454" s="1">
        <v>45108</v>
      </c>
      <c r="M1454" t="s">
        <v>31</v>
      </c>
      <c r="N1454" t="s">
        <v>32</v>
      </c>
      <c r="O1454" t="s">
        <v>33</v>
      </c>
      <c r="P1454" t="s">
        <v>56</v>
      </c>
      <c r="Q1454">
        <v>1</v>
      </c>
      <c r="R1454">
        <f>IF(ventas_libreria[[#This Row],[valoracion_cliente]]="","Sin valoración",ventas_libreria[[#This Row],[valoracion_cliente]])</f>
        <v>1</v>
      </c>
    </row>
    <row r="1455" spans="1:18" x14ac:dyDescent="0.25">
      <c r="A1455" t="s">
        <v>1731</v>
      </c>
      <c r="B1455" t="s">
        <v>332</v>
      </c>
      <c r="C1455" t="s">
        <v>333</v>
      </c>
      <c r="D1455" t="s">
        <v>334</v>
      </c>
      <c r="E1455" t="s">
        <v>116</v>
      </c>
      <c r="F1455">
        <f>ventas_libreria[[#This Row],[precio_eur]]/100</f>
        <v>18.59</v>
      </c>
      <c r="G1455">
        <v>1859</v>
      </c>
      <c r="H1455">
        <v>1</v>
      </c>
      <c r="I1455">
        <f>ventas_libreria[[#This Row],[precio]]*ventas_libreria[[#This Row],[cantidad]]</f>
        <v>18.59</v>
      </c>
      <c r="J1455">
        <v>27</v>
      </c>
      <c r="K1455" t="s">
        <v>20</v>
      </c>
      <c r="L1455" s="1">
        <v>45482</v>
      </c>
      <c r="M1455" t="s">
        <v>31</v>
      </c>
      <c r="N1455" t="s">
        <v>32</v>
      </c>
      <c r="O1455" t="s">
        <v>33</v>
      </c>
      <c r="P1455" t="s">
        <v>50</v>
      </c>
      <c r="Q1455">
        <v>5</v>
      </c>
      <c r="R1455">
        <f>IF(ventas_libreria[[#This Row],[valoracion_cliente]]="","Sin valoración",ventas_libreria[[#This Row],[valoracion_cliente]])</f>
        <v>5</v>
      </c>
    </row>
    <row r="1456" spans="1:18" x14ac:dyDescent="0.25">
      <c r="A1456" t="s">
        <v>1732</v>
      </c>
      <c r="B1456" t="s">
        <v>211</v>
      </c>
      <c r="C1456" t="s">
        <v>212</v>
      </c>
      <c r="D1456" t="s">
        <v>131</v>
      </c>
      <c r="E1456" t="s">
        <v>107</v>
      </c>
      <c r="F1456">
        <f>ventas_libreria[[#This Row],[precio_eur]]/100</f>
        <v>14.36</v>
      </c>
      <c r="G1456">
        <v>1436</v>
      </c>
      <c r="H1456">
        <v>2</v>
      </c>
      <c r="I1456">
        <f>ventas_libreria[[#This Row],[precio]]*ventas_libreria[[#This Row],[cantidad]]</f>
        <v>28.72</v>
      </c>
      <c r="J1456">
        <v>21</v>
      </c>
      <c r="K1456" t="s">
        <v>38</v>
      </c>
      <c r="L1456" s="1">
        <v>45326</v>
      </c>
      <c r="M1456" t="s">
        <v>31</v>
      </c>
      <c r="N1456" t="s">
        <v>32</v>
      </c>
      <c r="O1456" t="s">
        <v>33</v>
      </c>
      <c r="P1456" t="s">
        <v>56</v>
      </c>
      <c r="Q1456">
        <v>4</v>
      </c>
      <c r="R1456">
        <f>IF(ventas_libreria[[#This Row],[valoracion_cliente]]="","Sin valoración",ventas_libreria[[#This Row],[valoracion_cliente]])</f>
        <v>4</v>
      </c>
    </row>
    <row r="1457" spans="1:18" x14ac:dyDescent="0.25">
      <c r="A1457" t="s">
        <v>1733</v>
      </c>
      <c r="B1457" t="s">
        <v>160</v>
      </c>
      <c r="C1457" t="s">
        <v>161</v>
      </c>
      <c r="D1457" t="s">
        <v>162</v>
      </c>
      <c r="E1457" t="s">
        <v>29</v>
      </c>
      <c r="F1457">
        <f>ventas_libreria[[#This Row],[precio_eur]]/100</f>
        <v>1.69</v>
      </c>
      <c r="G1457">
        <v>169</v>
      </c>
      <c r="H1457">
        <v>1</v>
      </c>
      <c r="I1457">
        <f>ventas_libreria[[#This Row],[precio]]*ventas_libreria[[#This Row],[cantidad]]</f>
        <v>1.69</v>
      </c>
      <c r="J1457">
        <v>60</v>
      </c>
      <c r="K1457" t="s">
        <v>20</v>
      </c>
      <c r="L1457" s="1">
        <v>45937</v>
      </c>
      <c r="M1457" t="s">
        <v>31</v>
      </c>
      <c r="N1457" t="s">
        <v>22</v>
      </c>
      <c r="O1457" t="s">
        <v>23</v>
      </c>
      <c r="P1457" t="s">
        <v>34</v>
      </c>
      <c r="Q1457">
        <v>3</v>
      </c>
      <c r="R1457">
        <f>IF(ventas_libreria[[#This Row],[valoracion_cliente]]="","Sin valoración",ventas_libreria[[#This Row],[valoracion_cliente]])</f>
        <v>3</v>
      </c>
    </row>
    <row r="1458" spans="1:18" x14ac:dyDescent="0.25">
      <c r="A1458" t="s">
        <v>1734</v>
      </c>
      <c r="B1458" t="s">
        <v>220</v>
      </c>
      <c r="C1458" t="s">
        <v>221</v>
      </c>
      <c r="D1458" t="s">
        <v>222</v>
      </c>
      <c r="E1458" t="s">
        <v>116</v>
      </c>
      <c r="F1458">
        <f>ventas_libreria[[#This Row],[precio_eur]]/100</f>
        <v>1.29</v>
      </c>
      <c r="G1458">
        <v>129</v>
      </c>
      <c r="H1458">
        <v>1</v>
      </c>
      <c r="I1458">
        <f>ventas_libreria[[#This Row],[precio]]*ventas_libreria[[#This Row],[cantidad]]</f>
        <v>1.29</v>
      </c>
      <c r="J1458">
        <v>56</v>
      </c>
      <c r="K1458" t="s">
        <v>62</v>
      </c>
      <c r="L1458" s="1">
        <v>45799</v>
      </c>
      <c r="M1458" t="s">
        <v>31</v>
      </c>
      <c r="N1458" t="s">
        <v>22</v>
      </c>
      <c r="O1458" t="s">
        <v>132</v>
      </c>
      <c r="P1458" t="s">
        <v>34</v>
      </c>
      <c r="Q1458">
        <v>3</v>
      </c>
      <c r="R1458">
        <f>IF(ventas_libreria[[#This Row],[valoracion_cliente]]="","Sin valoración",ventas_libreria[[#This Row],[valoracion_cliente]])</f>
        <v>3</v>
      </c>
    </row>
    <row r="1459" spans="1:18" x14ac:dyDescent="0.25">
      <c r="A1459" t="s">
        <v>1735</v>
      </c>
      <c r="B1459" t="s">
        <v>129</v>
      </c>
      <c r="C1459" t="s">
        <v>130</v>
      </c>
      <c r="D1459" t="s">
        <v>131</v>
      </c>
      <c r="E1459" t="s">
        <v>107</v>
      </c>
      <c r="F1459">
        <f>ventas_libreria[[#This Row],[precio_eur]]/100</f>
        <v>14.31</v>
      </c>
      <c r="G1459">
        <v>1431</v>
      </c>
      <c r="H1459">
        <v>1</v>
      </c>
      <c r="I1459">
        <f>ventas_libreria[[#This Row],[precio]]*ventas_libreria[[#This Row],[cantidad]]</f>
        <v>14.31</v>
      </c>
      <c r="J1459">
        <v>13</v>
      </c>
      <c r="K1459" t="s">
        <v>62</v>
      </c>
      <c r="L1459" s="1">
        <v>45161</v>
      </c>
      <c r="M1459" t="s">
        <v>21</v>
      </c>
      <c r="N1459" t="s">
        <v>22</v>
      </c>
      <c r="O1459" t="s">
        <v>98</v>
      </c>
      <c r="P1459" t="s">
        <v>34</v>
      </c>
      <c r="Q1459">
        <v>3</v>
      </c>
      <c r="R1459">
        <f>IF(ventas_libreria[[#This Row],[valoracion_cliente]]="","Sin valoración",ventas_libreria[[#This Row],[valoracion_cliente]])</f>
        <v>3</v>
      </c>
    </row>
    <row r="1460" spans="1:18" x14ac:dyDescent="0.25">
      <c r="A1460" t="s">
        <v>1736</v>
      </c>
      <c r="B1460" t="s">
        <v>338</v>
      </c>
      <c r="C1460" t="s">
        <v>339</v>
      </c>
      <c r="D1460" t="s">
        <v>167</v>
      </c>
      <c r="E1460" t="s">
        <v>61</v>
      </c>
      <c r="F1460">
        <f>ventas_libreria[[#This Row],[precio_eur]]/100</f>
        <v>2.29</v>
      </c>
      <c r="G1460">
        <v>229</v>
      </c>
      <c r="H1460">
        <v>1</v>
      </c>
      <c r="I1460">
        <f>ventas_libreria[[#This Row],[precio]]*ventas_libreria[[#This Row],[cantidad]]</f>
        <v>2.29</v>
      </c>
      <c r="J1460">
        <v>38</v>
      </c>
      <c r="K1460" t="s">
        <v>62</v>
      </c>
      <c r="L1460" s="1">
        <v>45871</v>
      </c>
      <c r="M1460" t="s">
        <v>43</v>
      </c>
      <c r="N1460" t="s">
        <v>32</v>
      </c>
      <c r="O1460" t="s">
        <v>33</v>
      </c>
      <c r="P1460" t="s">
        <v>34</v>
      </c>
      <c r="Q1460">
        <v>3</v>
      </c>
      <c r="R1460">
        <f>IF(ventas_libreria[[#This Row],[valoracion_cliente]]="","Sin valoración",ventas_libreria[[#This Row],[valoracion_cliente]])</f>
        <v>3</v>
      </c>
    </row>
    <row r="1461" spans="1:18" x14ac:dyDescent="0.25">
      <c r="A1461" t="s">
        <v>1737</v>
      </c>
      <c r="B1461" t="s">
        <v>86</v>
      </c>
      <c r="C1461" t="s">
        <v>87</v>
      </c>
      <c r="D1461" t="s">
        <v>88</v>
      </c>
      <c r="E1461" t="s">
        <v>77</v>
      </c>
      <c r="F1461">
        <f>ventas_libreria[[#This Row],[precio_eur]]/100</f>
        <v>10.119999999999999</v>
      </c>
      <c r="G1461">
        <v>1012</v>
      </c>
      <c r="H1461">
        <v>2</v>
      </c>
      <c r="I1461">
        <f>ventas_libreria[[#This Row],[precio]]*ventas_libreria[[#This Row],[cantidad]]</f>
        <v>20.239999999999998</v>
      </c>
      <c r="J1461">
        <v>7</v>
      </c>
      <c r="K1461" t="s">
        <v>62</v>
      </c>
      <c r="L1461" s="1">
        <v>45022</v>
      </c>
      <c r="M1461" t="s">
        <v>21</v>
      </c>
      <c r="N1461" t="s">
        <v>22</v>
      </c>
      <c r="O1461" t="s">
        <v>132</v>
      </c>
      <c r="P1461" t="s">
        <v>56</v>
      </c>
      <c r="Q1461">
        <v>5</v>
      </c>
      <c r="R1461">
        <f>IF(ventas_libreria[[#This Row],[valoracion_cliente]]="","Sin valoración",ventas_libreria[[#This Row],[valoracion_cliente]])</f>
        <v>5</v>
      </c>
    </row>
    <row r="1462" spans="1:18" x14ac:dyDescent="0.25">
      <c r="A1462" t="s">
        <v>1738</v>
      </c>
      <c r="B1462" t="s">
        <v>549</v>
      </c>
      <c r="C1462" t="s">
        <v>550</v>
      </c>
      <c r="D1462" t="s">
        <v>162</v>
      </c>
      <c r="E1462" t="s">
        <v>29</v>
      </c>
      <c r="F1462">
        <f>ventas_libreria[[#This Row],[precio_eur]]/100</f>
        <v>20.89</v>
      </c>
      <c r="G1462">
        <v>2089</v>
      </c>
      <c r="H1462">
        <v>1</v>
      </c>
      <c r="I1462">
        <f>ventas_libreria[[#This Row],[precio]]*ventas_libreria[[#This Row],[cantidad]]</f>
        <v>20.89</v>
      </c>
      <c r="J1462">
        <v>42</v>
      </c>
      <c r="K1462" t="s">
        <v>30</v>
      </c>
      <c r="L1462" s="1">
        <v>45058</v>
      </c>
      <c r="M1462" t="s">
        <v>31</v>
      </c>
      <c r="N1462" t="s">
        <v>22</v>
      </c>
      <c r="O1462" t="s">
        <v>67</v>
      </c>
      <c r="P1462" t="s">
        <v>34</v>
      </c>
      <c r="Q1462">
        <v>4</v>
      </c>
      <c r="R1462">
        <f>IF(ventas_libreria[[#This Row],[valoracion_cliente]]="","Sin valoración",ventas_libreria[[#This Row],[valoracion_cliente]])</f>
        <v>4</v>
      </c>
    </row>
    <row r="1463" spans="1:18" x14ac:dyDescent="0.25">
      <c r="A1463" t="s">
        <v>1739</v>
      </c>
      <c r="B1463" t="s">
        <v>52</v>
      </c>
      <c r="C1463" t="s">
        <v>53</v>
      </c>
      <c r="D1463" t="s">
        <v>54</v>
      </c>
      <c r="E1463" t="s">
        <v>55</v>
      </c>
      <c r="F1463">
        <f>ventas_libreria[[#This Row],[precio_eur]]/100</f>
        <v>10.62</v>
      </c>
      <c r="G1463">
        <v>1062</v>
      </c>
      <c r="H1463">
        <v>2</v>
      </c>
      <c r="I1463">
        <f>ventas_libreria[[#This Row],[precio]]*ventas_libreria[[#This Row],[cantidad]]</f>
        <v>21.24</v>
      </c>
      <c r="J1463">
        <v>50</v>
      </c>
      <c r="K1463" t="s">
        <v>38</v>
      </c>
      <c r="L1463" s="1">
        <v>45784</v>
      </c>
      <c r="M1463" t="s">
        <v>31</v>
      </c>
      <c r="N1463" t="s">
        <v>32</v>
      </c>
      <c r="O1463" t="s">
        <v>33</v>
      </c>
      <c r="P1463" t="s">
        <v>24</v>
      </c>
      <c r="Q1463">
        <v>3</v>
      </c>
      <c r="R1463">
        <f>IF(ventas_libreria[[#This Row],[valoracion_cliente]]="","Sin valoración",ventas_libreria[[#This Row],[valoracion_cliente]])</f>
        <v>3</v>
      </c>
    </row>
    <row r="1464" spans="1:18" x14ac:dyDescent="0.25">
      <c r="A1464" t="s">
        <v>1740</v>
      </c>
      <c r="B1464" t="s">
        <v>424</v>
      </c>
      <c r="C1464" t="s">
        <v>425</v>
      </c>
      <c r="D1464" t="s">
        <v>426</v>
      </c>
      <c r="E1464" t="s">
        <v>55</v>
      </c>
      <c r="F1464">
        <f>ventas_libreria[[#This Row],[precio_eur]]/100</f>
        <v>17.010000000000002</v>
      </c>
      <c r="G1464">
        <v>1701</v>
      </c>
      <c r="H1464">
        <v>1</v>
      </c>
      <c r="I1464">
        <f>ventas_libreria[[#This Row],[precio]]*ventas_libreria[[#This Row],[cantidad]]</f>
        <v>17.010000000000002</v>
      </c>
      <c r="J1464">
        <v>62</v>
      </c>
      <c r="K1464" t="s">
        <v>38</v>
      </c>
      <c r="L1464" s="1">
        <v>45910</v>
      </c>
      <c r="M1464" t="s">
        <v>21</v>
      </c>
      <c r="N1464" t="s">
        <v>22</v>
      </c>
      <c r="O1464" t="s">
        <v>98</v>
      </c>
      <c r="P1464" t="s">
        <v>50</v>
      </c>
      <c r="Q1464">
        <v>5</v>
      </c>
      <c r="R1464">
        <f>IF(ventas_libreria[[#This Row],[valoracion_cliente]]="","Sin valoración",ventas_libreria[[#This Row],[valoracion_cliente]])</f>
        <v>5</v>
      </c>
    </row>
    <row r="1465" spans="1:18" x14ac:dyDescent="0.25">
      <c r="A1465" t="s">
        <v>1741</v>
      </c>
      <c r="B1465" t="s">
        <v>268</v>
      </c>
      <c r="C1465" t="s">
        <v>269</v>
      </c>
      <c r="D1465" t="s">
        <v>270</v>
      </c>
      <c r="E1465" t="s">
        <v>83</v>
      </c>
      <c r="F1465">
        <f>ventas_libreria[[#This Row],[precio_eur]]/100</f>
        <v>1.0900000000000001</v>
      </c>
      <c r="G1465">
        <v>109</v>
      </c>
      <c r="H1465">
        <v>1</v>
      </c>
      <c r="I1465">
        <f>ventas_libreria[[#This Row],[precio]]*ventas_libreria[[#This Row],[cantidad]]</f>
        <v>1.0900000000000001</v>
      </c>
      <c r="J1465">
        <v>20</v>
      </c>
      <c r="K1465" t="s">
        <v>38</v>
      </c>
      <c r="L1465" s="1">
        <v>45960</v>
      </c>
      <c r="M1465" t="s">
        <v>43</v>
      </c>
      <c r="N1465" t="s">
        <v>32</v>
      </c>
      <c r="O1465" t="s">
        <v>33</v>
      </c>
      <c r="P1465" t="s">
        <v>50</v>
      </c>
      <c r="Q1465">
        <v>5</v>
      </c>
      <c r="R1465">
        <f>IF(ventas_libreria[[#This Row],[valoracion_cliente]]="","Sin valoración",ventas_libreria[[#This Row],[valoracion_cliente]])</f>
        <v>5</v>
      </c>
    </row>
    <row r="1466" spans="1:18" x14ac:dyDescent="0.25">
      <c r="A1466" t="s">
        <v>1742</v>
      </c>
      <c r="B1466" t="s">
        <v>181</v>
      </c>
      <c r="C1466" t="s">
        <v>182</v>
      </c>
      <c r="D1466" t="s">
        <v>183</v>
      </c>
      <c r="E1466" t="s">
        <v>116</v>
      </c>
      <c r="F1466">
        <f>ventas_libreria[[#This Row],[precio_eur]]/100</f>
        <v>11.12</v>
      </c>
      <c r="G1466">
        <v>1112</v>
      </c>
      <c r="H1466">
        <v>3</v>
      </c>
      <c r="I1466">
        <f>ventas_libreria[[#This Row],[precio]]*ventas_libreria[[#This Row],[cantidad]]</f>
        <v>33.36</v>
      </c>
      <c r="J1466">
        <v>74</v>
      </c>
      <c r="K1466" t="s">
        <v>62</v>
      </c>
      <c r="L1466" s="1">
        <v>45195</v>
      </c>
      <c r="M1466" t="s">
        <v>43</v>
      </c>
      <c r="N1466" t="s">
        <v>32</v>
      </c>
      <c r="O1466" t="s">
        <v>33</v>
      </c>
      <c r="P1466" t="s">
        <v>50</v>
      </c>
      <c r="Q1466">
        <v>5</v>
      </c>
      <c r="R1466">
        <f>IF(ventas_libreria[[#This Row],[valoracion_cliente]]="","Sin valoración",ventas_libreria[[#This Row],[valoracion_cliente]])</f>
        <v>5</v>
      </c>
    </row>
    <row r="1467" spans="1:18" x14ac:dyDescent="0.25">
      <c r="A1467" t="s">
        <v>1743</v>
      </c>
      <c r="B1467" t="s">
        <v>69</v>
      </c>
      <c r="C1467" t="s">
        <v>70</v>
      </c>
      <c r="D1467" t="s">
        <v>71</v>
      </c>
      <c r="E1467" t="s">
        <v>72</v>
      </c>
      <c r="F1467">
        <f>ventas_libreria[[#This Row],[precio_eur]]/100</f>
        <v>1.69</v>
      </c>
      <c r="G1467">
        <v>169</v>
      </c>
      <c r="H1467">
        <v>2</v>
      </c>
      <c r="I1467">
        <f>ventas_libreria[[#This Row],[precio]]*ventas_libreria[[#This Row],[cantidad]]</f>
        <v>3.38</v>
      </c>
      <c r="J1467">
        <v>37</v>
      </c>
      <c r="K1467" t="s">
        <v>38</v>
      </c>
      <c r="L1467" s="1">
        <v>45137</v>
      </c>
      <c r="M1467" t="s">
        <v>31</v>
      </c>
      <c r="N1467" t="s">
        <v>22</v>
      </c>
      <c r="O1467" t="s">
        <v>132</v>
      </c>
      <c r="P1467" t="s">
        <v>50</v>
      </c>
      <c r="Q1467">
        <v>5</v>
      </c>
      <c r="R1467">
        <f>IF(ventas_libreria[[#This Row],[valoracion_cliente]]="","Sin valoración",ventas_libreria[[#This Row],[valoracion_cliente]])</f>
        <v>5</v>
      </c>
    </row>
    <row r="1468" spans="1:18" x14ac:dyDescent="0.25">
      <c r="A1468" t="s">
        <v>1744</v>
      </c>
      <c r="B1468" t="s">
        <v>286</v>
      </c>
      <c r="C1468" t="s">
        <v>287</v>
      </c>
      <c r="D1468" t="s">
        <v>288</v>
      </c>
      <c r="E1468" t="s">
        <v>289</v>
      </c>
      <c r="F1468">
        <f>ventas_libreria[[#This Row],[precio_eur]]/100</f>
        <v>18.61</v>
      </c>
      <c r="G1468">
        <v>1861</v>
      </c>
      <c r="H1468">
        <v>1</v>
      </c>
      <c r="I1468">
        <f>ventas_libreria[[#This Row],[precio]]*ventas_libreria[[#This Row],[cantidad]]</f>
        <v>18.61</v>
      </c>
      <c r="J1468">
        <v>55</v>
      </c>
      <c r="K1468" t="s">
        <v>38</v>
      </c>
      <c r="L1468" s="1">
        <v>45540</v>
      </c>
      <c r="M1468" t="s">
        <v>43</v>
      </c>
      <c r="N1468" t="s">
        <v>32</v>
      </c>
      <c r="O1468" t="s">
        <v>33</v>
      </c>
      <c r="P1468" t="s">
        <v>56</v>
      </c>
      <c r="Q1468">
        <v>5</v>
      </c>
      <c r="R1468">
        <f>IF(ventas_libreria[[#This Row],[valoracion_cliente]]="","Sin valoración",ventas_libreria[[#This Row],[valoracion_cliente]])</f>
        <v>5</v>
      </c>
    </row>
    <row r="1469" spans="1:18" x14ac:dyDescent="0.25">
      <c r="A1469" t="s">
        <v>1745</v>
      </c>
      <c r="B1469" t="s">
        <v>348</v>
      </c>
      <c r="C1469" t="s">
        <v>349</v>
      </c>
      <c r="D1469" t="s">
        <v>350</v>
      </c>
      <c r="E1469" t="s">
        <v>116</v>
      </c>
      <c r="F1469">
        <f>ventas_libreria[[#This Row],[precio_eur]]/100</f>
        <v>16.91</v>
      </c>
      <c r="G1469">
        <v>1691</v>
      </c>
      <c r="H1469">
        <v>1</v>
      </c>
      <c r="I1469">
        <f>ventas_libreria[[#This Row],[precio]]*ventas_libreria[[#This Row],[cantidad]]</f>
        <v>16.91</v>
      </c>
      <c r="J1469">
        <v>24</v>
      </c>
      <c r="K1469" t="s">
        <v>30</v>
      </c>
      <c r="L1469" s="1">
        <v>45639</v>
      </c>
      <c r="M1469" t="s">
        <v>31</v>
      </c>
      <c r="N1469" t="s">
        <v>22</v>
      </c>
      <c r="O1469" t="s">
        <v>23</v>
      </c>
      <c r="P1469" t="s">
        <v>24</v>
      </c>
      <c r="Q1469">
        <v>5</v>
      </c>
      <c r="R1469">
        <f>IF(ventas_libreria[[#This Row],[valoracion_cliente]]="","Sin valoración",ventas_libreria[[#This Row],[valoracion_cliente]])</f>
        <v>5</v>
      </c>
    </row>
    <row r="1470" spans="1:18" x14ac:dyDescent="0.25">
      <c r="A1470" t="s">
        <v>1746</v>
      </c>
      <c r="B1470" t="s">
        <v>286</v>
      </c>
      <c r="C1470" t="s">
        <v>287</v>
      </c>
      <c r="D1470" t="s">
        <v>288</v>
      </c>
      <c r="E1470" t="s">
        <v>289</v>
      </c>
      <c r="F1470">
        <f>ventas_libreria[[#This Row],[precio_eur]]/100</f>
        <v>18.61</v>
      </c>
      <c r="G1470">
        <v>1861</v>
      </c>
      <c r="H1470">
        <v>2</v>
      </c>
      <c r="I1470">
        <f>ventas_libreria[[#This Row],[precio]]*ventas_libreria[[#This Row],[cantidad]]</f>
        <v>37.22</v>
      </c>
      <c r="J1470">
        <v>31</v>
      </c>
      <c r="K1470" t="s">
        <v>30</v>
      </c>
      <c r="L1470" s="1">
        <v>45792</v>
      </c>
      <c r="M1470" t="s">
        <v>43</v>
      </c>
      <c r="N1470" t="s">
        <v>32</v>
      </c>
      <c r="O1470" t="s">
        <v>33</v>
      </c>
      <c r="P1470" t="s">
        <v>24</v>
      </c>
      <c r="Q1470">
        <v>4</v>
      </c>
      <c r="R1470">
        <f>IF(ventas_libreria[[#This Row],[valoracion_cliente]]="","Sin valoración",ventas_libreria[[#This Row],[valoracion_cliente]])</f>
        <v>4</v>
      </c>
    </row>
    <row r="1471" spans="1:18" x14ac:dyDescent="0.25">
      <c r="A1471" t="s">
        <v>1747</v>
      </c>
      <c r="B1471" t="s">
        <v>211</v>
      </c>
      <c r="C1471" t="s">
        <v>212</v>
      </c>
      <c r="D1471" t="s">
        <v>131</v>
      </c>
      <c r="E1471" t="s">
        <v>107</v>
      </c>
      <c r="F1471">
        <f>ventas_libreria[[#This Row],[precio_eur]]/100</f>
        <v>1.69</v>
      </c>
      <c r="G1471">
        <v>169</v>
      </c>
      <c r="H1471">
        <v>1</v>
      </c>
      <c r="I1471">
        <f>ventas_libreria[[#This Row],[precio]]*ventas_libreria[[#This Row],[cantidad]]</f>
        <v>1.69</v>
      </c>
      <c r="J1471">
        <v>17</v>
      </c>
      <c r="K1471" t="s">
        <v>38</v>
      </c>
      <c r="L1471" s="1">
        <v>45570</v>
      </c>
      <c r="M1471" t="s">
        <v>21</v>
      </c>
      <c r="N1471" t="s">
        <v>32</v>
      </c>
      <c r="O1471" t="s">
        <v>33</v>
      </c>
      <c r="P1471" t="s">
        <v>56</v>
      </c>
      <c r="Q1471">
        <v>5</v>
      </c>
      <c r="R1471">
        <f>IF(ventas_libreria[[#This Row],[valoracion_cliente]]="","Sin valoración",ventas_libreria[[#This Row],[valoracion_cliente]])</f>
        <v>5</v>
      </c>
    </row>
    <row r="1472" spans="1:18" x14ac:dyDescent="0.25">
      <c r="A1472" t="s">
        <v>1748</v>
      </c>
      <c r="B1472" t="s">
        <v>86</v>
      </c>
      <c r="C1472" t="s">
        <v>87</v>
      </c>
      <c r="D1472" t="s">
        <v>88</v>
      </c>
      <c r="E1472" t="s">
        <v>77</v>
      </c>
      <c r="F1472">
        <f>ventas_libreria[[#This Row],[precio_eur]]/100</f>
        <v>1.19</v>
      </c>
      <c r="G1472">
        <v>119</v>
      </c>
      <c r="H1472">
        <v>1</v>
      </c>
      <c r="I1472">
        <f>ventas_libreria[[#This Row],[precio]]*ventas_libreria[[#This Row],[cantidad]]</f>
        <v>1.19</v>
      </c>
      <c r="J1472">
        <v>10</v>
      </c>
      <c r="K1472" t="s">
        <v>62</v>
      </c>
      <c r="L1472" s="1">
        <v>45264</v>
      </c>
      <c r="M1472" t="s">
        <v>43</v>
      </c>
      <c r="N1472" t="s">
        <v>32</v>
      </c>
      <c r="O1472" t="s">
        <v>33</v>
      </c>
      <c r="P1472" t="s">
        <v>34</v>
      </c>
      <c r="Q1472">
        <v>5</v>
      </c>
      <c r="R1472">
        <f>IF(ventas_libreria[[#This Row],[valoracion_cliente]]="","Sin valoración",ventas_libreria[[#This Row],[valoracion_cliente]])</f>
        <v>5</v>
      </c>
    </row>
    <row r="1473" spans="1:18" x14ac:dyDescent="0.25">
      <c r="A1473" t="s">
        <v>1749</v>
      </c>
      <c r="B1473" t="s">
        <v>406</v>
      </c>
      <c r="C1473" t="s">
        <v>407</v>
      </c>
      <c r="D1473" t="s">
        <v>88</v>
      </c>
      <c r="E1473" t="s">
        <v>77</v>
      </c>
      <c r="F1473">
        <f>ventas_libreria[[#This Row],[precio_eur]]/100</f>
        <v>13.09</v>
      </c>
      <c r="G1473">
        <v>1309</v>
      </c>
      <c r="H1473">
        <v>1</v>
      </c>
      <c r="I1473">
        <f>ventas_libreria[[#This Row],[precio]]*ventas_libreria[[#This Row],[cantidad]]</f>
        <v>13.09</v>
      </c>
      <c r="J1473">
        <v>10</v>
      </c>
      <c r="K1473" t="s">
        <v>62</v>
      </c>
      <c r="L1473" s="1">
        <v>44971</v>
      </c>
      <c r="M1473" t="s">
        <v>21</v>
      </c>
      <c r="N1473" t="s">
        <v>32</v>
      </c>
      <c r="O1473" t="s">
        <v>33</v>
      </c>
      <c r="P1473" t="s">
        <v>24</v>
      </c>
      <c r="Q1473">
        <v>5</v>
      </c>
      <c r="R1473">
        <f>IF(ventas_libreria[[#This Row],[valoracion_cliente]]="","Sin valoración",ventas_libreria[[#This Row],[valoracion_cliente]])</f>
        <v>5</v>
      </c>
    </row>
    <row r="1474" spans="1:18" x14ac:dyDescent="0.25">
      <c r="A1474" t="s">
        <v>1750</v>
      </c>
      <c r="B1474" t="s">
        <v>353</v>
      </c>
      <c r="C1474" t="s">
        <v>354</v>
      </c>
      <c r="D1474" t="s">
        <v>226</v>
      </c>
      <c r="E1474" t="s">
        <v>116</v>
      </c>
      <c r="F1474">
        <f>ventas_libreria[[#This Row],[precio_eur]]/100</f>
        <v>14.36</v>
      </c>
      <c r="G1474">
        <v>1436</v>
      </c>
      <c r="H1474">
        <v>1</v>
      </c>
      <c r="I1474">
        <f>ventas_libreria[[#This Row],[precio]]*ventas_libreria[[#This Row],[cantidad]]</f>
        <v>14.36</v>
      </c>
      <c r="J1474">
        <v>74</v>
      </c>
      <c r="K1474" t="s">
        <v>62</v>
      </c>
      <c r="L1474" s="1">
        <v>45531</v>
      </c>
      <c r="M1474" t="s">
        <v>43</v>
      </c>
      <c r="N1474" t="s">
        <v>32</v>
      </c>
      <c r="O1474" t="s">
        <v>33</v>
      </c>
      <c r="P1474" t="s">
        <v>24</v>
      </c>
      <c r="Q1474">
        <v>2</v>
      </c>
      <c r="R1474">
        <f>IF(ventas_libreria[[#This Row],[valoracion_cliente]]="","Sin valoración",ventas_libreria[[#This Row],[valoracion_cliente]])</f>
        <v>2</v>
      </c>
    </row>
    <row r="1475" spans="1:18" x14ac:dyDescent="0.25">
      <c r="A1475" t="s">
        <v>1751</v>
      </c>
      <c r="B1475" t="s">
        <v>268</v>
      </c>
      <c r="C1475" t="s">
        <v>269</v>
      </c>
      <c r="D1475" t="s">
        <v>270</v>
      </c>
      <c r="E1475" t="s">
        <v>83</v>
      </c>
      <c r="F1475">
        <f>ventas_libreria[[#This Row],[precio_eur]]/100</f>
        <v>11.45</v>
      </c>
      <c r="G1475">
        <v>1145</v>
      </c>
      <c r="H1475">
        <v>1</v>
      </c>
      <c r="I1475">
        <f>ventas_libreria[[#This Row],[precio]]*ventas_libreria[[#This Row],[cantidad]]</f>
        <v>11.45</v>
      </c>
      <c r="J1475">
        <v>40</v>
      </c>
      <c r="K1475" t="s">
        <v>62</v>
      </c>
      <c r="L1475" s="1">
        <v>45057</v>
      </c>
      <c r="M1475" t="s">
        <v>31</v>
      </c>
      <c r="N1475" t="s">
        <v>22</v>
      </c>
      <c r="O1475" t="s">
        <v>49</v>
      </c>
      <c r="P1475" t="s">
        <v>24</v>
      </c>
      <c r="Q1475">
        <v>4</v>
      </c>
      <c r="R1475">
        <f>IF(ventas_libreria[[#This Row],[valoracion_cliente]]="","Sin valoración",ventas_libreria[[#This Row],[valoracion_cliente]])</f>
        <v>4</v>
      </c>
    </row>
    <row r="1476" spans="1:18" x14ac:dyDescent="0.25">
      <c r="A1476" t="s">
        <v>1752</v>
      </c>
      <c r="B1476" t="s">
        <v>446</v>
      </c>
      <c r="C1476" t="s">
        <v>447</v>
      </c>
      <c r="D1476" t="s">
        <v>262</v>
      </c>
      <c r="E1476" t="s">
        <v>263</v>
      </c>
      <c r="F1476">
        <f>ventas_libreria[[#This Row],[precio_eur]]/100</f>
        <v>20.89</v>
      </c>
      <c r="G1476">
        <v>2089</v>
      </c>
      <c r="H1476">
        <v>1</v>
      </c>
      <c r="I1476">
        <f>ventas_libreria[[#This Row],[precio]]*ventas_libreria[[#This Row],[cantidad]]</f>
        <v>20.89</v>
      </c>
      <c r="J1476">
        <v>46</v>
      </c>
      <c r="K1476" t="s">
        <v>62</v>
      </c>
      <c r="L1476" s="1">
        <v>45022</v>
      </c>
      <c r="M1476" t="s">
        <v>21</v>
      </c>
      <c r="N1476" t="s">
        <v>22</v>
      </c>
      <c r="O1476" t="s">
        <v>23</v>
      </c>
      <c r="P1476" t="s">
        <v>84</v>
      </c>
      <c r="Q1476">
        <v>4</v>
      </c>
      <c r="R1476">
        <f>IF(ventas_libreria[[#This Row],[valoracion_cliente]]="","Sin valoración",ventas_libreria[[#This Row],[valoracion_cliente]])</f>
        <v>4</v>
      </c>
    </row>
    <row r="1477" spans="1:18" x14ac:dyDescent="0.25">
      <c r="A1477" t="s">
        <v>1753</v>
      </c>
      <c r="B1477" t="s">
        <v>156</v>
      </c>
      <c r="C1477" t="s">
        <v>157</v>
      </c>
      <c r="D1477" t="s">
        <v>158</v>
      </c>
      <c r="E1477" t="s">
        <v>149</v>
      </c>
      <c r="F1477">
        <f>ventas_libreria[[#This Row],[precio_eur]]/100</f>
        <v>16.059999999999999</v>
      </c>
      <c r="G1477">
        <v>1606</v>
      </c>
      <c r="H1477">
        <v>2</v>
      </c>
      <c r="I1477">
        <f>ventas_libreria[[#This Row],[precio]]*ventas_libreria[[#This Row],[cantidad]]</f>
        <v>32.119999999999997</v>
      </c>
      <c r="J1477">
        <v>50</v>
      </c>
      <c r="K1477" t="s">
        <v>30</v>
      </c>
      <c r="L1477" s="1">
        <v>45791</v>
      </c>
      <c r="M1477" t="s">
        <v>43</v>
      </c>
      <c r="N1477" t="s">
        <v>32</v>
      </c>
      <c r="O1477" t="s">
        <v>33</v>
      </c>
      <c r="P1477" t="s">
        <v>34</v>
      </c>
      <c r="Q1477">
        <v>5</v>
      </c>
      <c r="R1477">
        <f>IF(ventas_libreria[[#This Row],[valoracion_cliente]]="","Sin valoración",ventas_libreria[[#This Row],[valoracion_cliente]])</f>
        <v>5</v>
      </c>
    </row>
    <row r="1478" spans="1:18" x14ac:dyDescent="0.25">
      <c r="A1478" t="s">
        <v>1754</v>
      </c>
      <c r="B1478" t="s">
        <v>240</v>
      </c>
      <c r="C1478" t="s">
        <v>241</v>
      </c>
      <c r="D1478" t="s">
        <v>54</v>
      </c>
      <c r="E1478" t="s">
        <v>172</v>
      </c>
      <c r="F1478">
        <f>ventas_libreria[[#This Row],[precio_eur]]/100</f>
        <v>1.49</v>
      </c>
      <c r="G1478">
        <v>149</v>
      </c>
      <c r="H1478">
        <v>1</v>
      </c>
      <c r="I1478">
        <f>ventas_libreria[[#This Row],[precio]]*ventas_libreria[[#This Row],[cantidad]]</f>
        <v>1.49</v>
      </c>
      <c r="J1478">
        <v>50</v>
      </c>
      <c r="K1478" t="s">
        <v>38</v>
      </c>
      <c r="L1478" s="1">
        <v>45942</v>
      </c>
      <c r="M1478" t="s">
        <v>43</v>
      </c>
      <c r="N1478" t="s">
        <v>32</v>
      </c>
      <c r="O1478" t="s">
        <v>33</v>
      </c>
      <c r="P1478" t="s">
        <v>56</v>
      </c>
      <c r="Q1478">
        <v>3</v>
      </c>
      <c r="R1478">
        <f>IF(ventas_libreria[[#This Row],[valoracion_cliente]]="","Sin valoración",ventas_libreria[[#This Row],[valoracion_cliente]])</f>
        <v>3</v>
      </c>
    </row>
    <row r="1479" spans="1:18" x14ac:dyDescent="0.25">
      <c r="A1479" t="s">
        <v>1755</v>
      </c>
      <c r="B1479" t="s">
        <v>530</v>
      </c>
      <c r="C1479" t="s">
        <v>531</v>
      </c>
      <c r="D1479" t="s">
        <v>195</v>
      </c>
      <c r="E1479" t="s">
        <v>48</v>
      </c>
      <c r="F1479">
        <f>ventas_libreria[[#This Row],[precio_eur]]/100</f>
        <v>1.99</v>
      </c>
      <c r="G1479">
        <v>199</v>
      </c>
      <c r="H1479">
        <v>1</v>
      </c>
      <c r="I1479">
        <f>ventas_libreria[[#This Row],[precio]]*ventas_libreria[[#This Row],[cantidad]]</f>
        <v>1.99</v>
      </c>
      <c r="J1479">
        <v>62</v>
      </c>
      <c r="K1479" t="s">
        <v>30</v>
      </c>
      <c r="L1479" s="1">
        <v>45879</v>
      </c>
      <c r="M1479" t="s">
        <v>31</v>
      </c>
      <c r="N1479" t="s">
        <v>32</v>
      </c>
      <c r="O1479" t="s">
        <v>33</v>
      </c>
      <c r="P1479" t="s">
        <v>84</v>
      </c>
      <c r="Q1479">
        <v>4</v>
      </c>
      <c r="R1479">
        <f>IF(ventas_libreria[[#This Row],[valoracion_cliente]]="","Sin valoración",ventas_libreria[[#This Row],[valoracion_cliente]])</f>
        <v>4</v>
      </c>
    </row>
    <row r="1480" spans="1:18" x14ac:dyDescent="0.25">
      <c r="A1480" t="s">
        <v>1756</v>
      </c>
      <c r="B1480" t="s">
        <v>240</v>
      </c>
      <c r="C1480" t="s">
        <v>241</v>
      </c>
      <c r="D1480" t="s">
        <v>54</v>
      </c>
      <c r="E1480" t="s">
        <v>172</v>
      </c>
      <c r="F1480">
        <f>ventas_libreria[[#This Row],[precio_eur]]/100</f>
        <v>11.92</v>
      </c>
      <c r="G1480">
        <v>1192</v>
      </c>
      <c r="H1480">
        <v>1</v>
      </c>
      <c r="I1480">
        <f>ventas_libreria[[#This Row],[precio]]*ventas_libreria[[#This Row],[cantidad]]</f>
        <v>11.92</v>
      </c>
      <c r="J1480">
        <v>37</v>
      </c>
      <c r="K1480" t="s">
        <v>38</v>
      </c>
      <c r="L1480" s="1">
        <v>45780</v>
      </c>
      <c r="M1480" t="s">
        <v>31</v>
      </c>
      <c r="N1480" t="s">
        <v>22</v>
      </c>
      <c r="O1480" t="s">
        <v>23</v>
      </c>
      <c r="P1480" t="s">
        <v>84</v>
      </c>
      <c r="R1480" t="str">
        <f>IF(ventas_libreria[[#This Row],[valoracion_cliente]]="","Sin valoración",ventas_libreria[[#This Row],[valoracion_cliente]])</f>
        <v>Sin valoración</v>
      </c>
    </row>
    <row r="1481" spans="1:18" x14ac:dyDescent="0.25">
      <c r="A1481" t="s">
        <v>1757</v>
      </c>
      <c r="B1481" t="s">
        <v>384</v>
      </c>
      <c r="C1481" t="s">
        <v>385</v>
      </c>
      <c r="D1481" t="s">
        <v>158</v>
      </c>
      <c r="E1481" t="s">
        <v>149</v>
      </c>
      <c r="F1481">
        <f>ventas_libreria[[#This Row],[precio_eur]]/100</f>
        <v>17.52</v>
      </c>
      <c r="G1481">
        <v>1752</v>
      </c>
      <c r="H1481">
        <v>1</v>
      </c>
      <c r="I1481">
        <f>ventas_libreria[[#This Row],[precio]]*ventas_libreria[[#This Row],[cantidad]]</f>
        <v>17.52</v>
      </c>
      <c r="J1481">
        <v>66</v>
      </c>
      <c r="K1481" t="s">
        <v>62</v>
      </c>
      <c r="L1481" s="1">
        <v>45258</v>
      </c>
      <c r="M1481" t="s">
        <v>31</v>
      </c>
      <c r="N1481" t="s">
        <v>32</v>
      </c>
      <c r="O1481" t="s">
        <v>33</v>
      </c>
      <c r="P1481" t="s">
        <v>24</v>
      </c>
      <c r="Q1481">
        <v>3</v>
      </c>
      <c r="R1481">
        <f>IF(ventas_libreria[[#This Row],[valoracion_cliente]]="","Sin valoración",ventas_libreria[[#This Row],[valoracion_cliente]])</f>
        <v>3</v>
      </c>
    </row>
    <row r="1482" spans="1:18" x14ac:dyDescent="0.25">
      <c r="A1482" t="s">
        <v>1758</v>
      </c>
      <c r="B1482" t="s">
        <v>265</v>
      </c>
      <c r="C1482" t="s">
        <v>266</v>
      </c>
      <c r="D1482" t="s">
        <v>162</v>
      </c>
      <c r="E1482" t="s">
        <v>29</v>
      </c>
      <c r="F1482">
        <f>ventas_libreria[[#This Row],[precio_eur]]/100</f>
        <v>14.36</v>
      </c>
      <c r="G1482">
        <v>1436</v>
      </c>
      <c r="H1482">
        <v>1</v>
      </c>
      <c r="I1482">
        <f>ventas_libreria[[#This Row],[precio]]*ventas_libreria[[#This Row],[cantidad]]</f>
        <v>14.36</v>
      </c>
      <c r="J1482">
        <v>32</v>
      </c>
      <c r="K1482" t="s">
        <v>20</v>
      </c>
      <c r="L1482" s="1">
        <v>45625</v>
      </c>
      <c r="M1482" t="s">
        <v>21</v>
      </c>
      <c r="N1482" t="s">
        <v>22</v>
      </c>
      <c r="O1482" t="s">
        <v>67</v>
      </c>
      <c r="P1482" t="s">
        <v>50</v>
      </c>
      <c r="Q1482">
        <v>5</v>
      </c>
      <c r="R1482">
        <f>IF(ventas_libreria[[#This Row],[valoracion_cliente]]="","Sin valoración",ventas_libreria[[#This Row],[valoracion_cliente]])</f>
        <v>5</v>
      </c>
    </row>
    <row r="1483" spans="1:18" x14ac:dyDescent="0.25">
      <c r="A1483" t="s">
        <v>1759</v>
      </c>
      <c r="B1483" t="s">
        <v>204</v>
      </c>
      <c r="C1483" t="s">
        <v>205</v>
      </c>
      <c r="D1483" t="s">
        <v>206</v>
      </c>
      <c r="E1483" t="s">
        <v>116</v>
      </c>
      <c r="F1483">
        <f>ventas_libreria[[#This Row],[precio_eur]]/100</f>
        <v>14.19</v>
      </c>
      <c r="G1483">
        <v>1419</v>
      </c>
      <c r="H1483">
        <v>3</v>
      </c>
      <c r="I1483">
        <f>ventas_libreria[[#This Row],[precio]]*ventas_libreria[[#This Row],[cantidad]]</f>
        <v>42.57</v>
      </c>
      <c r="J1483">
        <v>68</v>
      </c>
      <c r="K1483" t="s">
        <v>20</v>
      </c>
      <c r="L1483" s="1">
        <v>45944</v>
      </c>
      <c r="M1483" t="s">
        <v>21</v>
      </c>
      <c r="N1483" t="s">
        <v>32</v>
      </c>
      <c r="O1483" t="s">
        <v>33</v>
      </c>
      <c r="P1483" t="s">
        <v>24</v>
      </c>
      <c r="Q1483">
        <v>5</v>
      </c>
      <c r="R1483">
        <f>IF(ventas_libreria[[#This Row],[valoracion_cliente]]="","Sin valoración",ventas_libreria[[#This Row],[valoracion_cliente]])</f>
        <v>5</v>
      </c>
    </row>
    <row r="1484" spans="1:18" x14ac:dyDescent="0.25">
      <c r="A1484" t="s">
        <v>1760</v>
      </c>
      <c r="B1484" t="s">
        <v>541</v>
      </c>
      <c r="C1484" t="s">
        <v>542</v>
      </c>
      <c r="D1484" t="s">
        <v>131</v>
      </c>
      <c r="E1484" t="s">
        <v>107</v>
      </c>
      <c r="F1484">
        <f>ventas_libreria[[#This Row],[precio_eur]]/100</f>
        <v>17.489999999999998</v>
      </c>
      <c r="G1484">
        <v>1749</v>
      </c>
      <c r="H1484">
        <v>2</v>
      </c>
      <c r="I1484">
        <f>ventas_libreria[[#This Row],[precio]]*ventas_libreria[[#This Row],[cantidad]]</f>
        <v>34.979999999999997</v>
      </c>
      <c r="J1484">
        <v>13</v>
      </c>
      <c r="K1484" t="s">
        <v>20</v>
      </c>
      <c r="L1484" s="1">
        <v>45465</v>
      </c>
      <c r="M1484" t="s">
        <v>43</v>
      </c>
      <c r="N1484" t="s">
        <v>32</v>
      </c>
      <c r="O1484" t="s">
        <v>33</v>
      </c>
      <c r="P1484" t="s">
        <v>34</v>
      </c>
      <c r="Q1484">
        <v>4</v>
      </c>
      <c r="R1484">
        <f>IF(ventas_libreria[[#This Row],[valoracion_cliente]]="","Sin valoración",ventas_libreria[[#This Row],[valoracion_cliente]])</f>
        <v>4</v>
      </c>
    </row>
    <row r="1485" spans="1:18" x14ac:dyDescent="0.25">
      <c r="A1485" t="s">
        <v>1761</v>
      </c>
      <c r="B1485" t="s">
        <v>220</v>
      </c>
      <c r="C1485" t="s">
        <v>221</v>
      </c>
      <c r="D1485" t="s">
        <v>222</v>
      </c>
      <c r="E1485" t="s">
        <v>116</v>
      </c>
      <c r="F1485">
        <f>ventas_libreria[[#This Row],[precio_eur]]/100</f>
        <v>10.32</v>
      </c>
      <c r="G1485">
        <v>1032</v>
      </c>
      <c r="H1485">
        <v>2</v>
      </c>
      <c r="I1485">
        <f>ventas_libreria[[#This Row],[precio]]*ventas_libreria[[#This Row],[cantidad]]</f>
        <v>20.64</v>
      </c>
      <c r="J1485">
        <v>61</v>
      </c>
      <c r="K1485" t="s">
        <v>20</v>
      </c>
      <c r="L1485" s="1">
        <v>44994</v>
      </c>
      <c r="M1485" t="s">
        <v>31</v>
      </c>
      <c r="N1485" t="s">
        <v>22</v>
      </c>
      <c r="O1485" t="s">
        <v>49</v>
      </c>
      <c r="P1485" t="s">
        <v>34</v>
      </c>
      <c r="Q1485">
        <v>5</v>
      </c>
      <c r="R1485">
        <f>IF(ventas_libreria[[#This Row],[valoracion_cliente]]="","Sin valoración",ventas_libreria[[#This Row],[valoracion_cliente]])</f>
        <v>5</v>
      </c>
    </row>
    <row r="1486" spans="1:18" x14ac:dyDescent="0.25">
      <c r="A1486" t="s">
        <v>1762</v>
      </c>
      <c r="B1486" t="s">
        <v>58</v>
      </c>
      <c r="C1486" t="s">
        <v>59</v>
      </c>
      <c r="D1486" t="s">
        <v>60</v>
      </c>
      <c r="E1486" t="s">
        <v>61</v>
      </c>
      <c r="F1486">
        <f>ventas_libreria[[#This Row],[precio_eur]]/100</f>
        <v>10.96</v>
      </c>
      <c r="G1486">
        <v>1096</v>
      </c>
      <c r="H1486">
        <v>3</v>
      </c>
      <c r="I1486">
        <f>ventas_libreria[[#This Row],[precio]]*ventas_libreria[[#This Row],[cantidad]]</f>
        <v>32.880000000000003</v>
      </c>
      <c r="J1486">
        <v>67</v>
      </c>
      <c r="K1486" t="s">
        <v>38</v>
      </c>
      <c r="L1486" s="1">
        <v>45454</v>
      </c>
      <c r="M1486" t="s">
        <v>43</v>
      </c>
      <c r="N1486" t="s">
        <v>32</v>
      </c>
      <c r="O1486" t="s">
        <v>33</v>
      </c>
      <c r="P1486" t="s">
        <v>24</v>
      </c>
      <c r="R1486" t="str">
        <f>IF(ventas_libreria[[#This Row],[valoracion_cliente]]="","Sin valoración",ventas_libreria[[#This Row],[valoracion_cliente]])</f>
        <v>Sin valoración</v>
      </c>
    </row>
    <row r="1487" spans="1:18" x14ac:dyDescent="0.25">
      <c r="A1487" t="s">
        <v>1763</v>
      </c>
      <c r="B1487" t="s">
        <v>384</v>
      </c>
      <c r="C1487" t="s">
        <v>385</v>
      </c>
      <c r="D1487" t="s">
        <v>158</v>
      </c>
      <c r="E1487" t="s">
        <v>149</v>
      </c>
      <c r="F1487">
        <f>ventas_libreria[[#This Row],[precio_eur]]/100</f>
        <v>18.61</v>
      </c>
      <c r="G1487">
        <v>1861</v>
      </c>
      <c r="H1487">
        <v>2</v>
      </c>
      <c r="I1487">
        <f>ventas_libreria[[#This Row],[precio]]*ventas_libreria[[#This Row],[cantidad]]</f>
        <v>37.22</v>
      </c>
      <c r="J1487">
        <v>40</v>
      </c>
      <c r="K1487" t="s">
        <v>30</v>
      </c>
      <c r="L1487" s="1">
        <v>45980</v>
      </c>
      <c r="M1487" t="s">
        <v>43</v>
      </c>
      <c r="N1487" t="s">
        <v>32</v>
      </c>
      <c r="O1487" t="s">
        <v>33</v>
      </c>
      <c r="P1487" t="s">
        <v>84</v>
      </c>
      <c r="Q1487">
        <v>5</v>
      </c>
      <c r="R1487">
        <f>IF(ventas_libreria[[#This Row],[valoracion_cliente]]="","Sin valoración",ventas_libreria[[#This Row],[valoracion_cliente]])</f>
        <v>5</v>
      </c>
    </row>
    <row r="1488" spans="1:18" x14ac:dyDescent="0.25">
      <c r="A1488" t="s">
        <v>1764</v>
      </c>
      <c r="B1488" t="s">
        <v>36</v>
      </c>
      <c r="C1488" t="s">
        <v>37</v>
      </c>
      <c r="D1488" t="s">
        <v>28</v>
      </c>
      <c r="E1488" t="s">
        <v>29</v>
      </c>
      <c r="F1488">
        <f>ventas_libreria[[#This Row],[precio_eur]]/100</f>
        <v>15.12</v>
      </c>
      <c r="G1488">
        <v>1512</v>
      </c>
      <c r="H1488">
        <v>1</v>
      </c>
      <c r="I1488">
        <f>ventas_libreria[[#This Row],[precio]]*ventas_libreria[[#This Row],[cantidad]]</f>
        <v>15.12</v>
      </c>
      <c r="J1488">
        <v>73</v>
      </c>
      <c r="K1488" t="s">
        <v>20</v>
      </c>
      <c r="L1488" s="1">
        <v>45062</v>
      </c>
      <c r="M1488" t="s">
        <v>31</v>
      </c>
      <c r="N1488" t="s">
        <v>22</v>
      </c>
      <c r="O1488" t="s">
        <v>98</v>
      </c>
      <c r="P1488" t="s">
        <v>56</v>
      </c>
      <c r="Q1488">
        <v>4</v>
      </c>
      <c r="R1488">
        <f>IF(ventas_libreria[[#This Row],[valoracion_cliente]]="","Sin valoración",ventas_libreria[[#This Row],[valoracion_cliente]])</f>
        <v>4</v>
      </c>
    </row>
    <row r="1489" spans="1:18" x14ac:dyDescent="0.25">
      <c r="A1489" t="s">
        <v>1765</v>
      </c>
      <c r="B1489" t="s">
        <v>286</v>
      </c>
      <c r="C1489" t="s">
        <v>287</v>
      </c>
      <c r="D1489" t="s">
        <v>288</v>
      </c>
      <c r="E1489" t="s">
        <v>289</v>
      </c>
      <c r="F1489">
        <f>ventas_libreria[[#This Row],[precio_eur]]/100</f>
        <v>2.19</v>
      </c>
      <c r="G1489">
        <v>219</v>
      </c>
      <c r="H1489">
        <v>2</v>
      </c>
      <c r="I1489">
        <f>ventas_libreria[[#This Row],[precio]]*ventas_libreria[[#This Row],[cantidad]]</f>
        <v>4.38</v>
      </c>
      <c r="J1489">
        <v>75</v>
      </c>
      <c r="K1489" t="s">
        <v>38</v>
      </c>
      <c r="L1489" s="1">
        <v>45893</v>
      </c>
      <c r="M1489" t="s">
        <v>21</v>
      </c>
      <c r="N1489" t="s">
        <v>32</v>
      </c>
      <c r="O1489" t="s">
        <v>33</v>
      </c>
      <c r="P1489" t="s">
        <v>56</v>
      </c>
      <c r="R1489" t="str">
        <f>IF(ventas_libreria[[#This Row],[valoracion_cliente]]="","Sin valoración",ventas_libreria[[#This Row],[valoracion_cliente]])</f>
        <v>Sin valoración</v>
      </c>
    </row>
    <row r="1490" spans="1:18" x14ac:dyDescent="0.25">
      <c r="A1490" t="s">
        <v>1766</v>
      </c>
      <c r="B1490" t="s">
        <v>134</v>
      </c>
      <c r="C1490" t="s">
        <v>135</v>
      </c>
      <c r="D1490" t="s">
        <v>106</v>
      </c>
      <c r="E1490" t="s">
        <v>107</v>
      </c>
      <c r="F1490">
        <f>ventas_libreria[[#This Row],[precio_eur]]/100</f>
        <v>16.39</v>
      </c>
      <c r="G1490">
        <v>1639</v>
      </c>
      <c r="H1490">
        <v>1</v>
      </c>
      <c r="I1490">
        <f>ventas_libreria[[#This Row],[precio]]*ventas_libreria[[#This Row],[cantidad]]</f>
        <v>16.39</v>
      </c>
      <c r="J1490">
        <v>21</v>
      </c>
      <c r="K1490" t="s">
        <v>62</v>
      </c>
      <c r="L1490" s="1">
        <v>45191</v>
      </c>
      <c r="M1490" t="s">
        <v>43</v>
      </c>
      <c r="N1490" t="s">
        <v>32</v>
      </c>
      <c r="O1490" t="s">
        <v>33</v>
      </c>
      <c r="P1490" t="s">
        <v>84</v>
      </c>
      <c r="Q1490">
        <v>4</v>
      </c>
      <c r="R1490">
        <f>IF(ventas_libreria[[#This Row],[valoracion_cliente]]="","Sin valoración",ventas_libreria[[#This Row],[valoracion_cliente]])</f>
        <v>4</v>
      </c>
    </row>
    <row r="1491" spans="1:18" x14ac:dyDescent="0.25">
      <c r="A1491" t="s">
        <v>1767</v>
      </c>
      <c r="B1491" t="s">
        <v>541</v>
      </c>
      <c r="C1491" t="s">
        <v>542</v>
      </c>
      <c r="D1491" t="s">
        <v>131</v>
      </c>
      <c r="E1491" t="s">
        <v>107</v>
      </c>
      <c r="F1491">
        <f>ventas_libreria[[#This Row],[precio_eur]]/100</f>
        <v>1.59</v>
      </c>
      <c r="G1491">
        <v>159</v>
      </c>
      <c r="H1491">
        <v>3</v>
      </c>
      <c r="I1491">
        <f>ventas_libreria[[#This Row],[precio]]*ventas_libreria[[#This Row],[cantidad]]</f>
        <v>4.7700000000000005</v>
      </c>
      <c r="J1491">
        <v>11</v>
      </c>
      <c r="K1491" t="s">
        <v>20</v>
      </c>
      <c r="L1491" s="1">
        <v>45244</v>
      </c>
      <c r="M1491" t="s">
        <v>43</v>
      </c>
      <c r="N1491" t="s">
        <v>32</v>
      </c>
      <c r="O1491" t="s">
        <v>33</v>
      </c>
      <c r="P1491" t="s">
        <v>56</v>
      </c>
      <c r="Q1491">
        <v>5</v>
      </c>
      <c r="R1491">
        <f>IF(ventas_libreria[[#This Row],[valoracion_cliente]]="","Sin valoración",ventas_libreria[[#This Row],[valoracion_cliente]])</f>
        <v>5</v>
      </c>
    </row>
    <row r="1492" spans="1:18" x14ac:dyDescent="0.25">
      <c r="A1492" t="s">
        <v>1768</v>
      </c>
      <c r="B1492" t="s">
        <v>86</v>
      </c>
      <c r="C1492" t="s">
        <v>87</v>
      </c>
      <c r="D1492" t="s">
        <v>88</v>
      </c>
      <c r="E1492" t="s">
        <v>77</v>
      </c>
      <c r="F1492">
        <f>ventas_libreria[[#This Row],[precio_eur]]/100</f>
        <v>9.52</v>
      </c>
      <c r="G1492">
        <v>952</v>
      </c>
      <c r="H1492">
        <v>1</v>
      </c>
      <c r="I1492">
        <f>ventas_libreria[[#This Row],[precio]]*ventas_libreria[[#This Row],[cantidad]]</f>
        <v>9.52</v>
      </c>
      <c r="J1492">
        <v>12</v>
      </c>
      <c r="K1492" t="s">
        <v>38</v>
      </c>
      <c r="L1492" s="1">
        <v>45705</v>
      </c>
      <c r="M1492" t="s">
        <v>21</v>
      </c>
      <c r="N1492" t="s">
        <v>32</v>
      </c>
      <c r="O1492" t="s">
        <v>33</v>
      </c>
      <c r="P1492" t="s">
        <v>24</v>
      </c>
      <c r="Q1492">
        <v>5</v>
      </c>
      <c r="R1492">
        <f>IF(ventas_libreria[[#This Row],[valoracion_cliente]]="","Sin valoración",ventas_libreria[[#This Row],[valoracion_cliente]])</f>
        <v>5</v>
      </c>
    </row>
    <row r="1493" spans="1:18" x14ac:dyDescent="0.25">
      <c r="A1493" t="s">
        <v>1769</v>
      </c>
      <c r="B1493" t="s">
        <v>353</v>
      </c>
      <c r="C1493" t="s">
        <v>354</v>
      </c>
      <c r="D1493" t="s">
        <v>226</v>
      </c>
      <c r="E1493" t="s">
        <v>116</v>
      </c>
      <c r="F1493">
        <f>ventas_libreria[[#This Row],[precio_eur]]/100</f>
        <v>1.69</v>
      </c>
      <c r="G1493">
        <v>169</v>
      </c>
      <c r="H1493">
        <v>1</v>
      </c>
      <c r="I1493">
        <f>ventas_libreria[[#This Row],[precio]]*ventas_libreria[[#This Row],[cantidad]]</f>
        <v>1.69</v>
      </c>
      <c r="J1493">
        <v>21</v>
      </c>
      <c r="K1493" t="s">
        <v>20</v>
      </c>
      <c r="L1493" s="1">
        <v>44927</v>
      </c>
      <c r="M1493" t="s">
        <v>31</v>
      </c>
      <c r="N1493" t="s">
        <v>32</v>
      </c>
      <c r="O1493" t="s">
        <v>33</v>
      </c>
      <c r="P1493" t="s">
        <v>50</v>
      </c>
      <c r="Q1493">
        <v>5</v>
      </c>
      <c r="R1493">
        <f>IF(ventas_libreria[[#This Row],[valoracion_cliente]]="","Sin valoración",ventas_libreria[[#This Row],[valoracion_cliente]])</f>
        <v>5</v>
      </c>
    </row>
    <row r="1494" spans="1:18" x14ac:dyDescent="0.25">
      <c r="A1494" t="s">
        <v>1770</v>
      </c>
      <c r="B1494" t="s">
        <v>353</v>
      </c>
      <c r="C1494" t="s">
        <v>354</v>
      </c>
      <c r="D1494" t="s">
        <v>226</v>
      </c>
      <c r="E1494" t="s">
        <v>116</v>
      </c>
      <c r="F1494">
        <f>ventas_libreria[[#This Row],[precio_eur]]/100</f>
        <v>15.21</v>
      </c>
      <c r="G1494">
        <v>1521</v>
      </c>
      <c r="H1494">
        <v>1</v>
      </c>
      <c r="I1494">
        <f>ventas_libreria[[#This Row],[precio]]*ventas_libreria[[#This Row],[cantidad]]</f>
        <v>15.21</v>
      </c>
      <c r="J1494">
        <v>38</v>
      </c>
      <c r="K1494" t="s">
        <v>38</v>
      </c>
      <c r="L1494" s="1">
        <v>45010</v>
      </c>
      <c r="M1494" t="s">
        <v>21</v>
      </c>
      <c r="N1494" t="s">
        <v>32</v>
      </c>
      <c r="O1494" t="s">
        <v>33</v>
      </c>
      <c r="P1494" t="s">
        <v>34</v>
      </c>
      <c r="R1494" t="str">
        <f>IF(ventas_libreria[[#This Row],[valoracion_cliente]]="","Sin valoración",ventas_libreria[[#This Row],[valoracion_cliente]])</f>
        <v>Sin valoración</v>
      </c>
    </row>
    <row r="1495" spans="1:18" x14ac:dyDescent="0.25">
      <c r="A1495" t="s">
        <v>1771</v>
      </c>
      <c r="B1495" t="s">
        <v>165</v>
      </c>
      <c r="C1495" t="s">
        <v>166</v>
      </c>
      <c r="D1495" t="s">
        <v>167</v>
      </c>
      <c r="E1495" t="s">
        <v>61</v>
      </c>
      <c r="F1495">
        <f>ventas_libreria[[#This Row],[precio_eur]]/100</f>
        <v>16.39</v>
      </c>
      <c r="G1495">
        <v>1639</v>
      </c>
      <c r="H1495">
        <v>4</v>
      </c>
      <c r="I1495">
        <f>ventas_libreria[[#This Row],[precio]]*ventas_libreria[[#This Row],[cantidad]]</f>
        <v>65.56</v>
      </c>
      <c r="J1495">
        <v>42</v>
      </c>
      <c r="K1495" t="s">
        <v>62</v>
      </c>
      <c r="L1495" s="1">
        <v>45647</v>
      </c>
      <c r="M1495" t="s">
        <v>31</v>
      </c>
      <c r="N1495" t="s">
        <v>32</v>
      </c>
      <c r="O1495" t="s">
        <v>33</v>
      </c>
      <c r="P1495" t="s">
        <v>84</v>
      </c>
      <c r="Q1495">
        <v>4</v>
      </c>
      <c r="R1495">
        <f>IF(ventas_libreria[[#This Row],[valoracion_cliente]]="","Sin valoración",ventas_libreria[[#This Row],[valoracion_cliente]])</f>
        <v>4</v>
      </c>
    </row>
    <row r="1496" spans="1:18" x14ac:dyDescent="0.25">
      <c r="A1496" t="s">
        <v>1772</v>
      </c>
      <c r="B1496" t="s">
        <v>64</v>
      </c>
      <c r="C1496" t="s">
        <v>65</v>
      </c>
      <c r="D1496" t="s">
        <v>66</v>
      </c>
      <c r="E1496" t="s">
        <v>29</v>
      </c>
      <c r="F1496">
        <f>ventas_libreria[[#This Row],[precio_eur]]/100</f>
        <v>14.85</v>
      </c>
      <c r="G1496">
        <v>1485</v>
      </c>
      <c r="H1496">
        <v>1</v>
      </c>
      <c r="I1496">
        <f>ventas_libreria[[#This Row],[precio]]*ventas_libreria[[#This Row],[cantidad]]</f>
        <v>14.85</v>
      </c>
      <c r="J1496">
        <v>38</v>
      </c>
      <c r="K1496" t="s">
        <v>30</v>
      </c>
      <c r="L1496" s="1">
        <v>45088</v>
      </c>
      <c r="M1496" t="s">
        <v>21</v>
      </c>
      <c r="N1496" t="s">
        <v>22</v>
      </c>
      <c r="O1496" t="s">
        <v>98</v>
      </c>
      <c r="P1496" t="s">
        <v>34</v>
      </c>
      <c r="Q1496">
        <v>4</v>
      </c>
      <c r="R1496">
        <f>IF(ventas_libreria[[#This Row],[valoracion_cliente]]="","Sin valoración",ventas_libreria[[#This Row],[valoracion_cliente]])</f>
        <v>4</v>
      </c>
    </row>
    <row r="1497" spans="1:18" x14ac:dyDescent="0.25">
      <c r="A1497" t="s">
        <v>1773</v>
      </c>
      <c r="B1497" t="s">
        <v>156</v>
      </c>
      <c r="C1497" t="s">
        <v>157</v>
      </c>
      <c r="D1497" t="s">
        <v>158</v>
      </c>
      <c r="E1497" t="s">
        <v>149</v>
      </c>
      <c r="F1497">
        <f>ventas_libreria[[#This Row],[precio_eur]]/100</f>
        <v>20.79</v>
      </c>
      <c r="G1497">
        <v>2079</v>
      </c>
      <c r="H1497">
        <v>1</v>
      </c>
      <c r="I1497">
        <f>ventas_libreria[[#This Row],[precio]]*ventas_libreria[[#This Row],[cantidad]]</f>
        <v>20.79</v>
      </c>
      <c r="J1497">
        <v>58</v>
      </c>
      <c r="K1497" t="s">
        <v>38</v>
      </c>
      <c r="L1497" s="1">
        <v>45474</v>
      </c>
      <c r="M1497" t="s">
        <v>21</v>
      </c>
      <c r="N1497" t="s">
        <v>32</v>
      </c>
      <c r="O1497" t="s">
        <v>33</v>
      </c>
      <c r="P1497" t="s">
        <v>24</v>
      </c>
      <c r="Q1497">
        <v>5</v>
      </c>
      <c r="R1497">
        <f>IF(ventas_libreria[[#This Row],[valoracion_cliente]]="","Sin valoración",ventas_libreria[[#This Row],[valoracion_cliente]])</f>
        <v>5</v>
      </c>
    </row>
    <row r="1498" spans="1:18" x14ac:dyDescent="0.25">
      <c r="A1498" t="s">
        <v>1774</v>
      </c>
      <c r="B1498" t="s">
        <v>265</v>
      </c>
      <c r="C1498" t="s">
        <v>266</v>
      </c>
      <c r="D1498" t="s">
        <v>162</v>
      </c>
      <c r="E1498" t="s">
        <v>29</v>
      </c>
      <c r="F1498">
        <f>ventas_libreria[[#This Row],[precio_eur]]/100</f>
        <v>1.69</v>
      </c>
      <c r="G1498">
        <v>169</v>
      </c>
      <c r="H1498">
        <v>1</v>
      </c>
      <c r="I1498">
        <f>ventas_libreria[[#This Row],[precio]]*ventas_libreria[[#This Row],[cantidad]]</f>
        <v>1.69</v>
      </c>
      <c r="J1498">
        <v>40</v>
      </c>
      <c r="K1498" t="s">
        <v>62</v>
      </c>
      <c r="L1498" s="1">
        <v>45499</v>
      </c>
      <c r="M1498" t="s">
        <v>43</v>
      </c>
      <c r="N1498" t="s">
        <v>32</v>
      </c>
      <c r="O1498" t="s">
        <v>33</v>
      </c>
      <c r="P1498" t="s">
        <v>84</v>
      </c>
      <c r="R1498" t="str">
        <f>IF(ventas_libreria[[#This Row],[valoracion_cliente]]="","Sin valoración",ventas_libreria[[#This Row],[valoracion_cliente]])</f>
        <v>Sin valoración</v>
      </c>
    </row>
    <row r="1499" spans="1:18" x14ac:dyDescent="0.25">
      <c r="A1499" t="s">
        <v>1775</v>
      </c>
      <c r="B1499" t="s">
        <v>36</v>
      </c>
      <c r="C1499" t="s">
        <v>37</v>
      </c>
      <c r="D1499" t="s">
        <v>28</v>
      </c>
      <c r="E1499" t="s">
        <v>29</v>
      </c>
      <c r="F1499">
        <f>ventas_libreria[[#This Row],[precio_eur]]/100</f>
        <v>17.010000000000002</v>
      </c>
      <c r="G1499">
        <v>1701</v>
      </c>
      <c r="H1499">
        <v>1</v>
      </c>
      <c r="I1499">
        <f>ventas_libreria[[#This Row],[precio]]*ventas_libreria[[#This Row],[cantidad]]</f>
        <v>17.010000000000002</v>
      </c>
      <c r="J1499">
        <v>63</v>
      </c>
      <c r="K1499" t="s">
        <v>62</v>
      </c>
      <c r="L1499" s="1">
        <v>45277</v>
      </c>
      <c r="M1499" t="s">
        <v>43</v>
      </c>
      <c r="N1499" t="s">
        <v>32</v>
      </c>
      <c r="O1499" t="s">
        <v>33</v>
      </c>
      <c r="P1499" t="s">
        <v>34</v>
      </c>
      <c r="Q1499">
        <v>5</v>
      </c>
      <c r="R1499">
        <f>IF(ventas_libreria[[#This Row],[valoracion_cliente]]="","Sin valoración",ventas_libreria[[#This Row],[valoracion_cliente]])</f>
        <v>5</v>
      </c>
    </row>
    <row r="1500" spans="1:18" x14ac:dyDescent="0.25">
      <c r="A1500" t="s">
        <v>1776</v>
      </c>
      <c r="B1500" t="s">
        <v>247</v>
      </c>
      <c r="C1500" t="s">
        <v>248</v>
      </c>
      <c r="D1500" t="s">
        <v>249</v>
      </c>
      <c r="E1500" t="s">
        <v>172</v>
      </c>
      <c r="F1500">
        <f>ventas_libreria[[#This Row],[precio_eur]]/100</f>
        <v>1.39</v>
      </c>
      <c r="G1500">
        <v>139</v>
      </c>
      <c r="H1500">
        <v>1</v>
      </c>
      <c r="I1500">
        <f>ventas_libreria[[#This Row],[precio]]*ventas_libreria[[#This Row],[cantidad]]</f>
        <v>1.39</v>
      </c>
      <c r="J1500">
        <v>47</v>
      </c>
      <c r="K1500" t="s">
        <v>38</v>
      </c>
      <c r="L1500" s="1">
        <v>45544</v>
      </c>
      <c r="M1500" t="s">
        <v>43</v>
      </c>
      <c r="N1500" t="s">
        <v>32</v>
      </c>
      <c r="O1500" t="s">
        <v>33</v>
      </c>
      <c r="P1500" t="s">
        <v>50</v>
      </c>
      <c r="Q1500">
        <v>4</v>
      </c>
      <c r="R1500">
        <f>IF(ventas_libreria[[#This Row],[valoracion_cliente]]="","Sin valoración",ventas_libreria[[#This Row],[valoracion_cliente]])</f>
        <v>4</v>
      </c>
    </row>
    <row r="1501" spans="1:18" x14ac:dyDescent="0.25">
      <c r="A1501" t="s">
        <v>1777</v>
      </c>
      <c r="B1501" t="s">
        <v>424</v>
      </c>
      <c r="C1501" t="s">
        <v>425</v>
      </c>
      <c r="D1501" t="s">
        <v>426</v>
      </c>
      <c r="E1501" t="s">
        <v>55</v>
      </c>
      <c r="F1501">
        <f>ventas_libreria[[#This Row],[precio_eur]]/100</f>
        <v>1.89</v>
      </c>
      <c r="G1501">
        <v>189</v>
      </c>
      <c r="H1501">
        <v>1</v>
      </c>
      <c r="I1501">
        <f>ventas_libreria[[#This Row],[precio]]*ventas_libreria[[#This Row],[cantidad]]</f>
        <v>1.89</v>
      </c>
      <c r="J1501">
        <v>18</v>
      </c>
      <c r="K1501" t="s">
        <v>20</v>
      </c>
      <c r="L1501" s="1">
        <v>45311</v>
      </c>
      <c r="M1501" t="s">
        <v>31</v>
      </c>
      <c r="N1501" t="s">
        <v>32</v>
      </c>
      <c r="O1501" t="s">
        <v>33</v>
      </c>
      <c r="P1501" t="s">
        <v>56</v>
      </c>
      <c r="Q1501">
        <v>4</v>
      </c>
      <c r="R1501">
        <f>IF(ventas_libreria[[#This Row],[valoracion_cliente]]="","Sin valoración",ventas_libreria[[#This Row],[valoracion_cliente]])</f>
        <v>4</v>
      </c>
    </row>
    <row r="1502" spans="1:18" x14ac:dyDescent="0.25">
      <c r="A1502" t="s">
        <v>1778</v>
      </c>
      <c r="B1502" t="s">
        <v>276</v>
      </c>
      <c r="C1502" t="s">
        <v>277</v>
      </c>
      <c r="D1502" t="s">
        <v>278</v>
      </c>
      <c r="E1502" t="s">
        <v>189</v>
      </c>
      <c r="F1502">
        <f>ventas_libreria[[#This Row],[precio_eur]]/100</f>
        <v>1.79</v>
      </c>
      <c r="G1502">
        <v>179</v>
      </c>
      <c r="H1502">
        <v>2</v>
      </c>
      <c r="I1502">
        <f>ventas_libreria[[#This Row],[precio]]*ventas_libreria[[#This Row],[cantidad]]</f>
        <v>3.58</v>
      </c>
      <c r="J1502">
        <v>44</v>
      </c>
      <c r="K1502" t="s">
        <v>62</v>
      </c>
      <c r="L1502" s="1">
        <v>45677</v>
      </c>
      <c r="M1502" t="s">
        <v>43</v>
      </c>
      <c r="N1502" t="s">
        <v>32</v>
      </c>
      <c r="O1502" t="s">
        <v>33</v>
      </c>
      <c r="P1502" t="s">
        <v>84</v>
      </c>
      <c r="Q1502">
        <v>4</v>
      </c>
      <c r="R1502">
        <f>IF(ventas_libreria[[#This Row],[valoracion_cliente]]="","Sin valoración",ventas_libreria[[#This Row],[valoracion_cliente]])</f>
        <v>4</v>
      </c>
    </row>
    <row r="1503" spans="1:18" x14ac:dyDescent="0.25">
      <c r="A1503" t="s">
        <v>1779</v>
      </c>
      <c r="B1503" t="s">
        <v>602</v>
      </c>
      <c r="C1503" t="s">
        <v>603</v>
      </c>
      <c r="D1503" t="s">
        <v>217</v>
      </c>
      <c r="E1503" t="s">
        <v>55</v>
      </c>
      <c r="F1503">
        <f>ventas_libreria[[#This Row],[precio_eur]]/100</f>
        <v>1.79</v>
      </c>
      <c r="G1503">
        <v>179</v>
      </c>
      <c r="H1503">
        <v>1</v>
      </c>
      <c r="I1503">
        <f>ventas_libreria[[#This Row],[precio]]*ventas_libreria[[#This Row],[cantidad]]</f>
        <v>1.79</v>
      </c>
      <c r="J1503">
        <v>58</v>
      </c>
      <c r="K1503" t="s">
        <v>20</v>
      </c>
      <c r="L1503" s="1">
        <v>45743</v>
      </c>
      <c r="M1503" t="s">
        <v>31</v>
      </c>
      <c r="N1503" t="s">
        <v>22</v>
      </c>
      <c r="O1503" t="s">
        <v>67</v>
      </c>
      <c r="P1503" t="s">
        <v>34</v>
      </c>
      <c r="Q1503">
        <v>4</v>
      </c>
      <c r="R1503">
        <f>IF(ventas_libreria[[#This Row],[valoracion_cliente]]="","Sin valoración",ventas_libreria[[#This Row],[valoracion_cliente]])</f>
        <v>4</v>
      </c>
    </row>
    <row r="1504" spans="1:18" x14ac:dyDescent="0.25">
      <c r="A1504" t="s">
        <v>1780</v>
      </c>
      <c r="B1504" t="s">
        <v>215</v>
      </c>
      <c r="C1504" t="s">
        <v>216</v>
      </c>
      <c r="D1504" t="s">
        <v>217</v>
      </c>
      <c r="E1504" t="s">
        <v>55</v>
      </c>
      <c r="F1504">
        <f>ventas_libreria[[#This Row],[precio_eur]]/100</f>
        <v>1.48</v>
      </c>
      <c r="G1504">
        <v>148</v>
      </c>
      <c r="H1504">
        <v>3</v>
      </c>
      <c r="I1504">
        <f>ventas_libreria[[#This Row],[precio]]*ventas_libreria[[#This Row],[cantidad]]</f>
        <v>4.4399999999999995</v>
      </c>
      <c r="J1504">
        <v>50</v>
      </c>
      <c r="K1504" t="s">
        <v>30</v>
      </c>
      <c r="L1504" s="1">
        <v>45765</v>
      </c>
      <c r="M1504" t="s">
        <v>43</v>
      </c>
      <c r="N1504" t="s">
        <v>32</v>
      </c>
      <c r="O1504" t="s">
        <v>33</v>
      </c>
      <c r="P1504" t="s">
        <v>34</v>
      </c>
      <c r="Q1504">
        <v>2</v>
      </c>
      <c r="R1504">
        <f>IF(ventas_libreria[[#This Row],[valoracion_cliente]]="","Sin valoración",ventas_libreria[[#This Row],[valoracion_cliente]])</f>
        <v>2</v>
      </c>
    </row>
    <row r="1505" spans="1:18" x14ac:dyDescent="0.25">
      <c r="A1505" t="s">
        <v>1781</v>
      </c>
      <c r="B1505" t="s">
        <v>398</v>
      </c>
      <c r="C1505" t="s">
        <v>399</v>
      </c>
      <c r="D1505" t="s">
        <v>167</v>
      </c>
      <c r="E1505" t="s">
        <v>61</v>
      </c>
      <c r="F1505">
        <f>ventas_libreria[[#This Row],[precio_eur]]/100</f>
        <v>1.69</v>
      </c>
      <c r="G1505">
        <v>169</v>
      </c>
      <c r="H1505">
        <v>1</v>
      </c>
      <c r="I1505">
        <f>ventas_libreria[[#This Row],[precio]]*ventas_libreria[[#This Row],[cantidad]]</f>
        <v>1.69</v>
      </c>
      <c r="J1505">
        <v>52</v>
      </c>
      <c r="K1505" t="s">
        <v>62</v>
      </c>
      <c r="L1505" s="1">
        <v>45889</v>
      </c>
      <c r="M1505" t="s">
        <v>31</v>
      </c>
      <c r="N1505" t="s">
        <v>22</v>
      </c>
      <c r="O1505" t="s">
        <v>98</v>
      </c>
      <c r="P1505" t="s">
        <v>24</v>
      </c>
      <c r="Q1505">
        <v>4</v>
      </c>
      <c r="R1505">
        <f>IF(ventas_libreria[[#This Row],[valoracion_cliente]]="","Sin valoración",ventas_libreria[[#This Row],[valoracion_cliente]])</f>
        <v>4</v>
      </c>
    </row>
    <row r="1506" spans="1:18" x14ac:dyDescent="0.25">
      <c r="A1506" t="s">
        <v>1782</v>
      </c>
      <c r="B1506" t="s">
        <v>80</v>
      </c>
      <c r="C1506" t="s">
        <v>81</v>
      </c>
      <c r="D1506" t="s">
        <v>82</v>
      </c>
      <c r="E1506" t="s">
        <v>83</v>
      </c>
      <c r="F1506">
        <f>ventas_libreria[[#This Row],[precio_eur]]/100</f>
        <v>7.92</v>
      </c>
      <c r="G1506">
        <v>792</v>
      </c>
      <c r="H1506">
        <v>1</v>
      </c>
      <c r="I1506">
        <f>ventas_libreria[[#This Row],[precio]]*ventas_libreria[[#This Row],[cantidad]]</f>
        <v>7.92</v>
      </c>
      <c r="J1506">
        <v>62</v>
      </c>
      <c r="K1506" t="s">
        <v>20</v>
      </c>
      <c r="L1506" s="1">
        <v>45880</v>
      </c>
      <c r="M1506" t="s">
        <v>31</v>
      </c>
      <c r="N1506" t="s">
        <v>22</v>
      </c>
      <c r="O1506" t="s">
        <v>67</v>
      </c>
      <c r="P1506" t="s">
        <v>24</v>
      </c>
      <c r="Q1506">
        <v>5</v>
      </c>
      <c r="R1506">
        <f>IF(ventas_libreria[[#This Row],[valoracion_cliente]]="","Sin valoración",ventas_libreria[[#This Row],[valoracion_cliente]])</f>
        <v>5</v>
      </c>
    </row>
    <row r="1507" spans="1:18" x14ac:dyDescent="0.25">
      <c r="A1507" t="s">
        <v>1783</v>
      </c>
      <c r="B1507" t="s">
        <v>86</v>
      </c>
      <c r="C1507" t="s">
        <v>87</v>
      </c>
      <c r="D1507" t="s">
        <v>88</v>
      </c>
      <c r="E1507" t="s">
        <v>77</v>
      </c>
      <c r="F1507">
        <f>ventas_libreria[[#This Row],[precio_eur]]/100</f>
        <v>10.119999999999999</v>
      </c>
      <c r="G1507">
        <v>1012</v>
      </c>
      <c r="H1507">
        <v>1</v>
      </c>
      <c r="I1507">
        <f>ventas_libreria[[#This Row],[precio]]*ventas_libreria[[#This Row],[cantidad]]</f>
        <v>10.119999999999999</v>
      </c>
      <c r="J1507">
        <v>6</v>
      </c>
      <c r="K1507" t="s">
        <v>38</v>
      </c>
      <c r="L1507" s="1">
        <v>44953</v>
      </c>
      <c r="M1507" t="s">
        <v>43</v>
      </c>
      <c r="N1507" t="s">
        <v>32</v>
      </c>
      <c r="O1507" t="s">
        <v>33</v>
      </c>
      <c r="P1507" t="s">
        <v>34</v>
      </c>
      <c r="Q1507">
        <v>3</v>
      </c>
      <c r="R1507">
        <f>IF(ventas_libreria[[#This Row],[valoracion_cliente]]="","Sin valoración",ventas_libreria[[#This Row],[valoracion_cliente]])</f>
        <v>3</v>
      </c>
    </row>
    <row r="1508" spans="1:18" x14ac:dyDescent="0.25">
      <c r="A1508" t="s">
        <v>1784</v>
      </c>
      <c r="B1508" t="s">
        <v>307</v>
      </c>
      <c r="C1508" t="s">
        <v>308</v>
      </c>
      <c r="D1508" t="s">
        <v>88</v>
      </c>
      <c r="E1508" t="s">
        <v>77</v>
      </c>
      <c r="F1508">
        <f>ventas_libreria[[#This Row],[precio_eur]]/100</f>
        <v>9.81</v>
      </c>
      <c r="G1508">
        <v>981</v>
      </c>
      <c r="H1508">
        <v>2</v>
      </c>
      <c r="I1508">
        <f>ventas_libreria[[#This Row],[precio]]*ventas_libreria[[#This Row],[cantidad]]</f>
        <v>19.62</v>
      </c>
      <c r="J1508">
        <v>8</v>
      </c>
      <c r="K1508" t="s">
        <v>30</v>
      </c>
      <c r="L1508" s="1">
        <v>45163</v>
      </c>
      <c r="M1508" t="s">
        <v>21</v>
      </c>
      <c r="N1508" t="s">
        <v>32</v>
      </c>
      <c r="O1508" t="s">
        <v>33</v>
      </c>
      <c r="P1508" t="s">
        <v>34</v>
      </c>
      <c r="R1508" t="str">
        <f>IF(ventas_libreria[[#This Row],[valoracion_cliente]]="","Sin valoración",ventas_libreria[[#This Row],[valoracion_cliente]])</f>
        <v>Sin valoración</v>
      </c>
    </row>
    <row r="1509" spans="1:18" x14ac:dyDescent="0.25">
      <c r="A1509" t="s">
        <v>1785</v>
      </c>
      <c r="B1509" t="s">
        <v>186</v>
      </c>
      <c r="C1509" t="s">
        <v>187</v>
      </c>
      <c r="D1509" t="s">
        <v>188</v>
      </c>
      <c r="E1509" t="s">
        <v>189</v>
      </c>
      <c r="F1509">
        <f>ventas_libreria[[#This Row],[precio_eur]]/100</f>
        <v>15.92</v>
      </c>
      <c r="G1509">
        <v>1592</v>
      </c>
      <c r="H1509">
        <v>1</v>
      </c>
      <c r="I1509">
        <f>ventas_libreria[[#This Row],[precio]]*ventas_libreria[[#This Row],[cantidad]]</f>
        <v>15.92</v>
      </c>
      <c r="J1509">
        <v>22</v>
      </c>
      <c r="K1509" t="s">
        <v>30</v>
      </c>
      <c r="L1509" s="1">
        <v>45510</v>
      </c>
      <c r="M1509" t="s">
        <v>21</v>
      </c>
      <c r="N1509" t="s">
        <v>32</v>
      </c>
      <c r="O1509" t="s">
        <v>33</v>
      </c>
      <c r="P1509" t="s">
        <v>50</v>
      </c>
      <c r="Q1509">
        <v>5</v>
      </c>
      <c r="R1509">
        <f>IF(ventas_libreria[[#This Row],[valoracion_cliente]]="","Sin valoración",ventas_libreria[[#This Row],[valoracion_cliente]])</f>
        <v>5</v>
      </c>
    </row>
    <row r="1510" spans="1:18" x14ac:dyDescent="0.25">
      <c r="A1510" t="s">
        <v>1786</v>
      </c>
      <c r="B1510" t="s">
        <v>228</v>
      </c>
      <c r="C1510" t="s">
        <v>229</v>
      </c>
      <c r="D1510" t="s">
        <v>206</v>
      </c>
      <c r="E1510" t="s">
        <v>116</v>
      </c>
      <c r="F1510">
        <f>ventas_libreria[[#This Row],[precio_eur]]/100</f>
        <v>17.010000000000002</v>
      </c>
      <c r="G1510">
        <v>1701</v>
      </c>
      <c r="H1510">
        <v>1</v>
      </c>
      <c r="I1510">
        <f>ventas_libreria[[#This Row],[precio]]*ventas_libreria[[#This Row],[cantidad]]</f>
        <v>17.010000000000002</v>
      </c>
      <c r="J1510">
        <v>53</v>
      </c>
      <c r="K1510" t="s">
        <v>38</v>
      </c>
      <c r="L1510" s="1">
        <v>45977</v>
      </c>
      <c r="M1510" t="s">
        <v>31</v>
      </c>
      <c r="N1510" t="s">
        <v>22</v>
      </c>
      <c r="O1510" t="s">
        <v>98</v>
      </c>
      <c r="P1510" t="s">
        <v>34</v>
      </c>
      <c r="Q1510">
        <v>4</v>
      </c>
      <c r="R1510">
        <f>IF(ventas_libreria[[#This Row],[valoracion_cliente]]="","Sin valoración",ventas_libreria[[#This Row],[valoracion_cliente]])</f>
        <v>4</v>
      </c>
    </row>
    <row r="1511" spans="1:18" x14ac:dyDescent="0.25">
      <c r="A1511" t="s">
        <v>1787</v>
      </c>
      <c r="B1511" t="s">
        <v>109</v>
      </c>
      <c r="C1511" t="s">
        <v>110</v>
      </c>
      <c r="D1511" t="s">
        <v>111</v>
      </c>
      <c r="E1511" t="s">
        <v>55</v>
      </c>
      <c r="F1511">
        <f>ventas_libreria[[#This Row],[precio_eur]]/100</f>
        <v>1.99</v>
      </c>
      <c r="G1511">
        <v>199</v>
      </c>
      <c r="H1511">
        <v>1</v>
      </c>
      <c r="I1511">
        <f>ventas_libreria[[#This Row],[precio]]*ventas_libreria[[#This Row],[cantidad]]</f>
        <v>1.99</v>
      </c>
      <c r="J1511">
        <v>64</v>
      </c>
      <c r="K1511" t="s">
        <v>30</v>
      </c>
      <c r="L1511" s="1">
        <v>45009</v>
      </c>
      <c r="M1511" t="s">
        <v>43</v>
      </c>
      <c r="N1511" t="s">
        <v>32</v>
      </c>
      <c r="O1511" t="s">
        <v>33</v>
      </c>
      <c r="P1511" t="s">
        <v>84</v>
      </c>
      <c r="R1511" t="str">
        <f>IF(ventas_libreria[[#This Row],[valoracion_cliente]]="","Sin valoración",ventas_libreria[[#This Row],[valoracion_cliente]])</f>
        <v>Sin valoración</v>
      </c>
    </row>
    <row r="1512" spans="1:18" x14ac:dyDescent="0.25">
      <c r="A1512" t="s">
        <v>1788</v>
      </c>
      <c r="B1512" t="s">
        <v>197</v>
      </c>
      <c r="C1512" t="s">
        <v>198</v>
      </c>
      <c r="D1512" t="s">
        <v>199</v>
      </c>
      <c r="E1512" t="s">
        <v>55</v>
      </c>
      <c r="F1512">
        <f>ventas_libreria[[#This Row],[precio_eur]]/100</f>
        <v>18.38</v>
      </c>
      <c r="G1512">
        <v>1838</v>
      </c>
      <c r="H1512">
        <v>1</v>
      </c>
      <c r="I1512">
        <f>ventas_libreria[[#This Row],[precio]]*ventas_libreria[[#This Row],[cantidad]]</f>
        <v>18.38</v>
      </c>
      <c r="J1512">
        <v>59</v>
      </c>
      <c r="K1512" t="s">
        <v>20</v>
      </c>
      <c r="L1512" s="1">
        <v>45909</v>
      </c>
      <c r="M1512" t="s">
        <v>31</v>
      </c>
      <c r="N1512" t="s">
        <v>22</v>
      </c>
      <c r="O1512" t="s">
        <v>98</v>
      </c>
      <c r="P1512" t="s">
        <v>24</v>
      </c>
      <c r="Q1512">
        <v>5</v>
      </c>
      <c r="R1512">
        <f>IF(ventas_libreria[[#This Row],[valoracion_cliente]]="","Sin valoración",ventas_libreria[[#This Row],[valoracion_cliente]])</f>
        <v>5</v>
      </c>
    </row>
    <row r="1513" spans="1:18" x14ac:dyDescent="0.25">
      <c r="A1513" t="s">
        <v>1789</v>
      </c>
      <c r="B1513" t="s">
        <v>260</v>
      </c>
      <c r="C1513" t="s">
        <v>261</v>
      </c>
      <c r="D1513" t="s">
        <v>262</v>
      </c>
      <c r="E1513" t="s">
        <v>263</v>
      </c>
      <c r="F1513">
        <f>ventas_libreria[[#This Row],[precio_eur]]/100</f>
        <v>18.61</v>
      </c>
      <c r="G1513">
        <v>1861</v>
      </c>
      <c r="H1513">
        <v>1</v>
      </c>
      <c r="I1513">
        <f>ventas_libreria[[#This Row],[precio]]*ventas_libreria[[#This Row],[cantidad]]</f>
        <v>18.61</v>
      </c>
      <c r="J1513">
        <v>61</v>
      </c>
      <c r="K1513" t="s">
        <v>30</v>
      </c>
      <c r="L1513" s="1">
        <v>44933</v>
      </c>
      <c r="M1513" t="s">
        <v>21</v>
      </c>
      <c r="N1513" t="s">
        <v>32</v>
      </c>
      <c r="O1513" t="s">
        <v>33</v>
      </c>
      <c r="P1513" t="s">
        <v>84</v>
      </c>
      <c r="Q1513">
        <v>4</v>
      </c>
      <c r="R1513">
        <f>IF(ventas_libreria[[#This Row],[valoracion_cliente]]="","Sin valoración",ventas_libreria[[#This Row],[valoracion_cliente]])</f>
        <v>4</v>
      </c>
    </row>
    <row r="1514" spans="1:18" x14ac:dyDescent="0.25">
      <c r="A1514" t="s">
        <v>1790</v>
      </c>
      <c r="B1514" t="s">
        <v>247</v>
      </c>
      <c r="C1514" t="s">
        <v>248</v>
      </c>
      <c r="D1514" t="s">
        <v>249</v>
      </c>
      <c r="E1514" t="s">
        <v>172</v>
      </c>
      <c r="F1514">
        <f>ventas_libreria[[#This Row],[precio_eur]]/100</f>
        <v>11.12</v>
      </c>
      <c r="G1514">
        <v>1112</v>
      </c>
      <c r="H1514">
        <v>2</v>
      </c>
      <c r="I1514">
        <f>ventas_libreria[[#This Row],[precio]]*ventas_libreria[[#This Row],[cantidad]]</f>
        <v>22.24</v>
      </c>
      <c r="J1514">
        <v>21</v>
      </c>
      <c r="K1514" t="s">
        <v>20</v>
      </c>
      <c r="L1514" s="1">
        <v>45242</v>
      </c>
      <c r="M1514" t="s">
        <v>43</v>
      </c>
      <c r="N1514" t="s">
        <v>32</v>
      </c>
      <c r="O1514" t="s">
        <v>33</v>
      </c>
      <c r="P1514" t="s">
        <v>50</v>
      </c>
      <c r="Q1514">
        <v>4</v>
      </c>
      <c r="R1514">
        <f>IF(ventas_libreria[[#This Row],[valoracion_cliente]]="","Sin valoración",ventas_libreria[[#This Row],[valoracion_cliente]])</f>
        <v>4</v>
      </c>
    </row>
    <row r="1515" spans="1:18" x14ac:dyDescent="0.25">
      <c r="A1515" t="s">
        <v>1791</v>
      </c>
      <c r="B1515" t="s">
        <v>141</v>
      </c>
      <c r="C1515" t="s">
        <v>142</v>
      </c>
      <c r="D1515" t="s">
        <v>143</v>
      </c>
      <c r="E1515" t="s">
        <v>116</v>
      </c>
      <c r="F1515">
        <f>ventas_libreria[[#This Row],[precio_eur]]/100</f>
        <v>12.66</v>
      </c>
      <c r="G1515">
        <v>1266</v>
      </c>
      <c r="H1515">
        <v>1</v>
      </c>
      <c r="I1515">
        <f>ventas_libreria[[#This Row],[precio]]*ventas_libreria[[#This Row],[cantidad]]</f>
        <v>12.66</v>
      </c>
      <c r="J1515">
        <v>41</v>
      </c>
      <c r="K1515" t="s">
        <v>20</v>
      </c>
      <c r="L1515" s="1">
        <v>45541</v>
      </c>
      <c r="M1515" t="s">
        <v>31</v>
      </c>
      <c r="N1515" t="s">
        <v>22</v>
      </c>
      <c r="O1515" t="s">
        <v>23</v>
      </c>
      <c r="P1515" t="s">
        <v>24</v>
      </c>
      <c r="R1515" t="str">
        <f>IF(ventas_libreria[[#This Row],[valoracion_cliente]]="","Sin valoración",ventas_libreria[[#This Row],[valoracion_cliente]])</f>
        <v>Sin valoración</v>
      </c>
    </row>
    <row r="1516" spans="1:18" x14ac:dyDescent="0.25">
      <c r="A1516" t="s">
        <v>1792</v>
      </c>
      <c r="B1516" t="s">
        <v>121</v>
      </c>
      <c r="C1516" t="s">
        <v>122</v>
      </c>
      <c r="D1516" t="s">
        <v>123</v>
      </c>
      <c r="E1516" t="s">
        <v>48</v>
      </c>
      <c r="F1516">
        <f>ventas_libreria[[#This Row],[precio_eur]]/100</f>
        <v>15.21</v>
      </c>
      <c r="G1516">
        <v>1521</v>
      </c>
      <c r="H1516">
        <v>1</v>
      </c>
      <c r="I1516">
        <f>ventas_libreria[[#This Row],[precio]]*ventas_libreria[[#This Row],[cantidad]]</f>
        <v>15.21</v>
      </c>
      <c r="J1516">
        <v>73</v>
      </c>
      <c r="K1516" t="s">
        <v>62</v>
      </c>
      <c r="L1516" s="1">
        <v>45627</v>
      </c>
      <c r="M1516" t="s">
        <v>31</v>
      </c>
      <c r="N1516" t="s">
        <v>22</v>
      </c>
      <c r="O1516" t="s">
        <v>98</v>
      </c>
      <c r="P1516" t="s">
        <v>56</v>
      </c>
      <c r="Q1516">
        <v>4</v>
      </c>
      <c r="R1516">
        <f>IF(ventas_libreria[[#This Row],[valoracion_cliente]]="","Sin valoración",ventas_libreria[[#This Row],[valoracion_cliente]])</f>
        <v>4</v>
      </c>
    </row>
    <row r="1517" spans="1:18" x14ac:dyDescent="0.25">
      <c r="A1517" t="s">
        <v>1793</v>
      </c>
      <c r="B1517" t="s">
        <v>424</v>
      </c>
      <c r="C1517" t="s">
        <v>425</v>
      </c>
      <c r="D1517" t="s">
        <v>426</v>
      </c>
      <c r="E1517" t="s">
        <v>55</v>
      </c>
      <c r="F1517">
        <f>ventas_libreria[[#This Row],[precio_eur]]/100</f>
        <v>1.89</v>
      </c>
      <c r="G1517">
        <v>189</v>
      </c>
      <c r="H1517">
        <v>1</v>
      </c>
      <c r="I1517">
        <f>ventas_libreria[[#This Row],[precio]]*ventas_libreria[[#This Row],[cantidad]]</f>
        <v>1.89</v>
      </c>
      <c r="J1517">
        <v>16</v>
      </c>
      <c r="K1517" t="s">
        <v>20</v>
      </c>
      <c r="L1517" s="1">
        <v>46017</v>
      </c>
      <c r="M1517" t="s">
        <v>21</v>
      </c>
      <c r="N1517" t="s">
        <v>22</v>
      </c>
      <c r="O1517" t="s">
        <v>132</v>
      </c>
      <c r="P1517" t="s">
        <v>34</v>
      </c>
      <c r="Q1517">
        <v>5</v>
      </c>
      <c r="R1517">
        <f>IF(ventas_libreria[[#This Row],[valoracion_cliente]]="","Sin valoración",ventas_libreria[[#This Row],[valoracion_cliente]])</f>
        <v>5</v>
      </c>
    </row>
    <row r="1518" spans="1:18" x14ac:dyDescent="0.25">
      <c r="A1518" t="s">
        <v>1794</v>
      </c>
      <c r="B1518" t="s">
        <v>176</v>
      </c>
      <c r="C1518" t="s">
        <v>177</v>
      </c>
      <c r="D1518" t="s">
        <v>178</v>
      </c>
      <c r="E1518" t="s">
        <v>179</v>
      </c>
      <c r="F1518">
        <f>ventas_libreria[[#This Row],[precio_eur]]/100</f>
        <v>1.67</v>
      </c>
      <c r="G1518">
        <v>167</v>
      </c>
      <c r="H1518">
        <v>1</v>
      </c>
      <c r="I1518">
        <f>ventas_libreria[[#This Row],[precio]]*ventas_libreria[[#This Row],[cantidad]]</f>
        <v>1.67</v>
      </c>
      <c r="J1518">
        <v>73</v>
      </c>
      <c r="K1518" t="s">
        <v>20</v>
      </c>
      <c r="L1518" s="1">
        <v>45077</v>
      </c>
      <c r="M1518" t="s">
        <v>31</v>
      </c>
      <c r="N1518" t="s">
        <v>32</v>
      </c>
      <c r="O1518" t="s">
        <v>33</v>
      </c>
      <c r="P1518" t="s">
        <v>50</v>
      </c>
      <c r="R1518" t="str">
        <f>IF(ventas_libreria[[#This Row],[valoracion_cliente]]="","Sin valoración",ventas_libreria[[#This Row],[valoracion_cliente]])</f>
        <v>Sin valoración</v>
      </c>
    </row>
    <row r="1519" spans="1:18" x14ac:dyDescent="0.25">
      <c r="A1519" t="s">
        <v>1795</v>
      </c>
      <c r="B1519" t="s">
        <v>291</v>
      </c>
      <c r="C1519" t="s">
        <v>292</v>
      </c>
      <c r="D1519" t="s">
        <v>76</v>
      </c>
      <c r="E1519" t="s">
        <v>77</v>
      </c>
      <c r="F1519">
        <f>ventas_libreria[[#This Row],[precio_eur]]/100</f>
        <v>0.99</v>
      </c>
      <c r="G1519">
        <v>99</v>
      </c>
      <c r="H1519">
        <v>1</v>
      </c>
      <c r="I1519">
        <f>ventas_libreria[[#This Row],[precio]]*ventas_libreria[[#This Row],[cantidad]]</f>
        <v>0.99</v>
      </c>
      <c r="J1519">
        <v>7</v>
      </c>
      <c r="K1519" t="s">
        <v>62</v>
      </c>
      <c r="L1519" s="1">
        <v>45626</v>
      </c>
      <c r="M1519" t="s">
        <v>21</v>
      </c>
      <c r="N1519" t="s">
        <v>22</v>
      </c>
      <c r="O1519" t="s">
        <v>49</v>
      </c>
      <c r="P1519" t="s">
        <v>50</v>
      </c>
      <c r="Q1519">
        <v>4</v>
      </c>
      <c r="R1519">
        <f>IF(ventas_libreria[[#This Row],[valoracion_cliente]]="","Sin valoración",ventas_libreria[[#This Row],[valoracion_cliente]])</f>
        <v>4</v>
      </c>
    </row>
    <row r="1520" spans="1:18" x14ac:dyDescent="0.25">
      <c r="A1520" t="s">
        <v>1796</v>
      </c>
      <c r="B1520" t="s">
        <v>86</v>
      </c>
      <c r="C1520" t="s">
        <v>87</v>
      </c>
      <c r="D1520" t="s">
        <v>88</v>
      </c>
      <c r="E1520" t="s">
        <v>77</v>
      </c>
      <c r="F1520">
        <f>ventas_libreria[[#This Row],[precio_eur]]/100</f>
        <v>9.52</v>
      </c>
      <c r="G1520">
        <v>952</v>
      </c>
      <c r="H1520">
        <v>1</v>
      </c>
      <c r="I1520">
        <f>ventas_libreria[[#This Row],[precio]]*ventas_libreria[[#This Row],[cantidad]]</f>
        <v>9.52</v>
      </c>
      <c r="J1520">
        <v>9</v>
      </c>
      <c r="K1520" t="s">
        <v>20</v>
      </c>
      <c r="L1520" s="1">
        <v>45078</v>
      </c>
      <c r="M1520" t="s">
        <v>21</v>
      </c>
      <c r="N1520" t="s">
        <v>32</v>
      </c>
      <c r="O1520" t="s">
        <v>33</v>
      </c>
      <c r="P1520" t="s">
        <v>50</v>
      </c>
      <c r="Q1520">
        <v>2</v>
      </c>
      <c r="R1520">
        <f>IF(ventas_libreria[[#This Row],[valoracion_cliente]]="","Sin valoración",ventas_libreria[[#This Row],[valoracion_cliente]])</f>
        <v>2</v>
      </c>
    </row>
    <row r="1521" spans="1:18" x14ac:dyDescent="0.25">
      <c r="A1521" t="s">
        <v>1797</v>
      </c>
      <c r="B1521" t="s">
        <v>413</v>
      </c>
      <c r="C1521" t="s">
        <v>414</v>
      </c>
      <c r="D1521" t="s">
        <v>270</v>
      </c>
      <c r="E1521" t="s">
        <v>415</v>
      </c>
      <c r="F1521">
        <f>ventas_libreria[[#This Row],[precio_eur]]/100</f>
        <v>10.89</v>
      </c>
      <c r="G1521">
        <v>1089</v>
      </c>
      <c r="H1521">
        <v>1</v>
      </c>
      <c r="I1521">
        <f>ventas_libreria[[#This Row],[precio]]*ventas_libreria[[#This Row],[cantidad]]</f>
        <v>10.89</v>
      </c>
      <c r="J1521">
        <v>26</v>
      </c>
      <c r="K1521" t="s">
        <v>20</v>
      </c>
      <c r="L1521" s="1">
        <v>44986</v>
      </c>
      <c r="M1521" t="s">
        <v>21</v>
      </c>
      <c r="N1521" t="s">
        <v>22</v>
      </c>
      <c r="O1521" t="s">
        <v>49</v>
      </c>
      <c r="P1521" t="s">
        <v>24</v>
      </c>
      <c r="Q1521">
        <v>4</v>
      </c>
      <c r="R1521">
        <f>IF(ventas_libreria[[#This Row],[valoracion_cliente]]="","Sin valoración",ventas_libreria[[#This Row],[valoracion_cliente]])</f>
        <v>4</v>
      </c>
    </row>
    <row r="1522" spans="1:18" x14ac:dyDescent="0.25">
      <c r="A1522" t="s">
        <v>1798</v>
      </c>
      <c r="B1522" t="s">
        <v>418</v>
      </c>
      <c r="C1522" t="s">
        <v>419</v>
      </c>
      <c r="D1522" t="s">
        <v>420</v>
      </c>
      <c r="E1522" t="s">
        <v>149</v>
      </c>
      <c r="F1522">
        <f>ventas_libreria[[#This Row],[precio_eur]]/100</f>
        <v>15.21</v>
      </c>
      <c r="G1522">
        <v>1521</v>
      </c>
      <c r="H1522">
        <v>1</v>
      </c>
      <c r="I1522">
        <f>ventas_libreria[[#This Row],[precio]]*ventas_libreria[[#This Row],[cantidad]]</f>
        <v>15.21</v>
      </c>
      <c r="J1522">
        <v>74</v>
      </c>
      <c r="K1522" t="s">
        <v>20</v>
      </c>
      <c r="L1522" s="1">
        <v>45230</v>
      </c>
      <c r="M1522" t="s">
        <v>21</v>
      </c>
      <c r="N1522" t="s">
        <v>22</v>
      </c>
      <c r="O1522" t="s">
        <v>132</v>
      </c>
      <c r="P1522" t="s">
        <v>56</v>
      </c>
      <c r="Q1522">
        <v>3</v>
      </c>
      <c r="R1522">
        <f>IF(ventas_libreria[[#This Row],[valoracion_cliente]]="","Sin valoración",ventas_libreria[[#This Row],[valoracion_cliente]])</f>
        <v>3</v>
      </c>
    </row>
    <row r="1523" spans="1:18" x14ac:dyDescent="0.25">
      <c r="A1523" t="s">
        <v>1799</v>
      </c>
      <c r="B1523" t="s">
        <v>45</v>
      </c>
      <c r="C1523" t="s">
        <v>46</v>
      </c>
      <c r="D1523" t="s">
        <v>47</v>
      </c>
      <c r="E1523" t="s">
        <v>48</v>
      </c>
      <c r="F1523">
        <f>ventas_libreria[[#This Row],[precio_eur]]/100</f>
        <v>1.99</v>
      </c>
      <c r="G1523">
        <v>199</v>
      </c>
      <c r="H1523">
        <v>2</v>
      </c>
      <c r="I1523">
        <f>ventas_libreria[[#This Row],[precio]]*ventas_libreria[[#This Row],[cantidad]]</f>
        <v>3.98</v>
      </c>
      <c r="J1523">
        <v>45</v>
      </c>
      <c r="K1523" t="s">
        <v>62</v>
      </c>
      <c r="L1523" s="1">
        <v>45722</v>
      </c>
      <c r="M1523" t="s">
        <v>31</v>
      </c>
      <c r="N1523" t="s">
        <v>32</v>
      </c>
      <c r="O1523" t="s">
        <v>33</v>
      </c>
      <c r="P1523" t="s">
        <v>50</v>
      </c>
      <c r="Q1523">
        <v>5</v>
      </c>
      <c r="R1523">
        <f>IF(ventas_libreria[[#This Row],[valoracion_cliente]]="","Sin valoración",ventas_libreria[[#This Row],[valoracion_cliente]])</f>
        <v>5</v>
      </c>
    </row>
    <row r="1524" spans="1:18" x14ac:dyDescent="0.25">
      <c r="A1524" t="s">
        <v>1800</v>
      </c>
      <c r="B1524" t="s">
        <v>141</v>
      </c>
      <c r="C1524" t="s">
        <v>142</v>
      </c>
      <c r="D1524" t="s">
        <v>143</v>
      </c>
      <c r="E1524" t="s">
        <v>116</v>
      </c>
      <c r="F1524">
        <f>ventas_libreria[[#This Row],[precio_eur]]/100</f>
        <v>15.65</v>
      </c>
      <c r="G1524">
        <v>1565</v>
      </c>
      <c r="H1524">
        <v>1</v>
      </c>
      <c r="I1524">
        <f>ventas_libreria[[#This Row],[precio]]*ventas_libreria[[#This Row],[cantidad]]</f>
        <v>15.65</v>
      </c>
      <c r="J1524">
        <v>51</v>
      </c>
      <c r="K1524" t="s">
        <v>30</v>
      </c>
      <c r="L1524" s="1">
        <v>45289</v>
      </c>
      <c r="M1524" t="s">
        <v>31</v>
      </c>
      <c r="N1524" t="s">
        <v>32</v>
      </c>
      <c r="O1524" t="s">
        <v>33</v>
      </c>
      <c r="P1524" t="s">
        <v>50</v>
      </c>
      <c r="Q1524">
        <v>5</v>
      </c>
      <c r="R1524">
        <f>IF(ventas_libreria[[#This Row],[valoracion_cliente]]="","Sin valoración",ventas_libreria[[#This Row],[valoracion_cliente]])</f>
        <v>5</v>
      </c>
    </row>
    <row r="1525" spans="1:18" x14ac:dyDescent="0.25">
      <c r="A1525" t="s">
        <v>1801</v>
      </c>
      <c r="B1525" t="s">
        <v>36</v>
      </c>
      <c r="C1525" t="s">
        <v>37</v>
      </c>
      <c r="D1525" t="s">
        <v>28</v>
      </c>
      <c r="E1525" t="s">
        <v>29</v>
      </c>
      <c r="F1525">
        <f>ventas_libreria[[#This Row],[precio_eur]]/100</f>
        <v>19.84</v>
      </c>
      <c r="G1525">
        <v>1984</v>
      </c>
      <c r="H1525">
        <v>1</v>
      </c>
      <c r="I1525">
        <f>ventas_libreria[[#This Row],[precio]]*ventas_libreria[[#This Row],[cantidad]]</f>
        <v>19.84</v>
      </c>
      <c r="J1525">
        <v>70</v>
      </c>
      <c r="K1525" t="s">
        <v>30</v>
      </c>
      <c r="L1525" s="1">
        <v>45708</v>
      </c>
      <c r="M1525" t="s">
        <v>43</v>
      </c>
      <c r="N1525" t="s">
        <v>32</v>
      </c>
      <c r="O1525" t="s">
        <v>33</v>
      </c>
      <c r="P1525" t="s">
        <v>84</v>
      </c>
      <c r="Q1525">
        <v>2</v>
      </c>
      <c r="R1525">
        <f>IF(ventas_libreria[[#This Row],[valoracion_cliente]]="","Sin valoración",ventas_libreria[[#This Row],[valoracion_cliente]])</f>
        <v>2</v>
      </c>
    </row>
    <row r="1526" spans="1:18" x14ac:dyDescent="0.25">
      <c r="A1526" t="s">
        <v>1802</v>
      </c>
      <c r="B1526" t="s">
        <v>100</v>
      </c>
      <c r="C1526" t="s">
        <v>101</v>
      </c>
      <c r="D1526" t="s">
        <v>102</v>
      </c>
      <c r="E1526" t="s">
        <v>61</v>
      </c>
      <c r="F1526">
        <f>ventas_libreria[[#This Row],[precio_eur]]/100</f>
        <v>10.119999999999999</v>
      </c>
      <c r="G1526">
        <v>1012</v>
      </c>
      <c r="H1526">
        <v>1</v>
      </c>
      <c r="I1526">
        <f>ventas_libreria[[#This Row],[precio]]*ventas_libreria[[#This Row],[cantidad]]</f>
        <v>10.119999999999999</v>
      </c>
      <c r="J1526">
        <v>53</v>
      </c>
      <c r="K1526" t="s">
        <v>38</v>
      </c>
      <c r="L1526" s="1">
        <v>45840</v>
      </c>
      <c r="M1526" t="s">
        <v>43</v>
      </c>
      <c r="N1526" t="s">
        <v>32</v>
      </c>
      <c r="O1526" t="s">
        <v>33</v>
      </c>
      <c r="P1526" t="s">
        <v>34</v>
      </c>
      <c r="Q1526">
        <v>4</v>
      </c>
      <c r="R1526">
        <f>IF(ventas_libreria[[#This Row],[valoracion_cliente]]="","Sin valoración",ventas_libreria[[#This Row],[valoracion_cliente]])</f>
        <v>4</v>
      </c>
    </row>
    <row r="1527" spans="1:18" x14ac:dyDescent="0.25">
      <c r="A1527" t="s">
        <v>1803</v>
      </c>
      <c r="B1527" t="s">
        <v>146</v>
      </c>
      <c r="C1527" t="s">
        <v>147</v>
      </c>
      <c r="D1527" t="s">
        <v>148</v>
      </c>
      <c r="E1527" t="s">
        <v>149</v>
      </c>
      <c r="F1527">
        <f>ventas_libreria[[#This Row],[precio_eur]]/100</f>
        <v>12.72</v>
      </c>
      <c r="G1527">
        <v>1272</v>
      </c>
      <c r="H1527">
        <v>1</v>
      </c>
      <c r="I1527">
        <f>ventas_libreria[[#This Row],[precio]]*ventas_libreria[[#This Row],[cantidad]]</f>
        <v>12.72</v>
      </c>
      <c r="J1527">
        <v>19</v>
      </c>
      <c r="K1527" t="s">
        <v>62</v>
      </c>
      <c r="L1527" s="1">
        <v>45492</v>
      </c>
      <c r="M1527" t="s">
        <v>21</v>
      </c>
      <c r="N1527" t="s">
        <v>32</v>
      </c>
      <c r="O1527" t="s">
        <v>33</v>
      </c>
      <c r="P1527" t="s">
        <v>50</v>
      </c>
      <c r="Q1527">
        <v>4</v>
      </c>
      <c r="R1527">
        <f>IF(ventas_libreria[[#This Row],[valoracion_cliente]]="","Sin valoración",ventas_libreria[[#This Row],[valoracion_cliente]])</f>
        <v>4</v>
      </c>
    </row>
    <row r="1528" spans="1:18" x14ac:dyDescent="0.25">
      <c r="A1528" t="s">
        <v>1804</v>
      </c>
      <c r="B1528" t="s">
        <v>236</v>
      </c>
      <c r="C1528" t="s">
        <v>237</v>
      </c>
      <c r="D1528" t="s">
        <v>238</v>
      </c>
      <c r="E1528" t="s">
        <v>29</v>
      </c>
      <c r="F1528">
        <f>ventas_libreria[[#This Row],[precio_eur]]/100</f>
        <v>16.11</v>
      </c>
      <c r="G1528">
        <v>1611</v>
      </c>
      <c r="H1528">
        <v>1</v>
      </c>
      <c r="I1528">
        <f>ventas_libreria[[#This Row],[precio]]*ventas_libreria[[#This Row],[cantidad]]</f>
        <v>16.11</v>
      </c>
      <c r="J1528">
        <v>51</v>
      </c>
      <c r="K1528" t="s">
        <v>20</v>
      </c>
      <c r="L1528" s="1">
        <v>44993</v>
      </c>
      <c r="M1528" t="s">
        <v>21</v>
      </c>
      <c r="N1528" t="s">
        <v>32</v>
      </c>
      <c r="O1528" t="s">
        <v>33</v>
      </c>
      <c r="P1528" t="s">
        <v>84</v>
      </c>
      <c r="Q1528">
        <v>5</v>
      </c>
      <c r="R1528">
        <f>IF(ventas_libreria[[#This Row],[valoracion_cliente]]="","Sin valoración",ventas_libreria[[#This Row],[valoracion_cliente]])</f>
        <v>5</v>
      </c>
    </row>
    <row r="1529" spans="1:18" x14ac:dyDescent="0.25">
      <c r="A1529" t="s">
        <v>1805</v>
      </c>
      <c r="B1529" t="s">
        <v>141</v>
      </c>
      <c r="C1529" t="s">
        <v>142</v>
      </c>
      <c r="D1529" t="s">
        <v>143</v>
      </c>
      <c r="E1529" t="s">
        <v>116</v>
      </c>
      <c r="F1529">
        <f>ventas_libreria[[#This Row],[precio_eur]]/100</f>
        <v>15.65</v>
      </c>
      <c r="G1529">
        <v>1565</v>
      </c>
      <c r="H1529">
        <v>2</v>
      </c>
      <c r="I1529">
        <f>ventas_libreria[[#This Row],[precio]]*ventas_libreria[[#This Row],[cantidad]]</f>
        <v>31.3</v>
      </c>
      <c r="J1529">
        <v>70</v>
      </c>
      <c r="K1529" t="s">
        <v>62</v>
      </c>
      <c r="L1529" s="1">
        <v>45328</v>
      </c>
      <c r="M1529" t="s">
        <v>21</v>
      </c>
      <c r="N1529" t="s">
        <v>22</v>
      </c>
      <c r="O1529" t="s">
        <v>49</v>
      </c>
      <c r="P1529" t="s">
        <v>50</v>
      </c>
      <c r="Q1529">
        <v>3</v>
      </c>
      <c r="R1529">
        <f>IF(ventas_libreria[[#This Row],[valoracion_cliente]]="","Sin valoración",ventas_libreria[[#This Row],[valoracion_cliente]])</f>
        <v>3</v>
      </c>
    </row>
    <row r="1530" spans="1:18" x14ac:dyDescent="0.25">
      <c r="A1530" t="s">
        <v>1806</v>
      </c>
      <c r="B1530" t="s">
        <v>602</v>
      </c>
      <c r="C1530" t="s">
        <v>603</v>
      </c>
      <c r="D1530" t="s">
        <v>217</v>
      </c>
      <c r="E1530" t="s">
        <v>55</v>
      </c>
      <c r="F1530">
        <f>ventas_libreria[[#This Row],[precio_eur]]/100</f>
        <v>18.79</v>
      </c>
      <c r="G1530">
        <v>1879</v>
      </c>
      <c r="H1530">
        <v>1</v>
      </c>
      <c r="I1530">
        <f>ventas_libreria[[#This Row],[precio]]*ventas_libreria[[#This Row],[cantidad]]</f>
        <v>18.79</v>
      </c>
      <c r="J1530">
        <v>38</v>
      </c>
      <c r="K1530" t="s">
        <v>30</v>
      </c>
      <c r="L1530" s="1">
        <v>45924</v>
      </c>
      <c r="M1530" t="s">
        <v>43</v>
      </c>
      <c r="N1530" t="s">
        <v>32</v>
      </c>
      <c r="O1530" t="s">
        <v>33</v>
      </c>
      <c r="P1530" t="s">
        <v>24</v>
      </c>
      <c r="Q1530">
        <v>3</v>
      </c>
      <c r="R1530">
        <f>IF(ventas_libreria[[#This Row],[valoracion_cliente]]="","Sin valoración",ventas_libreria[[#This Row],[valoracion_cliente]])</f>
        <v>3</v>
      </c>
    </row>
    <row r="1531" spans="1:18" x14ac:dyDescent="0.25">
      <c r="A1531" t="s">
        <v>1807</v>
      </c>
      <c r="B1531" t="s">
        <v>362</v>
      </c>
      <c r="C1531" t="s">
        <v>363</v>
      </c>
      <c r="D1531" t="s">
        <v>249</v>
      </c>
      <c r="E1531" t="s">
        <v>172</v>
      </c>
      <c r="F1531">
        <f>ventas_libreria[[#This Row],[precio_eur]]/100</f>
        <v>12.92</v>
      </c>
      <c r="G1531">
        <v>1292</v>
      </c>
      <c r="H1531">
        <v>1</v>
      </c>
      <c r="I1531">
        <f>ventas_libreria[[#This Row],[precio]]*ventas_libreria[[#This Row],[cantidad]]</f>
        <v>12.92</v>
      </c>
      <c r="J1531">
        <v>42</v>
      </c>
      <c r="K1531" t="s">
        <v>38</v>
      </c>
      <c r="L1531" s="1">
        <v>45181</v>
      </c>
      <c r="M1531" t="s">
        <v>31</v>
      </c>
      <c r="N1531" t="s">
        <v>22</v>
      </c>
      <c r="O1531" t="s">
        <v>98</v>
      </c>
      <c r="P1531" t="s">
        <v>50</v>
      </c>
      <c r="Q1531">
        <v>1</v>
      </c>
      <c r="R1531">
        <f>IF(ventas_libreria[[#This Row],[valoracion_cliente]]="","Sin valoración",ventas_libreria[[#This Row],[valoracion_cliente]])</f>
        <v>1</v>
      </c>
    </row>
    <row r="1532" spans="1:18" x14ac:dyDescent="0.25">
      <c r="A1532" t="s">
        <v>1808</v>
      </c>
      <c r="B1532" t="s">
        <v>332</v>
      </c>
      <c r="C1532" t="s">
        <v>333</v>
      </c>
      <c r="D1532" t="s">
        <v>334</v>
      </c>
      <c r="E1532" t="s">
        <v>116</v>
      </c>
      <c r="F1532">
        <f>ventas_libreria[[#This Row],[precio_eur]]/100</f>
        <v>1.69</v>
      </c>
      <c r="G1532">
        <v>169</v>
      </c>
      <c r="H1532">
        <v>1</v>
      </c>
      <c r="I1532">
        <f>ventas_libreria[[#This Row],[precio]]*ventas_libreria[[#This Row],[cantidad]]</f>
        <v>1.69</v>
      </c>
      <c r="J1532">
        <v>75</v>
      </c>
      <c r="K1532" t="s">
        <v>38</v>
      </c>
      <c r="L1532" s="1">
        <v>44980</v>
      </c>
      <c r="M1532" t="s">
        <v>43</v>
      </c>
      <c r="N1532" t="s">
        <v>32</v>
      </c>
      <c r="O1532" t="s">
        <v>33</v>
      </c>
      <c r="P1532" t="s">
        <v>84</v>
      </c>
      <c r="Q1532">
        <v>4</v>
      </c>
      <c r="R1532">
        <f>IF(ventas_libreria[[#This Row],[valoracion_cliente]]="","Sin valoración",ventas_libreria[[#This Row],[valoracion_cliente]])</f>
        <v>4</v>
      </c>
    </row>
    <row r="1533" spans="1:18" x14ac:dyDescent="0.25">
      <c r="A1533" t="s">
        <v>1809</v>
      </c>
      <c r="B1533" t="s">
        <v>40</v>
      </c>
      <c r="C1533" t="s">
        <v>41</v>
      </c>
      <c r="D1533" t="s">
        <v>42</v>
      </c>
      <c r="E1533" t="s">
        <v>19</v>
      </c>
      <c r="F1533">
        <f>ventas_libreria[[#This Row],[precio_eur]]/100</f>
        <v>10.32</v>
      </c>
      <c r="G1533">
        <v>1032</v>
      </c>
      <c r="H1533">
        <v>3</v>
      </c>
      <c r="I1533">
        <f>ventas_libreria[[#This Row],[precio]]*ventas_libreria[[#This Row],[cantidad]]</f>
        <v>30.96</v>
      </c>
      <c r="J1533">
        <v>53</v>
      </c>
      <c r="K1533" t="s">
        <v>38</v>
      </c>
      <c r="L1533" s="1">
        <v>45798</v>
      </c>
      <c r="M1533" t="s">
        <v>21</v>
      </c>
      <c r="N1533" t="s">
        <v>32</v>
      </c>
      <c r="O1533" t="s">
        <v>33</v>
      </c>
      <c r="P1533" t="s">
        <v>56</v>
      </c>
      <c r="Q1533">
        <v>3</v>
      </c>
      <c r="R1533">
        <f>IF(ventas_libreria[[#This Row],[valoracion_cliente]]="","Sin valoración",ventas_libreria[[#This Row],[valoracion_cliente]])</f>
        <v>3</v>
      </c>
    </row>
    <row r="1534" spans="1:18" x14ac:dyDescent="0.25">
      <c r="A1534" t="s">
        <v>1810</v>
      </c>
      <c r="B1534" t="s">
        <v>362</v>
      </c>
      <c r="C1534" t="s">
        <v>363</v>
      </c>
      <c r="D1534" t="s">
        <v>249</v>
      </c>
      <c r="E1534" t="s">
        <v>172</v>
      </c>
      <c r="F1534">
        <f>ventas_libreria[[#This Row],[precio_eur]]/100</f>
        <v>12.92</v>
      </c>
      <c r="G1534">
        <v>1292</v>
      </c>
      <c r="H1534">
        <v>3</v>
      </c>
      <c r="I1534">
        <f>ventas_libreria[[#This Row],[precio]]*ventas_libreria[[#This Row],[cantidad]]</f>
        <v>38.76</v>
      </c>
      <c r="J1534">
        <v>51</v>
      </c>
      <c r="K1534" t="s">
        <v>30</v>
      </c>
      <c r="L1534" s="1">
        <v>45114</v>
      </c>
      <c r="M1534" t="s">
        <v>43</v>
      </c>
      <c r="N1534" t="s">
        <v>32</v>
      </c>
      <c r="O1534" t="s">
        <v>33</v>
      </c>
      <c r="P1534" t="s">
        <v>24</v>
      </c>
      <c r="Q1534">
        <v>3</v>
      </c>
      <c r="R1534">
        <f>IF(ventas_libreria[[#This Row],[valoracion_cliente]]="","Sin valoración",ventas_libreria[[#This Row],[valoracion_cliente]])</f>
        <v>3</v>
      </c>
    </row>
    <row r="1535" spans="1:18" x14ac:dyDescent="0.25">
      <c r="A1535" t="s">
        <v>1811</v>
      </c>
      <c r="B1535" t="s">
        <v>296</v>
      </c>
      <c r="C1535" t="s">
        <v>297</v>
      </c>
      <c r="D1535" t="s">
        <v>298</v>
      </c>
      <c r="E1535" t="s">
        <v>154</v>
      </c>
      <c r="F1535">
        <f>ventas_libreria[[#This Row],[precio_eur]]/100</f>
        <v>1.79</v>
      </c>
      <c r="G1535">
        <v>179</v>
      </c>
      <c r="H1535">
        <v>1</v>
      </c>
      <c r="I1535">
        <f>ventas_libreria[[#This Row],[precio]]*ventas_libreria[[#This Row],[cantidad]]</f>
        <v>1.79</v>
      </c>
      <c r="J1535">
        <v>65</v>
      </c>
      <c r="K1535" t="s">
        <v>20</v>
      </c>
      <c r="L1535" s="1">
        <v>45813</v>
      </c>
      <c r="M1535" t="s">
        <v>31</v>
      </c>
      <c r="N1535" t="s">
        <v>22</v>
      </c>
      <c r="O1535" t="s">
        <v>23</v>
      </c>
      <c r="P1535" t="s">
        <v>84</v>
      </c>
      <c r="Q1535">
        <v>3</v>
      </c>
      <c r="R1535">
        <f>IF(ventas_libreria[[#This Row],[valoracion_cliente]]="","Sin valoración",ventas_libreria[[#This Row],[valoracion_cliente]])</f>
        <v>3</v>
      </c>
    </row>
    <row r="1536" spans="1:18" x14ac:dyDescent="0.25">
      <c r="A1536" t="s">
        <v>1812</v>
      </c>
      <c r="B1536" t="s">
        <v>121</v>
      </c>
      <c r="C1536" t="s">
        <v>122</v>
      </c>
      <c r="D1536" t="s">
        <v>123</v>
      </c>
      <c r="E1536" t="s">
        <v>48</v>
      </c>
      <c r="F1536">
        <f>ventas_libreria[[#This Row],[precio_eur]]/100</f>
        <v>1.69</v>
      </c>
      <c r="G1536">
        <v>169</v>
      </c>
      <c r="H1536">
        <v>1</v>
      </c>
      <c r="I1536">
        <f>ventas_libreria[[#This Row],[precio]]*ventas_libreria[[#This Row],[cantidad]]</f>
        <v>1.69</v>
      </c>
      <c r="J1536">
        <v>19</v>
      </c>
      <c r="K1536" t="s">
        <v>38</v>
      </c>
      <c r="L1536" s="1">
        <v>45892</v>
      </c>
      <c r="M1536" t="s">
        <v>21</v>
      </c>
      <c r="N1536" t="s">
        <v>32</v>
      </c>
      <c r="O1536" t="s">
        <v>33</v>
      </c>
      <c r="P1536" t="s">
        <v>34</v>
      </c>
      <c r="R1536" t="str">
        <f>IF(ventas_libreria[[#This Row],[valoracion_cliente]]="","Sin valoración",ventas_libreria[[#This Row],[valoracion_cliente]])</f>
        <v>Sin valoración</v>
      </c>
    </row>
    <row r="1537" spans="1:18" x14ac:dyDescent="0.25">
      <c r="A1537" t="s">
        <v>1813</v>
      </c>
      <c r="B1537" t="s">
        <v>541</v>
      </c>
      <c r="C1537" t="s">
        <v>542</v>
      </c>
      <c r="D1537" t="s">
        <v>131</v>
      </c>
      <c r="E1537" t="s">
        <v>107</v>
      </c>
      <c r="F1537">
        <f>ventas_libreria[[#This Row],[precio_eur]]/100</f>
        <v>1.59</v>
      </c>
      <c r="G1537">
        <v>159</v>
      </c>
      <c r="H1537">
        <v>1</v>
      </c>
      <c r="I1537">
        <f>ventas_libreria[[#This Row],[precio]]*ventas_libreria[[#This Row],[cantidad]]</f>
        <v>1.59</v>
      </c>
      <c r="J1537">
        <v>13</v>
      </c>
      <c r="K1537" t="s">
        <v>20</v>
      </c>
      <c r="L1537" s="1">
        <v>45593</v>
      </c>
      <c r="M1537" t="s">
        <v>43</v>
      </c>
      <c r="N1537" t="s">
        <v>32</v>
      </c>
      <c r="O1537" t="s">
        <v>33</v>
      </c>
      <c r="P1537" t="s">
        <v>84</v>
      </c>
      <c r="R1537" t="str">
        <f>IF(ventas_libreria[[#This Row],[valoracion_cliente]]="","Sin valoración",ventas_libreria[[#This Row],[valoracion_cliente]])</f>
        <v>Sin valoración</v>
      </c>
    </row>
    <row r="1538" spans="1:18" x14ac:dyDescent="0.25">
      <c r="A1538" t="s">
        <v>1814</v>
      </c>
      <c r="B1538" t="s">
        <v>118</v>
      </c>
      <c r="C1538" t="s">
        <v>119</v>
      </c>
      <c r="D1538" t="s">
        <v>47</v>
      </c>
      <c r="E1538" t="s">
        <v>48</v>
      </c>
      <c r="F1538">
        <f>ventas_libreria[[#This Row],[precio_eur]]/100</f>
        <v>1.59</v>
      </c>
      <c r="G1538">
        <v>159</v>
      </c>
      <c r="H1538">
        <v>1</v>
      </c>
      <c r="I1538">
        <f>ventas_libreria[[#This Row],[precio]]*ventas_libreria[[#This Row],[cantidad]]</f>
        <v>1.59</v>
      </c>
      <c r="J1538">
        <v>61</v>
      </c>
      <c r="K1538" t="s">
        <v>20</v>
      </c>
      <c r="L1538" s="1">
        <v>45885</v>
      </c>
      <c r="M1538" t="s">
        <v>21</v>
      </c>
      <c r="N1538" t="s">
        <v>32</v>
      </c>
      <c r="O1538" t="s">
        <v>33</v>
      </c>
      <c r="P1538" t="s">
        <v>50</v>
      </c>
      <c r="Q1538">
        <v>5</v>
      </c>
      <c r="R1538">
        <f>IF(ventas_libreria[[#This Row],[valoracion_cliente]]="","Sin valoración",ventas_libreria[[#This Row],[valoracion_cliente]])</f>
        <v>5</v>
      </c>
    </row>
    <row r="1539" spans="1:18" x14ac:dyDescent="0.25">
      <c r="A1539" t="s">
        <v>1815</v>
      </c>
      <c r="B1539" t="s">
        <v>208</v>
      </c>
      <c r="C1539" t="s">
        <v>209</v>
      </c>
      <c r="D1539" t="s">
        <v>106</v>
      </c>
      <c r="E1539" t="s">
        <v>107</v>
      </c>
      <c r="F1539">
        <f>ventas_libreria[[#This Row],[precio_eur]]/100</f>
        <v>1.49</v>
      </c>
      <c r="G1539">
        <v>149</v>
      </c>
      <c r="H1539">
        <v>1</v>
      </c>
      <c r="I1539">
        <f>ventas_libreria[[#This Row],[precio]]*ventas_libreria[[#This Row],[cantidad]]</f>
        <v>1.49</v>
      </c>
      <c r="J1539">
        <v>15</v>
      </c>
      <c r="K1539" t="s">
        <v>30</v>
      </c>
      <c r="L1539" s="1">
        <v>45768</v>
      </c>
      <c r="M1539" t="s">
        <v>31</v>
      </c>
      <c r="N1539" t="s">
        <v>32</v>
      </c>
      <c r="O1539" t="s">
        <v>33</v>
      </c>
      <c r="P1539" t="s">
        <v>34</v>
      </c>
      <c r="Q1539">
        <v>4</v>
      </c>
      <c r="R1539">
        <f>IF(ventas_libreria[[#This Row],[valoracion_cliente]]="","Sin valoración",ventas_libreria[[#This Row],[valoracion_cliente]])</f>
        <v>4</v>
      </c>
    </row>
    <row r="1540" spans="1:18" x14ac:dyDescent="0.25">
      <c r="A1540" t="s">
        <v>1816</v>
      </c>
      <c r="B1540" t="s">
        <v>276</v>
      </c>
      <c r="C1540" t="s">
        <v>277</v>
      </c>
      <c r="D1540" t="s">
        <v>278</v>
      </c>
      <c r="E1540" t="s">
        <v>189</v>
      </c>
      <c r="F1540">
        <f>ventas_libreria[[#This Row],[precio_eur]]/100</f>
        <v>18.79</v>
      </c>
      <c r="G1540">
        <v>1879</v>
      </c>
      <c r="H1540">
        <v>2</v>
      </c>
      <c r="I1540">
        <f>ventas_libreria[[#This Row],[precio]]*ventas_libreria[[#This Row],[cantidad]]</f>
        <v>37.58</v>
      </c>
      <c r="J1540">
        <v>68</v>
      </c>
      <c r="K1540" t="s">
        <v>62</v>
      </c>
      <c r="L1540" s="1">
        <v>45008</v>
      </c>
      <c r="M1540" t="s">
        <v>31</v>
      </c>
      <c r="N1540" t="s">
        <v>22</v>
      </c>
      <c r="O1540" t="s">
        <v>132</v>
      </c>
      <c r="P1540" t="s">
        <v>84</v>
      </c>
      <c r="Q1540">
        <v>2</v>
      </c>
      <c r="R1540">
        <f>IF(ventas_libreria[[#This Row],[valoracion_cliente]]="","Sin valoración",ventas_libreria[[#This Row],[valoracion_cliente]])</f>
        <v>2</v>
      </c>
    </row>
    <row r="1541" spans="1:18" x14ac:dyDescent="0.25">
      <c r="A1541" t="s">
        <v>1817</v>
      </c>
      <c r="B1541" t="s">
        <v>265</v>
      </c>
      <c r="C1541" t="s">
        <v>266</v>
      </c>
      <c r="D1541" t="s">
        <v>162</v>
      </c>
      <c r="E1541" t="s">
        <v>29</v>
      </c>
      <c r="F1541">
        <f>ventas_libreria[[#This Row],[precio_eur]]/100</f>
        <v>14.36</v>
      </c>
      <c r="G1541">
        <v>1436</v>
      </c>
      <c r="H1541">
        <v>2</v>
      </c>
      <c r="I1541">
        <f>ventas_libreria[[#This Row],[precio]]*ventas_libreria[[#This Row],[cantidad]]</f>
        <v>28.72</v>
      </c>
      <c r="J1541">
        <v>55</v>
      </c>
      <c r="K1541" t="s">
        <v>30</v>
      </c>
      <c r="L1541" s="1">
        <v>45985</v>
      </c>
      <c r="M1541" t="s">
        <v>31</v>
      </c>
      <c r="N1541" t="s">
        <v>22</v>
      </c>
      <c r="O1541" t="s">
        <v>67</v>
      </c>
      <c r="P1541" t="s">
        <v>50</v>
      </c>
      <c r="Q1541">
        <v>3</v>
      </c>
      <c r="R1541">
        <f>IF(ventas_libreria[[#This Row],[valoracion_cliente]]="","Sin valoración",ventas_libreria[[#This Row],[valoracion_cliente]])</f>
        <v>3</v>
      </c>
    </row>
    <row r="1542" spans="1:18" x14ac:dyDescent="0.25">
      <c r="A1542" t="s">
        <v>1818</v>
      </c>
      <c r="B1542" t="s">
        <v>327</v>
      </c>
      <c r="C1542" t="s">
        <v>328</v>
      </c>
      <c r="D1542" t="s">
        <v>288</v>
      </c>
      <c r="E1542" t="s">
        <v>289</v>
      </c>
      <c r="F1542">
        <f>ventas_libreria[[#This Row],[precio_eur]]/100</f>
        <v>2.29</v>
      </c>
      <c r="G1542">
        <v>229</v>
      </c>
      <c r="H1542">
        <v>4</v>
      </c>
      <c r="I1542">
        <f>ventas_libreria[[#This Row],[precio]]*ventas_libreria[[#This Row],[cantidad]]</f>
        <v>9.16</v>
      </c>
      <c r="J1542">
        <v>25</v>
      </c>
      <c r="K1542" t="s">
        <v>20</v>
      </c>
      <c r="L1542" s="1">
        <v>45971</v>
      </c>
      <c r="M1542" t="s">
        <v>21</v>
      </c>
      <c r="N1542" t="s">
        <v>22</v>
      </c>
      <c r="O1542" t="s">
        <v>132</v>
      </c>
      <c r="P1542" t="s">
        <v>84</v>
      </c>
      <c r="Q1542">
        <v>2</v>
      </c>
      <c r="R1542">
        <f>IF(ventas_libreria[[#This Row],[valoracion_cliente]]="","Sin valoración",ventas_libreria[[#This Row],[valoracion_cliente]])</f>
        <v>2</v>
      </c>
    </row>
    <row r="1543" spans="1:18" x14ac:dyDescent="0.25">
      <c r="A1543" t="s">
        <v>1819</v>
      </c>
      <c r="B1543" t="s">
        <v>541</v>
      </c>
      <c r="C1543" t="s">
        <v>542</v>
      </c>
      <c r="D1543" t="s">
        <v>131</v>
      </c>
      <c r="E1543" t="s">
        <v>107</v>
      </c>
      <c r="F1543">
        <f>ventas_libreria[[#This Row],[precio_eur]]/100</f>
        <v>12.72</v>
      </c>
      <c r="G1543">
        <v>1272</v>
      </c>
      <c r="H1543">
        <v>1</v>
      </c>
      <c r="I1543">
        <f>ventas_libreria[[#This Row],[precio]]*ventas_libreria[[#This Row],[cantidad]]</f>
        <v>12.72</v>
      </c>
      <c r="J1543">
        <v>15</v>
      </c>
      <c r="K1543" t="s">
        <v>30</v>
      </c>
      <c r="L1543" s="1">
        <v>45251</v>
      </c>
      <c r="M1543" t="s">
        <v>43</v>
      </c>
      <c r="N1543" t="s">
        <v>32</v>
      </c>
      <c r="O1543" t="s">
        <v>33</v>
      </c>
      <c r="P1543" t="s">
        <v>24</v>
      </c>
      <c r="Q1543">
        <v>5</v>
      </c>
      <c r="R1543">
        <f>IF(ventas_libreria[[#This Row],[valoracion_cliente]]="","Sin valoración",ventas_libreria[[#This Row],[valoracion_cliente]])</f>
        <v>5</v>
      </c>
    </row>
    <row r="1544" spans="1:18" x14ac:dyDescent="0.25">
      <c r="A1544" t="s">
        <v>1820</v>
      </c>
      <c r="B1544" t="s">
        <v>121</v>
      </c>
      <c r="C1544" t="s">
        <v>122</v>
      </c>
      <c r="D1544" t="s">
        <v>123</v>
      </c>
      <c r="E1544" t="s">
        <v>48</v>
      </c>
      <c r="F1544">
        <f>ventas_libreria[[#This Row],[precio_eur]]/100</f>
        <v>17.75</v>
      </c>
      <c r="G1544">
        <v>1775</v>
      </c>
      <c r="H1544">
        <v>1</v>
      </c>
      <c r="I1544">
        <f>ventas_libreria[[#This Row],[precio]]*ventas_libreria[[#This Row],[cantidad]]</f>
        <v>17.75</v>
      </c>
      <c r="J1544">
        <v>22</v>
      </c>
      <c r="K1544" t="s">
        <v>30</v>
      </c>
      <c r="L1544" s="1">
        <v>45193</v>
      </c>
      <c r="M1544" t="s">
        <v>31</v>
      </c>
      <c r="N1544" t="s">
        <v>22</v>
      </c>
      <c r="O1544" t="s">
        <v>98</v>
      </c>
      <c r="P1544" t="s">
        <v>84</v>
      </c>
      <c r="Q1544">
        <v>3</v>
      </c>
      <c r="R1544">
        <f>IF(ventas_libreria[[#This Row],[valoracion_cliente]]="","Sin valoración",ventas_libreria[[#This Row],[valoracion_cliente]])</f>
        <v>3</v>
      </c>
    </row>
    <row r="1545" spans="1:18" x14ac:dyDescent="0.25">
      <c r="A1545" t="s">
        <v>1821</v>
      </c>
      <c r="B1545" t="s">
        <v>375</v>
      </c>
      <c r="C1545" t="s">
        <v>376</v>
      </c>
      <c r="D1545" t="s">
        <v>377</v>
      </c>
      <c r="E1545" t="s">
        <v>29</v>
      </c>
      <c r="F1545">
        <f>ventas_libreria[[#This Row],[precio_eur]]/100</f>
        <v>1.59</v>
      </c>
      <c r="G1545">
        <v>159</v>
      </c>
      <c r="H1545">
        <v>3</v>
      </c>
      <c r="I1545">
        <f>ventas_libreria[[#This Row],[precio]]*ventas_libreria[[#This Row],[cantidad]]</f>
        <v>4.7700000000000005</v>
      </c>
      <c r="J1545">
        <v>16</v>
      </c>
      <c r="K1545" t="s">
        <v>30</v>
      </c>
      <c r="L1545" s="1">
        <v>45342</v>
      </c>
      <c r="M1545" t="s">
        <v>31</v>
      </c>
      <c r="N1545" t="s">
        <v>22</v>
      </c>
      <c r="O1545" t="s">
        <v>132</v>
      </c>
      <c r="P1545" t="s">
        <v>56</v>
      </c>
      <c r="Q1545">
        <v>5</v>
      </c>
      <c r="R1545">
        <f>IF(ventas_libreria[[#This Row],[valoracion_cliente]]="","Sin valoración",ventas_libreria[[#This Row],[valoracion_cliente]])</f>
        <v>5</v>
      </c>
    </row>
    <row r="1546" spans="1:18" x14ac:dyDescent="0.25">
      <c r="A1546" t="s">
        <v>1822</v>
      </c>
      <c r="B1546" t="s">
        <v>375</v>
      </c>
      <c r="C1546" t="s">
        <v>376</v>
      </c>
      <c r="D1546" t="s">
        <v>377</v>
      </c>
      <c r="E1546" t="s">
        <v>29</v>
      </c>
      <c r="F1546">
        <f>ventas_libreria[[#This Row],[precio_eur]]/100</f>
        <v>1.67</v>
      </c>
      <c r="G1546">
        <v>167</v>
      </c>
      <c r="H1546">
        <v>1</v>
      </c>
      <c r="I1546">
        <f>ventas_libreria[[#This Row],[precio]]*ventas_libreria[[#This Row],[cantidad]]</f>
        <v>1.67</v>
      </c>
      <c r="J1546">
        <v>71</v>
      </c>
      <c r="K1546" t="s">
        <v>20</v>
      </c>
      <c r="L1546" s="1">
        <v>45745</v>
      </c>
      <c r="M1546" t="s">
        <v>31</v>
      </c>
      <c r="N1546" t="s">
        <v>32</v>
      </c>
      <c r="O1546" t="s">
        <v>33</v>
      </c>
      <c r="P1546" t="s">
        <v>56</v>
      </c>
      <c r="R1546" t="str">
        <f>IF(ventas_libreria[[#This Row],[valoracion_cliente]]="","Sin valoración",ventas_libreria[[#This Row],[valoracion_cliente]])</f>
        <v>Sin valoración</v>
      </c>
    </row>
    <row r="1547" spans="1:18" x14ac:dyDescent="0.25">
      <c r="A1547" t="s">
        <v>1823</v>
      </c>
      <c r="B1547" t="s">
        <v>461</v>
      </c>
      <c r="C1547" t="s">
        <v>462</v>
      </c>
      <c r="D1547" t="s">
        <v>143</v>
      </c>
      <c r="E1547" t="s">
        <v>116</v>
      </c>
      <c r="F1547">
        <f>ventas_libreria[[#This Row],[precio_eur]]/100</f>
        <v>1.39</v>
      </c>
      <c r="G1547">
        <v>139</v>
      </c>
      <c r="H1547">
        <v>1</v>
      </c>
      <c r="I1547">
        <f>ventas_libreria[[#This Row],[precio]]*ventas_libreria[[#This Row],[cantidad]]</f>
        <v>1.39</v>
      </c>
      <c r="J1547">
        <v>39</v>
      </c>
      <c r="K1547" t="s">
        <v>62</v>
      </c>
      <c r="L1547" s="1">
        <v>45367</v>
      </c>
      <c r="M1547" t="s">
        <v>43</v>
      </c>
      <c r="N1547" t="s">
        <v>32</v>
      </c>
      <c r="O1547" t="s">
        <v>33</v>
      </c>
      <c r="P1547" t="s">
        <v>56</v>
      </c>
      <c r="Q1547">
        <v>5</v>
      </c>
      <c r="R1547">
        <f>IF(ventas_libreria[[#This Row],[valoracion_cliente]]="","Sin valoración",ventas_libreria[[#This Row],[valoracion_cliente]])</f>
        <v>5</v>
      </c>
    </row>
    <row r="1548" spans="1:18" x14ac:dyDescent="0.25">
      <c r="A1548" t="s">
        <v>1824</v>
      </c>
      <c r="B1548" t="s">
        <v>365</v>
      </c>
      <c r="C1548" t="s">
        <v>366</v>
      </c>
      <c r="D1548" t="s">
        <v>367</v>
      </c>
      <c r="E1548" t="s">
        <v>19</v>
      </c>
      <c r="F1548">
        <f>ventas_libreria[[#This Row],[precio_eur]]/100</f>
        <v>17.010000000000002</v>
      </c>
      <c r="G1548">
        <v>1701</v>
      </c>
      <c r="H1548">
        <v>1</v>
      </c>
      <c r="I1548">
        <f>ventas_libreria[[#This Row],[precio]]*ventas_libreria[[#This Row],[cantidad]]</f>
        <v>17.010000000000002</v>
      </c>
      <c r="J1548">
        <v>44</v>
      </c>
      <c r="K1548" t="s">
        <v>30</v>
      </c>
      <c r="L1548" s="1">
        <v>45602</v>
      </c>
      <c r="M1548" t="s">
        <v>31</v>
      </c>
      <c r="N1548" t="s">
        <v>22</v>
      </c>
      <c r="O1548" t="s">
        <v>23</v>
      </c>
      <c r="P1548" t="s">
        <v>34</v>
      </c>
      <c r="Q1548">
        <v>5</v>
      </c>
      <c r="R1548">
        <f>IF(ventas_libreria[[#This Row],[valoracion_cliente]]="","Sin valoración",ventas_libreria[[#This Row],[valoracion_cliente]])</f>
        <v>5</v>
      </c>
    </row>
    <row r="1549" spans="1:18" x14ac:dyDescent="0.25">
      <c r="A1549" t="s">
        <v>1825</v>
      </c>
      <c r="B1549" t="s">
        <v>86</v>
      </c>
      <c r="C1549" t="s">
        <v>87</v>
      </c>
      <c r="D1549" t="s">
        <v>88</v>
      </c>
      <c r="E1549" t="s">
        <v>77</v>
      </c>
      <c r="F1549">
        <f>ventas_libreria[[#This Row],[precio_eur]]/100</f>
        <v>9.52</v>
      </c>
      <c r="G1549">
        <v>952</v>
      </c>
      <c r="H1549">
        <v>1</v>
      </c>
      <c r="I1549">
        <f>ventas_libreria[[#This Row],[precio]]*ventas_libreria[[#This Row],[cantidad]]</f>
        <v>9.52</v>
      </c>
      <c r="J1549">
        <v>6</v>
      </c>
      <c r="K1549" t="s">
        <v>38</v>
      </c>
      <c r="L1549" s="1">
        <v>45399</v>
      </c>
      <c r="M1549" t="s">
        <v>21</v>
      </c>
      <c r="N1549" t="s">
        <v>32</v>
      </c>
      <c r="O1549" t="s">
        <v>33</v>
      </c>
      <c r="P1549" t="s">
        <v>34</v>
      </c>
      <c r="Q1549">
        <v>5</v>
      </c>
      <c r="R1549">
        <f>IF(ventas_libreria[[#This Row],[valoracion_cliente]]="","Sin valoración",ventas_libreria[[#This Row],[valoracion_cliente]])</f>
        <v>5</v>
      </c>
    </row>
    <row r="1550" spans="1:18" x14ac:dyDescent="0.25">
      <c r="A1550" t="s">
        <v>1826</v>
      </c>
      <c r="B1550" t="s">
        <v>201</v>
      </c>
      <c r="C1550" t="s">
        <v>202</v>
      </c>
      <c r="D1550" t="s">
        <v>47</v>
      </c>
      <c r="E1550" t="s">
        <v>107</v>
      </c>
      <c r="F1550">
        <f>ventas_libreria[[#This Row],[precio_eur]]/100</f>
        <v>1.39</v>
      </c>
      <c r="G1550">
        <v>139</v>
      </c>
      <c r="H1550">
        <v>1</v>
      </c>
      <c r="I1550">
        <f>ventas_libreria[[#This Row],[precio]]*ventas_libreria[[#This Row],[cantidad]]</f>
        <v>1.39</v>
      </c>
      <c r="J1550">
        <v>18</v>
      </c>
      <c r="K1550" t="s">
        <v>62</v>
      </c>
      <c r="L1550" s="1">
        <v>45313</v>
      </c>
      <c r="M1550" t="s">
        <v>31</v>
      </c>
      <c r="N1550" t="s">
        <v>32</v>
      </c>
      <c r="O1550" t="s">
        <v>33</v>
      </c>
      <c r="P1550" t="s">
        <v>56</v>
      </c>
      <c r="Q1550">
        <v>3</v>
      </c>
      <c r="R1550">
        <f>IF(ventas_libreria[[#This Row],[valoracion_cliente]]="","Sin valoración",ventas_libreria[[#This Row],[valoracion_cliente]])</f>
        <v>3</v>
      </c>
    </row>
    <row r="1551" spans="1:18" x14ac:dyDescent="0.25">
      <c r="A1551" t="s">
        <v>1827</v>
      </c>
      <c r="B1551" t="s">
        <v>156</v>
      </c>
      <c r="C1551" t="s">
        <v>157</v>
      </c>
      <c r="D1551" t="s">
        <v>158</v>
      </c>
      <c r="E1551" t="s">
        <v>149</v>
      </c>
      <c r="F1551">
        <f>ventas_libreria[[#This Row],[precio_eur]]/100</f>
        <v>1.89</v>
      </c>
      <c r="G1551">
        <v>189</v>
      </c>
      <c r="H1551">
        <v>1</v>
      </c>
      <c r="I1551">
        <f>ventas_libreria[[#This Row],[precio]]*ventas_libreria[[#This Row],[cantidad]]</f>
        <v>1.89</v>
      </c>
      <c r="J1551">
        <v>49</v>
      </c>
      <c r="K1551" t="s">
        <v>30</v>
      </c>
      <c r="L1551" s="1">
        <v>45065</v>
      </c>
      <c r="M1551" t="s">
        <v>43</v>
      </c>
      <c r="N1551" t="s">
        <v>32</v>
      </c>
      <c r="O1551" t="s">
        <v>33</v>
      </c>
      <c r="P1551" t="s">
        <v>84</v>
      </c>
      <c r="Q1551">
        <v>4</v>
      </c>
      <c r="R1551">
        <f>IF(ventas_libreria[[#This Row],[valoracion_cliente]]="","Sin valoración",ventas_libreria[[#This Row],[valoracion_cliente]])</f>
        <v>4</v>
      </c>
    </row>
    <row r="1552" spans="1:18" x14ac:dyDescent="0.25">
      <c r="A1552" t="s">
        <v>1828</v>
      </c>
      <c r="B1552" t="s">
        <v>74</v>
      </c>
      <c r="C1552" t="s">
        <v>75</v>
      </c>
      <c r="D1552" t="s">
        <v>76</v>
      </c>
      <c r="E1552" t="s">
        <v>77</v>
      </c>
      <c r="F1552">
        <f>ventas_libreria[[#This Row],[precio_eur]]/100</f>
        <v>17.489999999999998</v>
      </c>
      <c r="G1552">
        <v>1749</v>
      </c>
      <c r="H1552">
        <v>1</v>
      </c>
      <c r="I1552">
        <f>ventas_libreria[[#This Row],[precio]]*ventas_libreria[[#This Row],[cantidad]]</f>
        <v>17.489999999999998</v>
      </c>
      <c r="J1552">
        <v>6</v>
      </c>
      <c r="K1552" t="s">
        <v>20</v>
      </c>
      <c r="L1552" s="1">
        <v>45671</v>
      </c>
      <c r="M1552" t="s">
        <v>31</v>
      </c>
      <c r="N1552" t="s">
        <v>32</v>
      </c>
      <c r="O1552" t="s">
        <v>33</v>
      </c>
      <c r="P1552" t="s">
        <v>56</v>
      </c>
      <c r="Q1552">
        <v>4</v>
      </c>
      <c r="R1552">
        <f>IF(ventas_libreria[[#This Row],[valoracion_cliente]]="","Sin valoración",ventas_libreria[[#This Row],[valoracion_cliente]])</f>
        <v>4</v>
      </c>
    </row>
    <row r="1553" spans="1:18" x14ac:dyDescent="0.25">
      <c r="A1553" t="s">
        <v>1829</v>
      </c>
      <c r="B1553" t="s">
        <v>461</v>
      </c>
      <c r="C1553" t="s">
        <v>462</v>
      </c>
      <c r="D1553" t="s">
        <v>143</v>
      </c>
      <c r="E1553" t="s">
        <v>116</v>
      </c>
      <c r="F1553">
        <f>ventas_libreria[[#This Row],[precio_eur]]/100</f>
        <v>11.12</v>
      </c>
      <c r="G1553">
        <v>1112</v>
      </c>
      <c r="H1553">
        <v>2</v>
      </c>
      <c r="I1553">
        <f>ventas_libreria[[#This Row],[precio]]*ventas_libreria[[#This Row],[cantidad]]</f>
        <v>22.24</v>
      </c>
      <c r="J1553">
        <v>60</v>
      </c>
      <c r="K1553" t="s">
        <v>20</v>
      </c>
      <c r="L1553" s="1">
        <v>45110</v>
      </c>
      <c r="M1553" t="s">
        <v>31</v>
      </c>
      <c r="N1553" t="s">
        <v>22</v>
      </c>
      <c r="O1553" t="s">
        <v>132</v>
      </c>
      <c r="P1553" t="s">
        <v>34</v>
      </c>
      <c r="Q1553">
        <v>4</v>
      </c>
      <c r="R1553">
        <f>IF(ventas_libreria[[#This Row],[valoracion_cliente]]="","Sin valoración",ventas_libreria[[#This Row],[valoracion_cliente]])</f>
        <v>4</v>
      </c>
    </row>
    <row r="1554" spans="1:18" x14ac:dyDescent="0.25">
      <c r="A1554" t="s">
        <v>1830</v>
      </c>
      <c r="B1554" t="s">
        <v>109</v>
      </c>
      <c r="C1554" t="s">
        <v>110</v>
      </c>
      <c r="D1554" t="s">
        <v>111</v>
      </c>
      <c r="E1554" t="s">
        <v>55</v>
      </c>
      <c r="F1554">
        <f>ventas_libreria[[#This Row],[precio_eur]]/100</f>
        <v>16.91</v>
      </c>
      <c r="G1554">
        <v>1691</v>
      </c>
      <c r="H1554">
        <v>2</v>
      </c>
      <c r="I1554">
        <f>ventas_libreria[[#This Row],[precio]]*ventas_libreria[[#This Row],[cantidad]]</f>
        <v>33.82</v>
      </c>
      <c r="J1554">
        <v>41</v>
      </c>
      <c r="K1554" t="s">
        <v>30</v>
      </c>
      <c r="L1554" s="1">
        <v>45081</v>
      </c>
      <c r="M1554" t="s">
        <v>43</v>
      </c>
      <c r="N1554" t="s">
        <v>32</v>
      </c>
      <c r="O1554" t="s">
        <v>33</v>
      </c>
      <c r="P1554" t="s">
        <v>84</v>
      </c>
      <c r="Q1554">
        <v>5</v>
      </c>
      <c r="R1554">
        <f>IF(ventas_libreria[[#This Row],[valoracion_cliente]]="","Sin valoración",ventas_libreria[[#This Row],[valoracion_cliente]])</f>
        <v>5</v>
      </c>
    </row>
    <row r="1555" spans="1:18" x14ac:dyDescent="0.25">
      <c r="A1555" t="s">
        <v>1831</v>
      </c>
      <c r="B1555" t="s">
        <v>318</v>
      </c>
      <c r="C1555" t="s">
        <v>319</v>
      </c>
      <c r="D1555" t="s">
        <v>167</v>
      </c>
      <c r="E1555" t="s">
        <v>61</v>
      </c>
      <c r="F1555">
        <f>ventas_libreria[[#This Row],[precio_eur]]/100</f>
        <v>20.79</v>
      </c>
      <c r="G1555">
        <v>2079</v>
      </c>
      <c r="H1555">
        <v>3</v>
      </c>
      <c r="I1555">
        <f>ventas_libreria[[#This Row],[precio]]*ventas_libreria[[#This Row],[cantidad]]</f>
        <v>62.37</v>
      </c>
      <c r="J1555">
        <v>27</v>
      </c>
      <c r="K1555" t="s">
        <v>62</v>
      </c>
      <c r="L1555" s="1">
        <v>45661</v>
      </c>
      <c r="M1555" t="s">
        <v>31</v>
      </c>
      <c r="N1555" t="s">
        <v>22</v>
      </c>
      <c r="O1555" t="s">
        <v>49</v>
      </c>
      <c r="P1555" t="s">
        <v>50</v>
      </c>
      <c r="Q1555">
        <v>3</v>
      </c>
      <c r="R1555">
        <f>IF(ventas_libreria[[#This Row],[valoracion_cliente]]="","Sin valoración",ventas_libreria[[#This Row],[valoracion_cliente]])</f>
        <v>3</v>
      </c>
    </row>
    <row r="1556" spans="1:18" x14ac:dyDescent="0.25">
      <c r="A1556" t="s">
        <v>1832</v>
      </c>
      <c r="B1556" t="s">
        <v>176</v>
      </c>
      <c r="C1556" t="s">
        <v>177</v>
      </c>
      <c r="D1556" t="s">
        <v>178</v>
      </c>
      <c r="E1556" t="s">
        <v>179</v>
      </c>
      <c r="F1556">
        <f>ventas_libreria[[#This Row],[precio_eur]]/100</f>
        <v>1.59</v>
      </c>
      <c r="G1556">
        <v>159</v>
      </c>
      <c r="H1556">
        <v>1</v>
      </c>
      <c r="I1556">
        <f>ventas_libreria[[#This Row],[precio]]*ventas_libreria[[#This Row],[cantidad]]</f>
        <v>1.59</v>
      </c>
      <c r="J1556">
        <v>51</v>
      </c>
      <c r="K1556" t="s">
        <v>62</v>
      </c>
      <c r="L1556" s="1">
        <v>45338</v>
      </c>
      <c r="M1556" t="s">
        <v>21</v>
      </c>
      <c r="N1556" t="s">
        <v>22</v>
      </c>
      <c r="O1556" t="s">
        <v>132</v>
      </c>
      <c r="P1556" t="s">
        <v>50</v>
      </c>
      <c r="Q1556">
        <v>4</v>
      </c>
      <c r="R1556">
        <f>IF(ventas_libreria[[#This Row],[valoracion_cliente]]="","Sin valoración",ventas_libreria[[#This Row],[valoracion_cliente]])</f>
        <v>4</v>
      </c>
    </row>
    <row r="1557" spans="1:18" x14ac:dyDescent="0.25">
      <c r="A1557" t="s">
        <v>1833</v>
      </c>
      <c r="B1557" t="s">
        <v>671</v>
      </c>
      <c r="C1557" t="s">
        <v>672</v>
      </c>
      <c r="D1557" t="s">
        <v>673</v>
      </c>
      <c r="E1557" t="s">
        <v>116</v>
      </c>
      <c r="F1557">
        <f>ventas_libreria[[#This Row],[precio_eur]]/100</f>
        <v>1.29</v>
      </c>
      <c r="G1557">
        <v>129</v>
      </c>
      <c r="H1557">
        <v>1</v>
      </c>
      <c r="I1557">
        <f>ventas_libreria[[#This Row],[precio]]*ventas_libreria[[#This Row],[cantidad]]</f>
        <v>1.29</v>
      </c>
      <c r="J1557">
        <v>66</v>
      </c>
      <c r="K1557" t="s">
        <v>20</v>
      </c>
      <c r="L1557" s="1">
        <v>45973</v>
      </c>
      <c r="M1557" t="s">
        <v>21</v>
      </c>
      <c r="N1557" t="s">
        <v>22</v>
      </c>
      <c r="O1557" t="s">
        <v>67</v>
      </c>
      <c r="P1557" t="s">
        <v>50</v>
      </c>
      <c r="Q1557">
        <v>2</v>
      </c>
      <c r="R1557">
        <f>IF(ventas_libreria[[#This Row],[valoracion_cliente]]="","Sin valoración",ventas_libreria[[#This Row],[valoracion_cliente]])</f>
        <v>2</v>
      </c>
    </row>
    <row r="1558" spans="1:18" x14ac:dyDescent="0.25">
      <c r="A1558" t="s">
        <v>1834</v>
      </c>
      <c r="B1558" t="s">
        <v>296</v>
      </c>
      <c r="C1558" t="s">
        <v>297</v>
      </c>
      <c r="D1558" t="s">
        <v>298</v>
      </c>
      <c r="E1558" t="s">
        <v>154</v>
      </c>
      <c r="F1558">
        <f>ventas_libreria[[#This Row],[precio_eur]]/100</f>
        <v>15.21</v>
      </c>
      <c r="G1558">
        <v>1521</v>
      </c>
      <c r="H1558">
        <v>2</v>
      </c>
      <c r="I1558">
        <f>ventas_libreria[[#This Row],[precio]]*ventas_libreria[[#This Row],[cantidad]]</f>
        <v>30.42</v>
      </c>
      <c r="J1558">
        <v>31</v>
      </c>
      <c r="K1558" t="s">
        <v>20</v>
      </c>
      <c r="L1558" s="1">
        <v>45411</v>
      </c>
      <c r="M1558" t="s">
        <v>43</v>
      </c>
      <c r="N1558" t="s">
        <v>32</v>
      </c>
      <c r="O1558" t="s">
        <v>33</v>
      </c>
      <c r="P1558" t="s">
        <v>34</v>
      </c>
      <c r="Q1558">
        <v>4</v>
      </c>
      <c r="R1558">
        <f>IF(ventas_libreria[[#This Row],[valoracion_cliente]]="","Sin valoración",ventas_libreria[[#This Row],[valoracion_cliente]])</f>
        <v>4</v>
      </c>
    </row>
    <row r="1559" spans="1:18" x14ac:dyDescent="0.25">
      <c r="A1559" t="s">
        <v>1835</v>
      </c>
      <c r="B1559" t="s">
        <v>446</v>
      </c>
      <c r="C1559" t="s">
        <v>447</v>
      </c>
      <c r="D1559" t="s">
        <v>262</v>
      </c>
      <c r="E1559" t="s">
        <v>263</v>
      </c>
      <c r="F1559">
        <f>ventas_libreria[[#This Row],[precio_eur]]/100</f>
        <v>20.89</v>
      </c>
      <c r="G1559">
        <v>2089</v>
      </c>
      <c r="H1559">
        <v>1</v>
      </c>
      <c r="I1559">
        <f>ventas_libreria[[#This Row],[precio]]*ventas_libreria[[#This Row],[cantidad]]</f>
        <v>20.89</v>
      </c>
      <c r="J1559">
        <v>44</v>
      </c>
      <c r="K1559" t="s">
        <v>20</v>
      </c>
      <c r="L1559" s="1">
        <v>45746</v>
      </c>
      <c r="M1559" t="s">
        <v>21</v>
      </c>
      <c r="N1559" t="s">
        <v>32</v>
      </c>
      <c r="O1559" t="s">
        <v>33</v>
      </c>
      <c r="P1559" t="s">
        <v>56</v>
      </c>
      <c r="R1559" t="str">
        <f>IF(ventas_libreria[[#This Row],[valoracion_cliente]]="","Sin valoración",ventas_libreria[[#This Row],[valoracion_cliente]])</f>
        <v>Sin valoración</v>
      </c>
    </row>
    <row r="1560" spans="1:18" x14ac:dyDescent="0.25">
      <c r="A1560" t="s">
        <v>1836</v>
      </c>
      <c r="B1560" t="s">
        <v>671</v>
      </c>
      <c r="C1560" t="s">
        <v>672</v>
      </c>
      <c r="D1560" t="s">
        <v>673</v>
      </c>
      <c r="E1560" t="s">
        <v>116</v>
      </c>
      <c r="F1560">
        <f>ventas_libreria[[#This Row],[precio_eur]]/100</f>
        <v>14.19</v>
      </c>
      <c r="G1560">
        <v>1419</v>
      </c>
      <c r="H1560">
        <v>2</v>
      </c>
      <c r="I1560">
        <f>ventas_libreria[[#This Row],[precio]]*ventas_libreria[[#This Row],[cantidad]]</f>
        <v>28.38</v>
      </c>
      <c r="J1560">
        <v>23</v>
      </c>
      <c r="K1560" t="s">
        <v>30</v>
      </c>
      <c r="L1560" s="1">
        <v>45990</v>
      </c>
      <c r="M1560" t="s">
        <v>43</v>
      </c>
      <c r="N1560" t="s">
        <v>32</v>
      </c>
      <c r="O1560" t="s">
        <v>33</v>
      </c>
      <c r="P1560" t="s">
        <v>50</v>
      </c>
      <c r="Q1560">
        <v>5</v>
      </c>
      <c r="R1560">
        <f>IF(ventas_libreria[[#This Row],[valoracion_cliente]]="","Sin valoración",ventas_libreria[[#This Row],[valoracion_cliente]])</f>
        <v>5</v>
      </c>
    </row>
    <row r="1561" spans="1:18" x14ac:dyDescent="0.25">
      <c r="A1561" t="s">
        <v>1837</v>
      </c>
      <c r="B1561" t="s">
        <v>224</v>
      </c>
      <c r="C1561" t="s">
        <v>225</v>
      </c>
      <c r="D1561" t="s">
        <v>226</v>
      </c>
      <c r="E1561" t="s">
        <v>116</v>
      </c>
      <c r="F1561">
        <f>ventas_libreria[[#This Row],[precio_eur]]/100</f>
        <v>27.39</v>
      </c>
      <c r="G1561">
        <v>2739</v>
      </c>
      <c r="H1561">
        <v>1</v>
      </c>
      <c r="I1561">
        <f>ventas_libreria[[#This Row],[precio]]*ventas_libreria[[#This Row],[cantidad]]</f>
        <v>27.39</v>
      </c>
      <c r="J1561">
        <v>45</v>
      </c>
      <c r="K1561" t="s">
        <v>62</v>
      </c>
      <c r="L1561" s="1">
        <v>45588</v>
      </c>
      <c r="M1561" t="s">
        <v>43</v>
      </c>
      <c r="N1561" t="s">
        <v>32</v>
      </c>
      <c r="O1561" t="s">
        <v>33</v>
      </c>
      <c r="P1561" t="s">
        <v>56</v>
      </c>
      <c r="Q1561">
        <v>4</v>
      </c>
      <c r="R1561">
        <f>IF(ventas_libreria[[#This Row],[valoracion_cliente]]="","Sin valoración",ventas_libreria[[#This Row],[valoracion_cliente]])</f>
        <v>4</v>
      </c>
    </row>
    <row r="1562" spans="1:18" x14ac:dyDescent="0.25">
      <c r="A1562" t="s">
        <v>1838</v>
      </c>
      <c r="B1562" t="s">
        <v>398</v>
      </c>
      <c r="C1562" t="s">
        <v>399</v>
      </c>
      <c r="D1562" t="s">
        <v>167</v>
      </c>
      <c r="E1562" t="s">
        <v>61</v>
      </c>
      <c r="F1562">
        <f>ventas_libreria[[#This Row],[precio_eur]]/100</f>
        <v>1.69</v>
      </c>
      <c r="G1562">
        <v>169</v>
      </c>
      <c r="H1562">
        <v>4</v>
      </c>
      <c r="I1562">
        <f>ventas_libreria[[#This Row],[precio]]*ventas_libreria[[#This Row],[cantidad]]</f>
        <v>6.76</v>
      </c>
      <c r="J1562">
        <v>40</v>
      </c>
      <c r="K1562" t="s">
        <v>30</v>
      </c>
      <c r="L1562" s="1">
        <v>45755</v>
      </c>
      <c r="M1562" t="s">
        <v>43</v>
      </c>
      <c r="N1562" t="s">
        <v>32</v>
      </c>
      <c r="O1562" t="s">
        <v>33</v>
      </c>
      <c r="P1562" t="s">
        <v>56</v>
      </c>
      <c r="Q1562">
        <v>5</v>
      </c>
      <c r="R1562">
        <f>IF(ventas_libreria[[#This Row],[valoracion_cliente]]="","Sin valoración",ventas_libreria[[#This Row],[valoracion_cliente]])</f>
        <v>5</v>
      </c>
    </row>
    <row r="1563" spans="1:18" x14ac:dyDescent="0.25">
      <c r="A1563" t="s">
        <v>1839</v>
      </c>
      <c r="B1563" t="s">
        <v>424</v>
      </c>
      <c r="C1563" t="s">
        <v>425</v>
      </c>
      <c r="D1563" t="s">
        <v>426</v>
      </c>
      <c r="E1563" t="s">
        <v>55</v>
      </c>
      <c r="F1563">
        <f>ventas_libreria[[#This Row],[precio_eur]]/100</f>
        <v>19.84</v>
      </c>
      <c r="G1563">
        <v>1984</v>
      </c>
      <c r="H1563">
        <v>1</v>
      </c>
      <c r="I1563">
        <f>ventas_libreria[[#This Row],[precio]]*ventas_libreria[[#This Row],[cantidad]]</f>
        <v>19.84</v>
      </c>
      <c r="J1563">
        <v>34</v>
      </c>
      <c r="K1563" t="s">
        <v>20</v>
      </c>
      <c r="L1563" s="1">
        <v>45328</v>
      </c>
      <c r="M1563" t="s">
        <v>31</v>
      </c>
      <c r="N1563" t="s">
        <v>32</v>
      </c>
      <c r="O1563" t="s">
        <v>33</v>
      </c>
      <c r="P1563" t="s">
        <v>56</v>
      </c>
      <c r="Q1563">
        <v>5</v>
      </c>
      <c r="R1563">
        <f>IF(ventas_libreria[[#This Row],[valoracion_cliente]]="","Sin valoración",ventas_libreria[[#This Row],[valoracion_cliente]])</f>
        <v>5</v>
      </c>
    </row>
    <row r="1564" spans="1:18" x14ac:dyDescent="0.25">
      <c r="A1564" t="s">
        <v>1840</v>
      </c>
      <c r="B1564" t="s">
        <v>69</v>
      </c>
      <c r="C1564" t="s">
        <v>70</v>
      </c>
      <c r="D1564" t="s">
        <v>71</v>
      </c>
      <c r="E1564" t="s">
        <v>72</v>
      </c>
      <c r="F1564">
        <f>ventas_libreria[[#This Row],[precio_eur]]/100</f>
        <v>13.52</v>
      </c>
      <c r="G1564">
        <v>1352</v>
      </c>
      <c r="H1564">
        <v>4</v>
      </c>
      <c r="I1564">
        <f>ventas_libreria[[#This Row],[precio]]*ventas_libreria[[#This Row],[cantidad]]</f>
        <v>54.08</v>
      </c>
      <c r="J1564">
        <v>40</v>
      </c>
      <c r="K1564" t="s">
        <v>62</v>
      </c>
      <c r="L1564" s="1">
        <v>45557</v>
      </c>
      <c r="M1564" t="s">
        <v>31</v>
      </c>
      <c r="N1564" t="s">
        <v>22</v>
      </c>
      <c r="O1564" t="s">
        <v>132</v>
      </c>
      <c r="P1564" t="s">
        <v>24</v>
      </c>
      <c r="Q1564">
        <v>3</v>
      </c>
      <c r="R1564">
        <f>IF(ventas_libreria[[#This Row],[valoracion_cliente]]="","Sin valoración",ventas_libreria[[#This Row],[valoracion_cliente]])</f>
        <v>3</v>
      </c>
    </row>
    <row r="1565" spans="1:18" x14ac:dyDescent="0.25">
      <c r="A1565" t="s">
        <v>1841</v>
      </c>
      <c r="B1565" t="s">
        <v>211</v>
      </c>
      <c r="C1565" t="s">
        <v>212</v>
      </c>
      <c r="D1565" t="s">
        <v>131</v>
      </c>
      <c r="E1565" t="s">
        <v>107</v>
      </c>
      <c r="F1565">
        <f>ventas_libreria[[#This Row],[precio_eur]]/100</f>
        <v>1.69</v>
      </c>
      <c r="G1565">
        <v>169</v>
      </c>
      <c r="H1565">
        <v>2</v>
      </c>
      <c r="I1565">
        <f>ventas_libreria[[#This Row],[precio]]*ventas_libreria[[#This Row],[cantidad]]</f>
        <v>3.38</v>
      </c>
      <c r="J1565">
        <v>17</v>
      </c>
      <c r="K1565" t="s">
        <v>20</v>
      </c>
      <c r="L1565" s="1">
        <v>46009</v>
      </c>
      <c r="M1565" t="s">
        <v>43</v>
      </c>
      <c r="N1565" t="s">
        <v>32</v>
      </c>
      <c r="O1565" t="s">
        <v>33</v>
      </c>
      <c r="P1565" t="s">
        <v>84</v>
      </c>
      <c r="Q1565">
        <v>4</v>
      </c>
      <c r="R1565">
        <f>IF(ventas_libreria[[#This Row],[valoracion_cliente]]="","Sin valoración",ventas_libreria[[#This Row],[valoracion_cliente]])</f>
        <v>4</v>
      </c>
    </row>
    <row r="1566" spans="1:18" x14ac:dyDescent="0.25">
      <c r="A1566" t="s">
        <v>1842</v>
      </c>
      <c r="B1566" t="s">
        <v>549</v>
      </c>
      <c r="C1566" t="s">
        <v>550</v>
      </c>
      <c r="D1566" t="s">
        <v>162</v>
      </c>
      <c r="E1566" t="s">
        <v>29</v>
      </c>
      <c r="F1566">
        <f>ventas_libreria[[#This Row],[precio_eur]]/100</f>
        <v>1.99</v>
      </c>
      <c r="G1566">
        <v>199</v>
      </c>
      <c r="H1566">
        <v>3</v>
      </c>
      <c r="I1566">
        <f>ventas_libreria[[#This Row],[precio]]*ventas_libreria[[#This Row],[cantidad]]</f>
        <v>5.97</v>
      </c>
      <c r="J1566">
        <v>50</v>
      </c>
      <c r="K1566" t="s">
        <v>62</v>
      </c>
      <c r="L1566" s="1">
        <v>45241</v>
      </c>
      <c r="M1566" t="s">
        <v>21</v>
      </c>
      <c r="N1566" t="s">
        <v>22</v>
      </c>
      <c r="O1566" t="s">
        <v>67</v>
      </c>
      <c r="P1566" t="s">
        <v>34</v>
      </c>
      <c r="Q1566">
        <v>2</v>
      </c>
      <c r="R1566">
        <f>IF(ventas_libreria[[#This Row],[valoracion_cliente]]="","Sin valoración",ventas_libreria[[#This Row],[valoracion_cliente]])</f>
        <v>2</v>
      </c>
    </row>
    <row r="1567" spans="1:18" x14ac:dyDescent="0.25">
      <c r="A1567" t="s">
        <v>1843</v>
      </c>
      <c r="B1567" t="s">
        <v>220</v>
      </c>
      <c r="C1567" t="s">
        <v>221</v>
      </c>
      <c r="D1567" t="s">
        <v>222</v>
      </c>
      <c r="E1567" t="s">
        <v>116</v>
      </c>
      <c r="F1567">
        <f>ventas_libreria[[#This Row],[precio_eur]]/100</f>
        <v>13.55</v>
      </c>
      <c r="G1567">
        <v>1355</v>
      </c>
      <c r="H1567">
        <v>1</v>
      </c>
      <c r="I1567">
        <f>ventas_libreria[[#This Row],[precio]]*ventas_libreria[[#This Row],[cantidad]]</f>
        <v>13.55</v>
      </c>
      <c r="J1567">
        <v>56</v>
      </c>
      <c r="K1567" t="s">
        <v>62</v>
      </c>
      <c r="L1567" s="1">
        <v>45463</v>
      </c>
      <c r="M1567" t="s">
        <v>43</v>
      </c>
      <c r="N1567" t="s">
        <v>32</v>
      </c>
      <c r="O1567" t="s">
        <v>33</v>
      </c>
      <c r="P1567" t="s">
        <v>84</v>
      </c>
      <c r="Q1567">
        <v>5</v>
      </c>
      <c r="R1567">
        <f>IF(ventas_libreria[[#This Row],[valoracion_cliente]]="","Sin valoración",ventas_libreria[[#This Row],[valoracion_cliente]])</f>
        <v>5</v>
      </c>
    </row>
    <row r="1568" spans="1:18" x14ac:dyDescent="0.25">
      <c r="A1568" t="s">
        <v>1844</v>
      </c>
      <c r="B1568" t="s">
        <v>146</v>
      </c>
      <c r="C1568" t="s">
        <v>147</v>
      </c>
      <c r="D1568" t="s">
        <v>148</v>
      </c>
      <c r="E1568" t="s">
        <v>149</v>
      </c>
      <c r="F1568">
        <f>ventas_libreria[[#This Row],[precio_eur]]/100</f>
        <v>12.72</v>
      </c>
      <c r="G1568">
        <v>1272</v>
      </c>
      <c r="H1568">
        <v>1</v>
      </c>
      <c r="I1568">
        <f>ventas_libreria[[#This Row],[precio]]*ventas_libreria[[#This Row],[cantidad]]</f>
        <v>12.72</v>
      </c>
      <c r="J1568">
        <v>41</v>
      </c>
      <c r="K1568" t="s">
        <v>38</v>
      </c>
      <c r="L1568" s="1">
        <v>45161</v>
      </c>
      <c r="M1568" t="s">
        <v>21</v>
      </c>
      <c r="N1568" t="s">
        <v>32</v>
      </c>
      <c r="O1568" t="s">
        <v>33</v>
      </c>
      <c r="P1568" t="s">
        <v>56</v>
      </c>
      <c r="Q1568">
        <v>2</v>
      </c>
      <c r="R1568">
        <f>IF(ventas_libreria[[#This Row],[valoracion_cliente]]="","Sin valoración",ventas_libreria[[#This Row],[valoracion_cliente]])</f>
        <v>2</v>
      </c>
    </row>
    <row r="1569" spans="1:18" x14ac:dyDescent="0.25">
      <c r="A1569" t="s">
        <v>1845</v>
      </c>
      <c r="B1569" t="s">
        <v>353</v>
      </c>
      <c r="C1569" t="s">
        <v>354</v>
      </c>
      <c r="D1569" t="s">
        <v>226</v>
      </c>
      <c r="E1569" t="s">
        <v>116</v>
      </c>
      <c r="F1569">
        <f>ventas_libreria[[#This Row],[precio_eur]]/100</f>
        <v>15.21</v>
      </c>
      <c r="G1569">
        <v>1521</v>
      </c>
      <c r="H1569">
        <v>2</v>
      </c>
      <c r="I1569">
        <f>ventas_libreria[[#This Row],[precio]]*ventas_libreria[[#This Row],[cantidad]]</f>
        <v>30.42</v>
      </c>
      <c r="J1569">
        <v>20</v>
      </c>
      <c r="K1569" t="s">
        <v>30</v>
      </c>
      <c r="L1569" s="1">
        <v>45360</v>
      </c>
      <c r="M1569" t="s">
        <v>21</v>
      </c>
      <c r="N1569" t="s">
        <v>32</v>
      </c>
      <c r="O1569" t="s">
        <v>33</v>
      </c>
      <c r="P1569" t="s">
        <v>84</v>
      </c>
      <c r="Q1569">
        <v>3</v>
      </c>
      <c r="R1569">
        <f>IF(ventas_libreria[[#This Row],[valoracion_cliente]]="","Sin valoración",ventas_libreria[[#This Row],[valoracion_cliente]])</f>
        <v>3</v>
      </c>
    </row>
    <row r="1570" spans="1:18" x14ac:dyDescent="0.25">
      <c r="A1570" t="s">
        <v>1846</v>
      </c>
      <c r="B1570" t="s">
        <v>86</v>
      </c>
      <c r="C1570" t="s">
        <v>87</v>
      </c>
      <c r="D1570" t="s">
        <v>88</v>
      </c>
      <c r="E1570" t="s">
        <v>77</v>
      </c>
      <c r="F1570">
        <f>ventas_libreria[[#This Row],[precio_eur]]/100</f>
        <v>1.25</v>
      </c>
      <c r="G1570">
        <v>125</v>
      </c>
      <c r="H1570">
        <v>1</v>
      </c>
      <c r="I1570">
        <f>ventas_libreria[[#This Row],[precio]]*ventas_libreria[[#This Row],[cantidad]]</f>
        <v>1.25</v>
      </c>
      <c r="J1570">
        <v>10</v>
      </c>
      <c r="K1570" t="s">
        <v>20</v>
      </c>
      <c r="L1570" s="1">
        <v>45636</v>
      </c>
      <c r="M1570" t="s">
        <v>43</v>
      </c>
      <c r="N1570" t="s">
        <v>32</v>
      </c>
      <c r="O1570" t="s">
        <v>33</v>
      </c>
      <c r="P1570" t="s">
        <v>50</v>
      </c>
      <c r="Q1570">
        <v>3</v>
      </c>
      <c r="R1570">
        <f>IF(ventas_libreria[[#This Row],[valoracion_cliente]]="","Sin valoración",ventas_libreria[[#This Row],[valoracion_cliente]])</f>
        <v>3</v>
      </c>
    </row>
    <row r="1571" spans="1:18" x14ac:dyDescent="0.25">
      <c r="A1571" t="s">
        <v>1847</v>
      </c>
      <c r="B1571" t="s">
        <v>156</v>
      </c>
      <c r="C1571" t="s">
        <v>157</v>
      </c>
      <c r="D1571" t="s">
        <v>158</v>
      </c>
      <c r="E1571" t="s">
        <v>149</v>
      </c>
      <c r="F1571">
        <f>ventas_libreria[[#This Row],[precio_eur]]/100</f>
        <v>20.79</v>
      </c>
      <c r="G1571">
        <v>2079</v>
      </c>
      <c r="H1571">
        <v>1</v>
      </c>
      <c r="I1571">
        <f>ventas_libreria[[#This Row],[precio]]*ventas_libreria[[#This Row],[cantidad]]</f>
        <v>20.79</v>
      </c>
      <c r="J1571">
        <v>61</v>
      </c>
      <c r="K1571" t="s">
        <v>62</v>
      </c>
      <c r="L1571" s="1">
        <v>45176</v>
      </c>
      <c r="M1571" t="s">
        <v>21</v>
      </c>
      <c r="N1571" t="s">
        <v>32</v>
      </c>
      <c r="O1571" t="s">
        <v>33</v>
      </c>
      <c r="P1571" t="s">
        <v>34</v>
      </c>
      <c r="Q1571">
        <v>4</v>
      </c>
      <c r="R1571">
        <f>IF(ventas_libreria[[#This Row],[valoracion_cliente]]="","Sin valoración",ventas_libreria[[#This Row],[valoracion_cliente]])</f>
        <v>4</v>
      </c>
    </row>
    <row r="1572" spans="1:18" x14ac:dyDescent="0.25">
      <c r="A1572" t="s">
        <v>1848</v>
      </c>
      <c r="B1572" t="s">
        <v>418</v>
      </c>
      <c r="C1572" t="s">
        <v>419</v>
      </c>
      <c r="D1572" t="s">
        <v>420</v>
      </c>
      <c r="E1572" t="s">
        <v>149</v>
      </c>
      <c r="F1572">
        <f>ventas_libreria[[#This Row],[precio_eur]]/100</f>
        <v>17.75</v>
      </c>
      <c r="G1572">
        <v>1775</v>
      </c>
      <c r="H1572">
        <v>1</v>
      </c>
      <c r="I1572">
        <f>ventas_libreria[[#This Row],[precio]]*ventas_libreria[[#This Row],[cantidad]]</f>
        <v>17.75</v>
      </c>
      <c r="J1572">
        <v>28</v>
      </c>
      <c r="K1572" t="s">
        <v>62</v>
      </c>
      <c r="L1572" s="1">
        <v>45242</v>
      </c>
      <c r="M1572" t="s">
        <v>31</v>
      </c>
      <c r="N1572" t="s">
        <v>32</v>
      </c>
      <c r="O1572" t="s">
        <v>33</v>
      </c>
      <c r="P1572" t="s">
        <v>34</v>
      </c>
      <c r="Q1572">
        <v>5</v>
      </c>
      <c r="R1572">
        <f>IF(ventas_libreria[[#This Row],[valoracion_cliente]]="","Sin valoración",ventas_libreria[[#This Row],[valoracion_cliente]])</f>
        <v>5</v>
      </c>
    </row>
    <row r="1573" spans="1:18" x14ac:dyDescent="0.25">
      <c r="A1573" t="s">
        <v>1849</v>
      </c>
      <c r="B1573" t="s">
        <v>314</v>
      </c>
      <c r="C1573" t="s">
        <v>315</v>
      </c>
      <c r="D1573" t="s">
        <v>217</v>
      </c>
      <c r="E1573" t="s">
        <v>55</v>
      </c>
      <c r="F1573">
        <f>ventas_libreria[[#This Row],[precio_eur]]/100</f>
        <v>19.43</v>
      </c>
      <c r="G1573">
        <v>1943</v>
      </c>
      <c r="H1573">
        <v>1</v>
      </c>
      <c r="I1573">
        <f>ventas_libreria[[#This Row],[precio]]*ventas_libreria[[#This Row],[cantidad]]</f>
        <v>19.43</v>
      </c>
      <c r="J1573">
        <v>49</v>
      </c>
      <c r="K1573" t="s">
        <v>38</v>
      </c>
      <c r="L1573" s="1">
        <v>45939</v>
      </c>
      <c r="M1573" t="s">
        <v>43</v>
      </c>
      <c r="N1573" t="s">
        <v>32</v>
      </c>
      <c r="O1573" t="s">
        <v>33</v>
      </c>
      <c r="P1573" t="s">
        <v>56</v>
      </c>
      <c r="Q1573">
        <v>4</v>
      </c>
      <c r="R1573">
        <f>IF(ventas_libreria[[#This Row],[valoracion_cliente]]="","Sin valoración",ventas_libreria[[#This Row],[valoracion_cliente]])</f>
        <v>4</v>
      </c>
    </row>
    <row r="1574" spans="1:18" x14ac:dyDescent="0.25">
      <c r="A1574" t="s">
        <v>1850</v>
      </c>
      <c r="B1574" t="s">
        <v>236</v>
      </c>
      <c r="C1574" t="s">
        <v>237</v>
      </c>
      <c r="D1574" t="s">
        <v>238</v>
      </c>
      <c r="E1574" t="s">
        <v>29</v>
      </c>
      <c r="F1574">
        <f>ventas_libreria[[#This Row],[precio_eur]]/100</f>
        <v>1.79</v>
      </c>
      <c r="G1574">
        <v>179</v>
      </c>
      <c r="H1574">
        <v>1</v>
      </c>
      <c r="I1574">
        <f>ventas_libreria[[#This Row],[precio]]*ventas_libreria[[#This Row],[cantidad]]</f>
        <v>1.79</v>
      </c>
      <c r="J1574">
        <v>20</v>
      </c>
      <c r="K1574" t="s">
        <v>38</v>
      </c>
      <c r="L1574" s="1">
        <v>45537</v>
      </c>
      <c r="M1574" t="s">
        <v>43</v>
      </c>
      <c r="N1574" t="s">
        <v>32</v>
      </c>
      <c r="O1574" t="s">
        <v>33</v>
      </c>
      <c r="P1574" t="s">
        <v>84</v>
      </c>
      <c r="Q1574">
        <v>4</v>
      </c>
      <c r="R1574">
        <f>IF(ventas_libreria[[#This Row],[valoracion_cliente]]="","Sin valoración",ventas_libreria[[#This Row],[valoracion_cliente]])</f>
        <v>4</v>
      </c>
    </row>
    <row r="1575" spans="1:18" x14ac:dyDescent="0.25">
      <c r="A1575" t="s">
        <v>1851</v>
      </c>
      <c r="B1575" t="s">
        <v>268</v>
      </c>
      <c r="C1575" t="s">
        <v>269</v>
      </c>
      <c r="D1575" t="s">
        <v>270</v>
      </c>
      <c r="E1575" t="s">
        <v>83</v>
      </c>
      <c r="F1575">
        <f>ventas_libreria[[#This Row],[precio_eur]]/100</f>
        <v>1.0900000000000001</v>
      </c>
      <c r="G1575">
        <v>109</v>
      </c>
      <c r="H1575">
        <v>2</v>
      </c>
      <c r="I1575">
        <f>ventas_libreria[[#This Row],[precio]]*ventas_libreria[[#This Row],[cantidad]]</f>
        <v>2.1800000000000002</v>
      </c>
      <c r="J1575">
        <v>48</v>
      </c>
      <c r="K1575" t="s">
        <v>38</v>
      </c>
      <c r="L1575" s="1">
        <v>45733</v>
      </c>
      <c r="M1575" t="s">
        <v>21</v>
      </c>
      <c r="N1575" t="s">
        <v>32</v>
      </c>
      <c r="O1575" t="s">
        <v>33</v>
      </c>
      <c r="P1575" t="s">
        <v>56</v>
      </c>
      <c r="Q1575">
        <v>4</v>
      </c>
      <c r="R1575">
        <f>IF(ventas_libreria[[#This Row],[valoracion_cliente]]="","Sin valoración",ventas_libreria[[#This Row],[valoracion_cliente]])</f>
        <v>4</v>
      </c>
    </row>
    <row r="1576" spans="1:18" x14ac:dyDescent="0.25">
      <c r="A1576" t="s">
        <v>1852</v>
      </c>
      <c r="B1576" t="s">
        <v>95</v>
      </c>
      <c r="C1576" t="s">
        <v>96</v>
      </c>
      <c r="D1576" t="s">
        <v>97</v>
      </c>
      <c r="E1576" t="s">
        <v>29</v>
      </c>
      <c r="F1576">
        <f>ventas_libreria[[#This Row],[precio_eur]]/100</f>
        <v>1.79</v>
      </c>
      <c r="G1576">
        <v>179</v>
      </c>
      <c r="H1576">
        <v>1</v>
      </c>
      <c r="I1576">
        <f>ventas_libreria[[#This Row],[precio]]*ventas_libreria[[#This Row],[cantidad]]</f>
        <v>1.79</v>
      </c>
      <c r="J1576">
        <v>52</v>
      </c>
      <c r="K1576" t="s">
        <v>62</v>
      </c>
      <c r="L1576" s="1">
        <v>45630</v>
      </c>
      <c r="M1576" t="s">
        <v>43</v>
      </c>
      <c r="N1576" t="s">
        <v>32</v>
      </c>
      <c r="O1576" t="s">
        <v>33</v>
      </c>
      <c r="P1576" t="s">
        <v>24</v>
      </c>
      <c r="Q1576">
        <v>5</v>
      </c>
      <c r="R1576">
        <f>IF(ventas_libreria[[#This Row],[valoracion_cliente]]="","Sin valoración",ventas_libreria[[#This Row],[valoracion_cliente]])</f>
        <v>5</v>
      </c>
    </row>
    <row r="1577" spans="1:18" x14ac:dyDescent="0.25">
      <c r="A1577" t="s">
        <v>1853</v>
      </c>
      <c r="B1577" t="s">
        <v>228</v>
      </c>
      <c r="C1577" t="s">
        <v>229</v>
      </c>
      <c r="D1577" t="s">
        <v>206</v>
      </c>
      <c r="E1577" t="s">
        <v>116</v>
      </c>
      <c r="F1577">
        <f>ventas_libreria[[#This Row],[precio_eur]]/100</f>
        <v>16.059999999999999</v>
      </c>
      <c r="G1577">
        <v>1606</v>
      </c>
      <c r="H1577">
        <v>1</v>
      </c>
      <c r="I1577">
        <f>ventas_libreria[[#This Row],[precio]]*ventas_libreria[[#This Row],[cantidad]]</f>
        <v>16.059999999999999</v>
      </c>
      <c r="J1577">
        <v>23</v>
      </c>
      <c r="K1577" t="s">
        <v>38</v>
      </c>
      <c r="L1577" s="1">
        <v>45979</v>
      </c>
      <c r="M1577" t="s">
        <v>21</v>
      </c>
      <c r="N1577" t="s">
        <v>32</v>
      </c>
      <c r="O1577" t="s">
        <v>33</v>
      </c>
      <c r="P1577" t="s">
        <v>84</v>
      </c>
      <c r="Q1577">
        <v>3</v>
      </c>
      <c r="R1577">
        <f>IF(ventas_libreria[[#This Row],[valoracion_cliente]]="","Sin valoración",ventas_libreria[[#This Row],[valoracion_cliente]])</f>
        <v>3</v>
      </c>
    </row>
    <row r="1578" spans="1:18" x14ac:dyDescent="0.25">
      <c r="A1578" t="s">
        <v>1854</v>
      </c>
      <c r="B1578" t="s">
        <v>418</v>
      </c>
      <c r="C1578" t="s">
        <v>419</v>
      </c>
      <c r="D1578" t="s">
        <v>420</v>
      </c>
      <c r="E1578" t="s">
        <v>149</v>
      </c>
      <c r="F1578">
        <f>ventas_libreria[[#This Row],[precio_eur]]/100</f>
        <v>18.59</v>
      </c>
      <c r="G1578">
        <v>1859</v>
      </c>
      <c r="H1578">
        <v>1</v>
      </c>
      <c r="I1578">
        <f>ventas_libreria[[#This Row],[precio]]*ventas_libreria[[#This Row],[cantidad]]</f>
        <v>18.59</v>
      </c>
      <c r="J1578">
        <v>38</v>
      </c>
      <c r="K1578" t="s">
        <v>30</v>
      </c>
      <c r="L1578" s="1">
        <v>45169</v>
      </c>
      <c r="M1578" t="s">
        <v>43</v>
      </c>
      <c r="N1578" t="s">
        <v>32</v>
      </c>
      <c r="O1578" t="s">
        <v>33</v>
      </c>
      <c r="P1578" t="s">
        <v>50</v>
      </c>
      <c r="Q1578">
        <v>4</v>
      </c>
      <c r="R1578">
        <f>IF(ventas_libreria[[#This Row],[valoracion_cliente]]="","Sin valoración",ventas_libreria[[#This Row],[valoracion_cliente]])</f>
        <v>4</v>
      </c>
    </row>
    <row r="1579" spans="1:18" x14ac:dyDescent="0.25">
      <c r="A1579" t="s">
        <v>1855</v>
      </c>
      <c r="B1579" t="s">
        <v>220</v>
      </c>
      <c r="C1579" t="s">
        <v>221</v>
      </c>
      <c r="D1579" t="s">
        <v>222</v>
      </c>
      <c r="E1579" t="s">
        <v>116</v>
      </c>
      <c r="F1579">
        <f>ventas_libreria[[#This Row],[precio_eur]]/100</f>
        <v>1.29</v>
      </c>
      <c r="G1579">
        <v>129</v>
      </c>
      <c r="H1579">
        <v>1</v>
      </c>
      <c r="I1579">
        <f>ventas_libreria[[#This Row],[precio]]*ventas_libreria[[#This Row],[cantidad]]</f>
        <v>1.29</v>
      </c>
      <c r="J1579">
        <v>20</v>
      </c>
      <c r="K1579" t="s">
        <v>30</v>
      </c>
      <c r="L1579" s="1">
        <v>44948</v>
      </c>
      <c r="M1579" t="s">
        <v>43</v>
      </c>
      <c r="N1579" t="s">
        <v>32</v>
      </c>
      <c r="O1579" t="s">
        <v>33</v>
      </c>
      <c r="P1579" t="s">
        <v>84</v>
      </c>
      <c r="R1579" t="str">
        <f>IF(ventas_libreria[[#This Row],[valoracion_cliente]]="","Sin valoración",ventas_libreria[[#This Row],[valoracion_cliente]])</f>
        <v>Sin valoración</v>
      </c>
    </row>
    <row r="1580" spans="1:18" x14ac:dyDescent="0.25">
      <c r="A1580" t="s">
        <v>1856</v>
      </c>
      <c r="B1580" t="s">
        <v>74</v>
      </c>
      <c r="C1580" t="s">
        <v>75</v>
      </c>
      <c r="D1580" t="s">
        <v>76</v>
      </c>
      <c r="E1580" t="s">
        <v>77</v>
      </c>
      <c r="F1580">
        <f>ventas_libreria[[#This Row],[precio_eur]]/100</f>
        <v>1.59</v>
      </c>
      <c r="G1580">
        <v>159</v>
      </c>
      <c r="H1580">
        <v>2</v>
      </c>
      <c r="I1580">
        <f>ventas_libreria[[#This Row],[precio]]*ventas_libreria[[#This Row],[cantidad]]</f>
        <v>3.18</v>
      </c>
      <c r="J1580">
        <v>9</v>
      </c>
      <c r="K1580" t="s">
        <v>62</v>
      </c>
      <c r="L1580" s="1">
        <v>45203</v>
      </c>
      <c r="M1580" t="s">
        <v>43</v>
      </c>
      <c r="N1580" t="s">
        <v>32</v>
      </c>
      <c r="O1580" t="s">
        <v>33</v>
      </c>
      <c r="P1580" t="s">
        <v>34</v>
      </c>
      <c r="Q1580">
        <v>5</v>
      </c>
      <c r="R1580">
        <f>IF(ventas_libreria[[#This Row],[valoracion_cliente]]="","Sin valoración",ventas_libreria[[#This Row],[valoracion_cliente]])</f>
        <v>5</v>
      </c>
    </row>
    <row r="1581" spans="1:18" x14ac:dyDescent="0.25">
      <c r="A1581" t="s">
        <v>1857</v>
      </c>
      <c r="B1581" t="s">
        <v>211</v>
      </c>
      <c r="C1581" t="s">
        <v>212</v>
      </c>
      <c r="D1581" t="s">
        <v>131</v>
      </c>
      <c r="E1581" t="s">
        <v>107</v>
      </c>
      <c r="F1581">
        <f>ventas_libreria[[#This Row],[precio_eur]]/100</f>
        <v>18.59</v>
      </c>
      <c r="G1581">
        <v>1859</v>
      </c>
      <c r="H1581">
        <v>2</v>
      </c>
      <c r="I1581">
        <f>ventas_libreria[[#This Row],[precio]]*ventas_libreria[[#This Row],[cantidad]]</f>
        <v>37.18</v>
      </c>
      <c r="J1581">
        <v>11</v>
      </c>
      <c r="K1581" t="s">
        <v>20</v>
      </c>
      <c r="L1581" s="1">
        <v>45942</v>
      </c>
      <c r="M1581" t="s">
        <v>43</v>
      </c>
      <c r="N1581" t="s">
        <v>32</v>
      </c>
      <c r="O1581" t="s">
        <v>33</v>
      </c>
      <c r="P1581" t="s">
        <v>84</v>
      </c>
      <c r="Q1581">
        <v>3</v>
      </c>
      <c r="R1581">
        <f>IF(ventas_libreria[[#This Row],[valoracion_cliente]]="","Sin valoración",ventas_libreria[[#This Row],[valoracion_cliente]])</f>
        <v>3</v>
      </c>
    </row>
    <row r="1582" spans="1:18" x14ac:dyDescent="0.25">
      <c r="A1582" t="s">
        <v>1858</v>
      </c>
      <c r="B1582" t="s">
        <v>113</v>
      </c>
      <c r="C1582" t="s">
        <v>114</v>
      </c>
      <c r="D1582" t="s">
        <v>115</v>
      </c>
      <c r="E1582" t="s">
        <v>116</v>
      </c>
      <c r="F1582">
        <f>ventas_libreria[[#This Row],[precio_eur]]/100</f>
        <v>12.51</v>
      </c>
      <c r="G1582">
        <v>1251</v>
      </c>
      <c r="H1582">
        <v>1</v>
      </c>
      <c r="I1582">
        <f>ventas_libreria[[#This Row],[precio]]*ventas_libreria[[#This Row],[cantidad]]</f>
        <v>12.51</v>
      </c>
      <c r="J1582">
        <v>39</v>
      </c>
      <c r="K1582" t="s">
        <v>62</v>
      </c>
      <c r="L1582" s="1">
        <v>45070</v>
      </c>
      <c r="M1582" t="s">
        <v>43</v>
      </c>
      <c r="N1582" t="s">
        <v>32</v>
      </c>
      <c r="O1582" t="s">
        <v>33</v>
      </c>
      <c r="P1582" t="s">
        <v>84</v>
      </c>
      <c r="Q1582">
        <v>5</v>
      </c>
      <c r="R1582">
        <f>IF(ventas_libreria[[#This Row],[valoracion_cliente]]="","Sin valoración",ventas_libreria[[#This Row],[valoracion_cliente]])</f>
        <v>5</v>
      </c>
    </row>
    <row r="1583" spans="1:18" x14ac:dyDescent="0.25">
      <c r="A1583" t="s">
        <v>1859</v>
      </c>
      <c r="B1583" t="s">
        <v>45</v>
      </c>
      <c r="C1583" t="s">
        <v>46</v>
      </c>
      <c r="D1583" t="s">
        <v>47</v>
      </c>
      <c r="E1583" t="s">
        <v>48</v>
      </c>
      <c r="F1583">
        <f>ventas_libreria[[#This Row],[precio_eur]]/100</f>
        <v>21.89</v>
      </c>
      <c r="G1583">
        <v>2189</v>
      </c>
      <c r="H1583">
        <v>2</v>
      </c>
      <c r="I1583">
        <f>ventas_libreria[[#This Row],[precio]]*ventas_libreria[[#This Row],[cantidad]]</f>
        <v>43.78</v>
      </c>
      <c r="J1583">
        <v>65</v>
      </c>
      <c r="K1583" t="s">
        <v>20</v>
      </c>
      <c r="L1583" s="1">
        <v>45757</v>
      </c>
      <c r="M1583" t="s">
        <v>21</v>
      </c>
      <c r="N1583" t="s">
        <v>22</v>
      </c>
      <c r="O1583" t="s">
        <v>132</v>
      </c>
      <c r="P1583" t="s">
        <v>24</v>
      </c>
      <c r="Q1583">
        <v>2</v>
      </c>
      <c r="R1583">
        <f>IF(ventas_libreria[[#This Row],[valoracion_cliente]]="","Sin valoración",ventas_libreria[[#This Row],[valoracion_cliente]])</f>
        <v>2</v>
      </c>
    </row>
    <row r="1584" spans="1:18" x14ac:dyDescent="0.25">
      <c r="A1584" t="s">
        <v>1860</v>
      </c>
      <c r="B1584" t="s">
        <v>211</v>
      </c>
      <c r="C1584" t="s">
        <v>212</v>
      </c>
      <c r="D1584" t="s">
        <v>131</v>
      </c>
      <c r="E1584" t="s">
        <v>107</v>
      </c>
      <c r="F1584">
        <f>ventas_libreria[[#This Row],[precio_eur]]/100</f>
        <v>14.36</v>
      </c>
      <c r="G1584">
        <v>1436</v>
      </c>
      <c r="H1584">
        <v>2</v>
      </c>
      <c r="I1584">
        <f>ventas_libreria[[#This Row],[precio]]*ventas_libreria[[#This Row],[cantidad]]</f>
        <v>28.72</v>
      </c>
      <c r="J1584">
        <v>11</v>
      </c>
      <c r="K1584" t="s">
        <v>30</v>
      </c>
      <c r="L1584" s="1">
        <v>45389</v>
      </c>
      <c r="M1584" t="s">
        <v>21</v>
      </c>
      <c r="N1584" t="s">
        <v>32</v>
      </c>
      <c r="O1584" t="s">
        <v>33</v>
      </c>
      <c r="P1584" t="s">
        <v>34</v>
      </c>
      <c r="Q1584">
        <v>5</v>
      </c>
      <c r="R1584">
        <f>IF(ventas_libreria[[#This Row],[valoracion_cliente]]="","Sin valoración",ventas_libreria[[#This Row],[valoracion_cliente]])</f>
        <v>5</v>
      </c>
    </row>
    <row r="1585" spans="1:18" x14ac:dyDescent="0.25">
      <c r="A1585" t="s">
        <v>1861</v>
      </c>
      <c r="B1585" t="s">
        <v>243</v>
      </c>
      <c r="C1585" t="s">
        <v>244</v>
      </c>
      <c r="D1585" t="s">
        <v>245</v>
      </c>
      <c r="E1585" t="s">
        <v>48</v>
      </c>
      <c r="F1585">
        <f>ventas_libreria[[#This Row],[precio_eur]]/100</f>
        <v>19.71</v>
      </c>
      <c r="G1585">
        <v>1971</v>
      </c>
      <c r="H1585">
        <v>1</v>
      </c>
      <c r="I1585">
        <f>ventas_libreria[[#This Row],[precio]]*ventas_libreria[[#This Row],[cantidad]]</f>
        <v>19.71</v>
      </c>
      <c r="J1585">
        <v>26</v>
      </c>
      <c r="K1585" t="s">
        <v>38</v>
      </c>
      <c r="L1585" s="1">
        <v>45055</v>
      </c>
      <c r="M1585" t="s">
        <v>31</v>
      </c>
      <c r="N1585" t="s">
        <v>32</v>
      </c>
      <c r="O1585" t="s">
        <v>33</v>
      </c>
      <c r="P1585" t="s">
        <v>34</v>
      </c>
      <c r="Q1585">
        <v>4</v>
      </c>
      <c r="R1585">
        <f>IF(ventas_libreria[[#This Row],[valoracion_cliente]]="","Sin valoración",ventas_libreria[[#This Row],[valoracion_cliente]])</f>
        <v>4</v>
      </c>
    </row>
    <row r="1586" spans="1:18" x14ac:dyDescent="0.25">
      <c r="A1586" t="s">
        <v>1862</v>
      </c>
      <c r="B1586" t="s">
        <v>215</v>
      </c>
      <c r="C1586" t="s">
        <v>216</v>
      </c>
      <c r="D1586" t="s">
        <v>217</v>
      </c>
      <c r="E1586" t="s">
        <v>55</v>
      </c>
      <c r="F1586">
        <f>ventas_libreria[[#This Row],[precio_eur]]/100</f>
        <v>1.85</v>
      </c>
      <c r="G1586">
        <v>185</v>
      </c>
      <c r="H1586">
        <v>1</v>
      </c>
      <c r="I1586">
        <f>ventas_libreria[[#This Row],[precio]]*ventas_libreria[[#This Row],[cantidad]]</f>
        <v>1.85</v>
      </c>
      <c r="J1586">
        <v>39</v>
      </c>
      <c r="K1586" t="s">
        <v>38</v>
      </c>
      <c r="L1586" s="1">
        <v>45518</v>
      </c>
      <c r="M1586" t="s">
        <v>31</v>
      </c>
      <c r="N1586" t="s">
        <v>32</v>
      </c>
      <c r="O1586" t="s">
        <v>33</v>
      </c>
      <c r="P1586" t="s">
        <v>84</v>
      </c>
      <c r="Q1586">
        <v>2</v>
      </c>
      <c r="R1586">
        <f>IF(ventas_libreria[[#This Row],[valoracion_cliente]]="","Sin valoración",ventas_libreria[[#This Row],[valoracion_cliente]])</f>
        <v>2</v>
      </c>
    </row>
    <row r="1587" spans="1:18" x14ac:dyDescent="0.25">
      <c r="A1587" t="s">
        <v>1863</v>
      </c>
      <c r="B1587" t="s">
        <v>201</v>
      </c>
      <c r="C1587" t="s">
        <v>202</v>
      </c>
      <c r="D1587" t="s">
        <v>47</v>
      </c>
      <c r="E1587" t="s">
        <v>107</v>
      </c>
      <c r="F1587">
        <f>ventas_libreria[[#This Row],[precio_eur]]/100</f>
        <v>15.29</v>
      </c>
      <c r="G1587">
        <v>1529</v>
      </c>
      <c r="H1587">
        <v>1</v>
      </c>
      <c r="I1587">
        <f>ventas_libreria[[#This Row],[precio]]*ventas_libreria[[#This Row],[cantidad]]</f>
        <v>15.29</v>
      </c>
      <c r="J1587">
        <v>15</v>
      </c>
      <c r="K1587" t="s">
        <v>20</v>
      </c>
      <c r="L1587" s="1">
        <v>45520</v>
      </c>
      <c r="M1587" t="s">
        <v>31</v>
      </c>
      <c r="N1587" t="s">
        <v>22</v>
      </c>
      <c r="O1587" t="s">
        <v>49</v>
      </c>
      <c r="P1587" t="s">
        <v>56</v>
      </c>
      <c r="Q1587">
        <v>3</v>
      </c>
      <c r="R1587">
        <f>IF(ventas_libreria[[#This Row],[valoracion_cliente]]="","Sin valoración",ventas_libreria[[#This Row],[valoracion_cliente]])</f>
        <v>3</v>
      </c>
    </row>
    <row r="1588" spans="1:18" x14ac:dyDescent="0.25">
      <c r="A1588" t="s">
        <v>1864</v>
      </c>
      <c r="B1588" t="s">
        <v>169</v>
      </c>
      <c r="C1588" t="s">
        <v>170</v>
      </c>
      <c r="D1588" t="s">
        <v>171</v>
      </c>
      <c r="E1588" t="s">
        <v>172</v>
      </c>
      <c r="F1588">
        <f>ventas_libreria[[#This Row],[precio_eur]]/100</f>
        <v>25.19</v>
      </c>
      <c r="G1588">
        <v>2519</v>
      </c>
      <c r="H1588">
        <v>1</v>
      </c>
      <c r="I1588">
        <f>ventas_libreria[[#This Row],[precio]]*ventas_libreria[[#This Row],[cantidad]]</f>
        <v>25.19</v>
      </c>
      <c r="J1588">
        <v>46</v>
      </c>
      <c r="K1588" t="s">
        <v>30</v>
      </c>
      <c r="L1588" s="1">
        <v>45435</v>
      </c>
      <c r="M1588" t="s">
        <v>21</v>
      </c>
      <c r="N1588" t="s">
        <v>32</v>
      </c>
      <c r="O1588" t="s">
        <v>33</v>
      </c>
      <c r="P1588" t="s">
        <v>34</v>
      </c>
      <c r="Q1588">
        <v>4</v>
      </c>
      <c r="R1588">
        <f>IF(ventas_libreria[[#This Row],[valoracion_cliente]]="","Sin valoración",ventas_libreria[[#This Row],[valoracion_cliente]])</f>
        <v>4</v>
      </c>
    </row>
    <row r="1589" spans="1:18" x14ac:dyDescent="0.25">
      <c r="A1589" t="s">
        <v>1865</v>
      </c>
      <c r="B1589" t="s">
        <v>260</v>
      </c>
      <c r="C1589" t="s">
        <v>261</v>
      </c>
      <c r="D1589" t="s">
        <v>262</v>
      </c>
      <c r="E1589" t="s">
        <v>263</v>
      </c>
      <c r="F1589">
        <f>ventas_libreria[[#This Row],[precio_eur]]/100</f>
        <v>2.19</v>
      </c>
      <c r="G1589">
        <v>219</v>
      </c>
      <c r="H1589">
        <v>1</v>
      </c>
      <c r="I1589">
        <f>ventas_libreria[[#This Row],[precio]]*ventas_libreria[[#This Row],[cantidad]]</f>
        <v>2.19</v>
      </c>
      <c r="J1589">
        <v>61</v>
      </c>
      <c r="K1589" t="s">
        <v>30</v>
      </c>
      <c r="L1589" s="1">
        <v>45134</v>
      </c>
      <c r="M1589" t="s">
        <v>31</v>
      </c>
      <c r="N1589" t="s">
        <v>22</v>
      </c>
      <c r="O1589" t="s">
        <v>67</v>
      </c>
      <c r="P1589" t="s">
        <v>50</v>
      </c>
      <c r="Q1589">
        <v>3</v>
      </c>
      <c r="R1589">
        <f>IF(ventas_libreria[[#This Row],[valoracion_cliente]]="","Sin valoración",ventas_libreria[[#This Row],[valoracion_cliente]])</f>
        <v>3</v>
      </c>
    </row>
    <row r="1590" spans="1:18" x14ac:dyDescent="0.25">
      <c r="A1590" t="s">
        <v>1866</v>
      </c>
      <c r="B1590" t="s">
        <v>549</v>
      </c>
      <c r="C1590" t="s">
        <v>550</v>
      </c>
      <c r="D1590" t="s">
        <v>162</v>
      </c>
      <c r="E1590" t="s">
        <v>29</v>
      </c>
      <c r="F1590">
        <f>ventas_libreria[[#This Row],[precio_eur]]/100</f>
        <v>16.91</v>
      </c>
      <c r="G1590">
        <v>1691</v>
      </c>
      <c r="H1590">
        <v>4</v>
      </c>
      <c r="I1590">
        <f>ventas_libreria[[#This Row],[precio]]*ventas_libreria[[#This Row],[cantidad]]</f>
        <v>67.64</v>
      </c>
      <c r="J1590">
        <v>33</v>
      </c>
      <c r="K1590" t="s">
        <v>62</v>
      </c>
      <c r="L1590" s="1">
        <v>45128</v>
      </c>
      <c r="M1590" t="s">
        <v>43</v>
      </c>
      <c r="N1590" t="s">
        <v>32</v>
      </c>
      <c r="O1590" t="s">
        <v>33</v>
      </c>
      <c r="P1590" t="s">
        <v>34</v>
      </c>
      <c r="Q1590">
        <v>4</v>
      </c>
      <c r="R1590">
        <f>IF(ventas_libreria[[#This Row],[valoracion_cliente]]="","Sin valoración",ventas_libreria[[#This Row],[valoracion_cliente]])</f>
        <v>4</v>
      </c>
    </row>
    <row r="1591" spans="1:18" x14ac:dyDescent="0.25">
      <c r="A1591" t="s">
        <v>1867</v>
      </c>
      <c r="B1591" t="s">
        <v>121</v>
      </c>
      <c r="C1591" t="s">
        <v>122</v>
      </c>
      <c r="D1591" t="s">
        <v>123</v>
      </c>
      <c r="E1591" t="s">
        <v>48</v>
      </c>
      <c r="F1591">
        <f>ventas_libreria[[#This Row],[precio_eur]]/100</f>
        <v>13.52</v>
      </c>
      <c r="G1591">
        <v>1352</v>
      </c>
      <c r="H1591">
        <v>3</v>
      </c>
      <c r="I1591">
        <f>ventas_libreria[[#This Row],[precio]]*ventas_libreria[[#This Row],[cantidad]]</f>
        <v>40.56</v>
      </c>
      <c r="J1591">
        <v>61</v>
      </c>
      <c r="K1591" t="s">
        <v>30</v>
      </c>
      <c r="L1591" s="1">
        <v>45883</v>
      </c>
      <c r="M1591" t="s">
        <v>43</v>
      </c>
      <c r="N1591" t="s">
        <v>32</v>
      </c>
      <c r="O1591" t="s">
        <v>33</v>
      </c>
      <c r="P1591" t="s">
        <v>84</v>
      </c>
      <c r="R1591" t="str">
        <f>IF(ventas_libreria[[#This Row],[valoracion_cliente]]="","Sin valoración",ventas_libreria[[#This Row],[valoracion_cliente]])</f>
        <v>Sin valoración</v>
      </c>
    </row>
    <row r="1592" spans="1:18" x14ac:dyDescent="0.25">
      <c r="A1592" t="s">
        <v>1868</v>
      </c>
      <c r="B1592" t="s">
        <v>375</v>
      </c>
      <c r="C1592" t="s">
        <v>376</v>
      </c>
      <c r="D1592" t="s">
        <v>377</v>
      </c>
      <c r="E1592" t="s">
        <v>29</v>
      </c>
      <c r="F1592">
        <f>ventas_libreria[[#This Row],[precio_eur]]/100</f>
        <v>1.67</v>
      </c>
      <c r="G1592">
        <v>167</v>
      </c>
      <c r="H1592">
        <v>2</v>
      </c>
      <c r="I1592">
        <f>ventas_libreria[[#This Row],[precio]]*ventas_libreria[[#This Row],[cantidad]]</f>
        <v>3.34</v>
      </c>
      <c r="J1592">
        <v>25</v>
      </c>
      <c r="K1592" t="s">
        <v>30</v>
      </c>
      <c r="L1592" s="1">
        <v>45166</v>
      </c>
      <c r="M1592" t="s">
        <v>31</v>
      </c>
      <c r="N1592" t="s">
        <v>22</v>
      </c>
      <c r="O1592" t="s">
        <v>132</v>
      </c>
      <c r="P1592" t="s">
        <v>34</v>
      </c>
      <c r="R1592" t="str">
        <f>IF(ventas_libreria[[#This Row],[valoracion_cliente]]="","Sin valoración",ventas_libreria[[#This Row],[valoracion_cliente]])</f>
        <v>Sin valoración</v>
      </c>
    </row>
    <row r="1593" spans="1:18" x14ac:dyDescent="0.25">
      <c r="A1593" t="s">
        <v>1869</v>
      </c>
      <c r="B1593" t="s">
        <v>181</v>
      </c>
      <c r="C1593" t="s">
        <v>182</v>
      </c>
      <c r="D1593" t="s">
        <v>183</v>
      </c>
      <c r="E1593" t="s">
        <v>116</v>
      </c>
      <c r="F1593">
        <f>ventas_libreria[[#This Row],[precio_eur]]/100</f>
        <v>11.81</v>
      </c>
      <c r="G1593">
        <v>1181</v>
      </c>
      <c r="H1593">
        <v>2</v>
      </c>
      <c r="I1593">
        <f>ventas_libreria[[#This Row],[precio]]*ventas_libreria[[#This Row],[cantidad]]</f>
        <v>23.62</v>
      </c>
      <c r="J1593">
        <v>28</v>
      </c>
      <c r="K1593" t="s">
        <v>62</v>
      </c>
      <c r="L1593" s="1">
        <v>45817</v>
      </c>
      <c r="M1593" t="s">
        <v>21</v>
      </c>
      <c r="N1593" t="s">
        <v>32</v>
      </c>
      <c r="O1593" t="s">
        <v>33</v>
      </c>
      <c r="P1593" t="s">
        <v>24</v>
      </c>
      <c r="Q1593">
        <v>4</v>
      </c>
      <c r="R1593">
        <f>IF(ventas_libreria[[#This Row],[valoracion_cliente]]="","Sin valoración",ventas_libreria[[#This Row],[valoracion_cliente]])</f>
        <v>4</v>
      </c>
    </row>
    <row r="1594" spans="1:18" x14ac:dyDescent="0.25">
      <c r="A1594" t="s">
        <v>1870</v>
      </c>
      <c r="B1594" t="s">
        <v>80</v>
      </c>
      <c r="C1594" t="s">
        <v>81</v>
      </c>
      <c r="D1594" t="s">
        <v>82</v>
      </c>
      <c r="E1594" t="s">
        <v>83</v>
      </c>
      <c r="F1594">
        <f>ventas_libreria[[#This Row],[precio_eur]]/100</f>
        <v>1.04</v>
      </c>
      <c r="G1594">
        <v>104</v>
      </c>
      <c r="H1594">
        <v>1</v>
      </c>
      <c r="I1594">
        <f>ventas_libreria[[#This Row],[precio]]*ventas_libreria[[#This Row],[cantidad]]</f>
        <v>1.04</v>
      </c>
      <c r="J1594">
        <v>49</v>
      </c>
      <c r="K1594" t="s">
        <v>20</v>
      </c>
      <c r="L1594" s="1">
        <v>45552</v>
      </c>
      <c r="M1594" t="s">
        <v>31</v>
      </c>
      <c r="N1594" t="s">
        <v>32</v>
      </c>
      <c r="O1594" t="s">
        <v>33</v>
      </c>
      <c r="P1594" t="s">
        <v>34</v>
      </c>
      <c r="Q1594">
        <v>4</v>
      </c>
      <c r="R1594">
        <f>IF(ventas_libreria[[#This Row],[valoracion_cliente]]="","Sin valoración",ventas_libreria[[#This Row],[valoracion_cliente]])</f>
        <v>4</v>
      </c>
    </row>
    <row r="1595" spans="1:18" x14ac:dyDescent="0.25">
      <c r="A1595" t="s">
        <v>1871</v>
      </c>
      <c r="B1595" t="s">
        <v>406</v>
      </c>
      <c r="C1595" t="s">
        <v>407</v>
      </c>
      <c r="D1595" t="s">
        <v>88</v>
      </c>
      <c r="E1595" t="s">
        <v>77</v>
      </c>
      <c r="F1595">
        <f>ventas_libreria[[#This Row],[precio_eur]]/100</f>
        <v>1.19</v>
      </c>
      <c r="G1595">
        <v>119</v>
      </c>
      <c r="H1595">
        <v>4</v>
      </c>
      <c r="I1595">
        <f>ventas_libreria[[#This Row],[precio]]*ventas_libreria[[#This Row],[cantidad]]</f>
        <v>4.76</v>
      </c>
      <c r="J1595">
        <v>11</v>
      </c>
      <c r="K1595" t="s">
        <v>30</v>
      </c>
      <c r="L1595" s="1">
        <v>45220</v>
      </c>
      <c r="M1595" t="s">
        <v>21</v>
      </c>
      <c r="N1595" t="s">
        <v>22</v>
      </c>
      <c r="O1595" t="s">
        <v>67</v>
      </c>
      <c r="P1595" t="s">
        <v>34</v>
      </c>
      <c r="Q1595">
        <v>5</v>
      </c>
      <c r="R1595">
        <f>IF(ventas_libreria[[#This Row],[valoracion_cliente]]="","Sin valoración",ventas_libreria[[#This Row],[valoracion_cliente]])</f>
        <v>5</v>
      </c>
    </row>
    <row r="1596" spans="1:18" x14ac:dyDescent="0.25">
      <c r="A1596" t="s">
        <v>1872</v>
      </c>
      <c r="B1596" t="s">
        <v>549</v>
      </c>
      <c r="C1596" t="s">
        <v>550</v>
      </c>
      <c r="D1596" t="s">
        <v>162</v>
      </c>
      <c r="E1596" t="s">
        <v>29</v>
      </c>
      <c r="F1596">
        <f>ventas_libreria[[#This Row],[precio_eur]]/100</f>
        <v>1.99</v>
      </c>
      <c r="G1596">
        <v>199</v>
      </c>
      <c r="H1596">
        <v>1</v>
      </c>
      <c r="I1596">
        <f>ventas_libreria[[#This Row],[precio]]*ventas_libreria[[#This Row],[cantidad]]</f>
        <v>1.99</v>
      </c>
      <c r="J1596">
        <v>57</v>
      </c>
      <c r="K1596" t="s">
        <v>38</v>
      </c>
      <c r="L1596" s="1">
        <v>45118</v>
      </c>
      <c r="M1596" t="s">
        <v>31</v>
      </c>
      <c r="N1596" t="s">
        <v>32</v>
      </c>
      <c r="O1596" t="s">
        <v>33</v>
      </c>
      <c r="P1596" t="s">
        <v>50</v>
      </c>
      <c r="Q1596">
        <v>1</v>
      </c>
      <c r="R1596">
        <f>IF(ventas_libreria[[#This Row],[valoracion_cliente]]="","Sin valoración",ventas_libreria[[#This Row],[valoracion_cliente]])</f>
        <v>1</v>
      </c>
    </row>
    <row r="1597" spans="1:18" x14ac:dyDescent="0.25">
      <c r="A1597" t="s">
        <v>1873</v>
      </c>
      <c r="B1597" t="s">
        <v>332</v>
      </c>
      <c r="C1597" t="s">
        <v>333</v>
      </c>
      <c r="D1597" t="s">
        <v>334</v>
      </c>
      <c r="E1597" t="s">
        <v>116</v>
      </c>
      <c r="F1597">
        <f>ventas_libreria[[#This Row],[precio_eur]]/100</f>
        <v>1.69</v>
      </c>
      <c r="G1597">
        <v>169</v>
      </c>
      <c r="H1597">
        <v>2</v>
      </c>
      <c r="I1597">
        <f>ventas_libreria[[#This Row],[precio]]*ventas_libreria[[#This Row],[cantidad]]</f>
        <v>3.38</v>
      </c>
      <c r="J1597">
        <v>46</v>
      </c>
      <c r="K1597" t="s">
        <v>30</v>
      </c>
      <c r="L1597" s="1">
        <v>45402</v>
      </c>
      <c r="M1597" t="s">
        <v>43</v>
      </c>
      <c r="N1597" t="s">
        <v>32</v>
      </c>
      <c r="O1597" t="s">
        <v>33</v>
      </c>
      <c r="P1597" t="s">
        <v>50</v>
      </c>
      <c r="Q1597">
        <v>4</v>
      </c>
      <c r="R1597">
        <f>IF(ventas_libreria[[#This Row],[valoracion_cliente]]="","Sin valoración",ventas_libreria[[#This Row],[valoracion_cliente]])</f>
        <v>4</v>
      </c>
    </row>
    <row r="1598" spans="1:18" x14ac:dyDescent="0.25">
      <c r="A1598" t="s">
        <v>1874</v>
      </c>
      <c r="B1598" t="s">
        <v>398</v>
      </c>
      <c r="C1598" t="s">
        <v>399</v>
      </c>
      <c r="D1598" t="s">
        <v>167</v>
      </c>
      <c r="E1598" t="s">
        <v>61</v>
      </c>
      <c r="F1598">
        <f>ventas_libreria[[#This Row],[precio_eur]]/100</f>
        <v>1.69</v>
      </c>
      <c r="G1598">
        <v>169</v>
      </c>
      <c r="H1598">
        <v>1</v>
      </c>
      <c r="I1598">
        <f>ventas_libreria[[#This Row],[precio]]*ventas_libreria[[#This Row],[cantidad]]</f>
        <v>1.69</v>
      </c>
      <c r="J1598">
        <v>48</v>
      </c>
      <c r="K1598" t="s">
        <v>38</v>
      </c>
      <c r="L1598" s="1">
        <v>45849</v>
      </c>
      <c r="M1598" t="s">
        <v>31</v>
      </c>
      <c r="N1598" t="s">
        <v>32</v>
      </c>
      <c r="O1598" t="s">
        <v>33</v>
      </c>
      <c r="P1598" t="s">
        <v>56</v>
      </c>
      <c r="Q1598">
        <v>3</v>
      </c>
      <c r="R1598">
        <f>IF(ventas_libreria[[#This Row],[valoracion_cliente]]="","Sin valoración",ventas_libreria[[#This Row],[valoracion_cliente]])</f>
        <v>3</v>
      </c>
    </row>
    <row r="1599" spans="1:18" x14ac:dyDescent="0.25">
      <c r="A1599" t="s">
        <v>1875</v>
      </c>
      <c r="B1599" t="s">
        <v>254</v>
      </c>
      <c r="C1599" t="s">
        <v>255</v>
      </c>
      <c r="D1599" t="s">
        <v>139</v>
      </c>
      <c r="E1599" t="s">
        <v>116</v>
      </c>
      <c r="F1599">
        <f>ventas_libreria[[#This Row],[precio_eur]]/100</f>
        <v>1.49</v>
      </c>
      <c r="G1599">
        <v>149</v>
      </c>
      <c r="H1599">
        <v>1</v>
      </c>
      <c r="I1599">
        <f>ventas_libreria[[#This Row],[precio]]*ventas_libreria[[#This Row],[cantidad]]</f>
        <v>1.49</v>
      </c>
      <c r="J1599">
        <v>52</v>
      </c>
      <c r="K1599" t="s">
        <v>38</v>
      </c>
      <c r="L1599" s="1">
        <v>46018</v>
      </c>
      <c r="M1599" t="s">
        <v>31</v>
      </c>
      <c r="N1599" t="s">
        <v>32</v>
      </c>
      <c r="O1599" t="s">
        <v>33</v>
      </c>
      <c r="P1599" t="s">
        <v>84</v>
      </c>
      <c r="Q1599">
        <v>3</v>
      </c>
      <c r="R1599">
        <f>IF(ventas_libreria[[#This Row],[valoracion_cliente]]="","Sin valoración",ventas_libreria[[#This Row],[valoracion_cliente]])</f>
        <v>3</v>
      </c>
    </row>
    <row r="1600" spans="1:18" x14ac:dyDescent="0.25">
      <c r="A1600" t="s">
        <v>1876</v>
      </c>
      <c r="B1600" t="s">
        <v>91</v>
      </c>
      <c r="C1600" t="s">
        <v>92</v>
      </c>
      <c r="D1600" t="s">
        <v>93</v>
      </c>
      <c r="E1600" t="s">
        <v>72</v>
      </c>
      <c r="F1600">
        <f>ventas_libreria[[#This Row],[precio_eur]]/100</f>
        <v>1.39</v>
      </c>
      <c r="G1600">
        <v>139</v>
      </c>
      <c r="H1600">
        <v>1</v>
      </c>
      <c r="I1600">
        <f>ventas_libreria[[#This Row],[precio]]*ventas_libreria[[#This Row],[cantidad]]</f>
        <v>1.39</v>
      </c>
      <c r="J1600">
        <v>62</v>
      </c>
      <c r="K1600" t="s">
        <v>20</v>
      </c>
      <c r="L1600" s="1">
        <v>44951</v>
      </c>
      <c r="M1600" t="s">
        <v>31</v>
      </c>
      <c r="N1600" t="s">
        <v>32</v>
      </c>
      <c r="O1600" t="s">
        <v>33</v>
      </c>
      <c r="P1600" t="s">
        <v>24</v>
      </c>
      <c r="Q1600">
        <v>1</v>
      </c>
      <c r="R1600">
        <f>IF(ventas_libreria[[#This Row],[valoracion_cliente]]="","Sin valoración",ventas_libreria[[#This Row],[valoracion_cliente]])</f>
        <v>1</v>
      </c>
    </row>
    <row r="1601" spans="1:18" x14ac:dyDescent="0.25">
      <c r="A1601" t="s">
        <v>1877</v>
      </c>
      <c r="B1601" t="s">
        <v>74</v>
      </c>
      <c r="C1601" t="s">
        <v>75</v>
      </c>
      <c r="D1601" t="s">
        <v>76</v>
      </c>
      <c r="E1601" t="s">
        <v>77</v>
      </c>
      <c r="F1601">
        <f>ventas_libreria[[#This Row],[precio_eur]]/100</f>
        <v>1.67</v>
      </c>
      <c r="G1601">
        <v>167</v>
      </c>
      <c r="H1601">
        <v>1</v>
      </c>
      <c r="I1601">
        <f>ventas_libreria[[#This Row],[precio]]*ventas_libreria[[#This Row],[cantidad]]</f>
        <v>1.67</v>
      </c>
      <c r="J1601">
        <v>5</v>
      </c>
      <c r="K1601" t="s">
        <v>38</v>
      </c>
      <c r="L1601" s="1">
        <v>45081</v>
      </c>
      <c r="M1601" t="s">
        <v>43</v>
      </c>
      <c r="N1601" t="s">
        <v>32</v>
      </c>
      <c r="O1601" t="s">
        <v>33</v>
      </c>
      <c r="P1601" t="s">
        <v>56</v>
      </c>
      <c r="Q1601">
        <v>5</v>
      </c>
      <c r="R1601">
        <f>IF(ventas_libreria[[#This Row],[valoracion_cliente]]="","Sin valoración",ventas_libreria[[#This Row],[valoracion_cliente]])</f>
        <v>5</v>
      </c>
    </row>
    <row r="1602" spans="1:18" x14ac:dyDescent="0.25">
      <c r="A1602" t="s">
        <v>1878</v>
      </c>
      <c r="B1602" t="s">
        <v>141</v>
      </c>
      <c r="C1602" t="s">
        <v>142</v>
      </c>
      <c r="D1602" t="s">
        <v>143</v>
      </c>
      <c r="E1602" t="s">
        <v>116</v>
      </c>
      <c r="F1602">
        <f>ventas_libreria[[#This Row],[precio_eur]]/100</f>
        <v>11.92</v>
      </c>
      <c r="G1602">
        <v>1192</v>
      </c>
      <c r="H1602">
        <v>2</v>
      </c>
      <c r="I1602">
        <f>ventas_libreria[[#This Row],[precio]]*ventas_libreria[[#This Row],[cantidad]]</f>
        <v>23.84</v>
      </c>
      <c r="J1602">
        <v>50</v>
      </c>
      <c r="K1602" t="s">
        <v>30</v>
      </c>
      <c r="L1602" s="1">
        <v>45084</v>
      </c>
      <c r="M1602" t="s">
        <v>43</v>
      </c>
      <c r="N1602" t="s">
        <v>32</v>
      </c>
      <c r="O1602" t="s">
        <v>33</v>
      </c>
      <c r="P1602" t="s">
        <v>56</v>
      </c>
      <c r="Q1602">
        <v>5</v>
      </c>
      <c r="R1602">
        <f>IF(ventas_libreria[[#This Row],[valoracion_cliente]]="","Sin valoración",ventas_libreria[[#This Row],[valoracion_cliente]])</f>
        <v>5</v>
      </c>
    </row>
    <row r="1603" spans="1:18" x14ac:dyDescent="0.25">
      <c r="A1603" t="s">
        <v>1879</v>
      </c>
      <c r="B1603" t="s">
        <v>45</v>
      </c>
      <c r="C1603" t="s">
        <v>46</v>
      </c>
      <c r="D1603" t="s">
        <v>47</v>
      </c>
      <c r="E1603" t="s">
        <v>48</v>
      </c>
      <c r="F1603">
        <f>ventas_libreria[[#This Row],[precio_eur]]/100</f>
        <v>1.99</v>
      </c>
      <c r="G1603">
        <v>199</v>
      </c>
      <c r="H1603">
        <v>2</v>
      </c>
      <c r="I1603">
        <f>ventas_libreria[[#This Row],[precio]]*ventas_libreria[[#This Row],[cantidad]]</f>
        <v>3.98</v>
      </c>
      <c r="J1603">
        <v>32</v>
      </c>
      <c r="K1603" t="s">
        <v>30</v>
      </c>
      <c r="L1603" s="1">
        <v>45262</v>
      </c>
      <c r="M1603" t="s">
        <v>43</v>
      </c>
      <c r="N1603" t="s">
        <v>32</v>
      </c>
      <c r="O1603" t="s">
        <v>33</v>
      </c>
      <c r="P1603" t="s">
        <v>24</v>
      </c>
      <c r="Q1603">
        <v>5</v>
      </c>
      <c r="R1603">
        <f>IF(ventas_libreria[[#This Row],[valoracion_cliente]]="","Sin valoración",ventas_libreria[[#This Row],[valoracion_cliente]])</f>
        <v>5</v>
      </c>
    </row>
    <row r="1604" spans="1:18" x14ac:dyDescent="0.25">
      <c r="A1604" t="s">
        <v>1880</v>
      </c>
      <c r="B1604" t="s">
        <v>240</v>
      </c>
      <c r="C1604" t="s">
        <v>241</v>
      </c>
      <c r="D1604" t="s">
        <v>54</v>
      </c>
      <c r="E1604" t="s">
        <v>172</v>
      </c>
      <c r="F1604">
        <f>ventas_libreria[[#This Row],[precio_eur]]/100</f>
        <v>12.66</v>
      </c>
      <c r="G1604">
        <v>1266</v>
      </c>
      <c r="H1604">
        <v>1</v>
      </c>
      <c r="I1604">
        <f>ventas_libreria[[#This Row],[precio]]*ventas_libreria[[#This Row],[cantidad]]</f>
        <v>12.66</v>
      </c>
      <c r="J1604">
        <v>51</v>
      </c>
      <c r="K1604" t="s">
        <v>38</v>
      </c>
      <c r="L1604" s="1">
        <v>45431</v>
      </c>
      <c r="M1604" t="s">
        <v>43</v>
      </c>
      <c r="N1604" t="s">
        <v>32</v>
      </c>
      <c r="O1604" t="s">
        <v>33</v>
      </c>
      <c r="P1604" t="s">
        <v>56</v>
      </c>
      <c r="Q1604">
        <v>4</v>
      </c>
      <c r="R1604">
        <f>IF(ventas_libreria[[#This Row],[valoracion_cliente]]="","Sin valoración",ventas_libreria[[#This Row],[valoracion_cliente]])</f>
        <v>4</v>
      </c>
    </row>
    <row r="1605" spans="1:18" x14ac:dyDescent="0.25">
      <c r="A1605" t="s">
        <v>1881</v>
      </c>
      <c r="B1605" t="s">
        <v>121</v>
      </c>
      <c r="C1605" t="s">
        <v>122</v>
      </c>
      <c r="D1605" t="s">
        <v>123</v>
      </c>
      <c r="E1605" t="s">
        <v>48</v>
      </c>
      <c r="F1605">
        <f>ventas_libreria[[#This Row],[precio_eur]]/100</f>
        <v>15.21</v>
      </c>
      <c r="G1605">
        <v>1521</v>
      </c>
      <c r="H1605">
        <v>1</v>
      </c>
      <c r="I1605">
        <f>ventas_libreria[[#This Row],[precio]]*ventas_libreria[[#This Row],[cantidad]]</f>
        <v>15.21</v>
      </c>
      <c r="J1605">
        <v>61</v>
      </c>
      <c r="K1605" t="s">
        <v>30</v>
      </c>
      <c r="L1605" s="1">
        <v>45585</v>
      </c>
      <c r="M1605" t="s">
        <v>43</v>
      </c>
      <c r="N1605" t="s">
        <v>32</v>
      </c>
      <c r="O1605" t="s">
        <v>33</v>
      </c>
      <c r="P1605" t="s">
        <v>24</v>
      </c>
      <c r="Q1605">
        <v>5</v>
      </c>
      <c r="R1605">
        <f>IF(ventas_libreria[[#This Row],[valoracion_cliente]]="","Sin valoración",ventas_libreria[[#This Row],[valoracion_cliente]])</f>
        <v>5</v>
      </c>
    </row>
    <row r="1606" spans="1:18" x14ac:dyDescent="0.25">
      <c r="A1606" t="s">
        <v>1882</v>
      </c>
      <c r="B1606" t="s">
        <v>69</v>
      </c>
      <c r="C1606" t="s">
        <v>70</v>
      </c>
      <c r="D1606" t="s">
        <v>71</v>
      </c>
      <c r="E1606" t="s">
        <v>72</v>
      </c>
      <c r="F1606">
        <f>ventas_libreria[[#This Row],[precio_eur]]/100</f>
        <v>1.69</v>
      </c>
      <c r="G1606">
        <v>169</v>
      </c>
      <c r="H1606">
        <v>2</v>
      </c>
      <c r="I1606">
        <f>ventas_libreria[[#This Row],[precio]]*ventas_libreria[[#This Row],[cantidad]]</f>
        <v>3.38</v>
      </c>
      <c r="J1606">
        <v>39</v>
      </c>
      <c r="K1606" t="s">
        <v>20</v>
      </c>
      <c r="L1606" s="1">
        <v>45966</v>
      </c>
      <c r="M1606" t="s">
        <v>21</v>
      </c>
      <c r="N1606" t="s">
        <v>22</v>
      </c>
      <c r="O1606" t="s">
        <v>67</v>
      </c>
      <c r="P1606" t="s">
        <v>34</v>
      </c>
      <c r="Q1606">
        <v>5</v>
      </c>
      <c r="R1606">
        <f>IF(ventas_libreria[[#This Row],[valoracion_cliente]]="","Sin valoración",ventas_libreria[[#This Row],[valoracion_cliente]])</f>
        <v>5</v>
      </c>
    </row>
    <row r="1607" spans="1:18" x14ac:dyDescent="0.25">
      <c r="A1607" t="s">
        <v>1883</v>
      </c>
      <c r="B1607" t="s">
        <v>348</v>
      </c>
      <c r="C1607" t="s">
        <v>349</v>
      </c>
      <c r="D1607" t="s">
        <v>350</v>
      </c>
      <c r="E1607" t="s">
        <v>116</v>
      </c>
      <c r="F1607">
        <f>ventas_libreria[[#This Row],[precio_eur]]/100</f>
        <v>1.99</v>
      </c>
      <c r="G1607">
        <v>199</v>
      </c>
      <c r="H1607">
        <v>2</v>
      </c>
      <c r="I1607">
        <f>ventas_libreria[[#This Row],[precio]]*ventas_libreria[[#This Row],[cantidad]]</f>
        <v>3.98</v>
      </c>
      <c r="J1607">
        <v>63</v>
      </c>
      <c r="K1607" t="s">
        <v>30</v>
      </c>
      <c r="L1607" s="1">
        <v>45531</v>
      </c>
      <c r="M1607" t="s">
        <v>31</v>
      </c>
      <c r="N1607" t="s">
        <v>22</v>
      </c>
      <c r="O1607" t="s">
        <v>49</v>
      </c>
      <c r="P1607" t="s">
        <v>84</v>
      </c>
      <c r="Q1607">
        <v>5</v>
      </c>
      <c r="R1607">
        <f>IF(ventas_libreria[[#This Row],[valoracion_cliente]]="","Sin valoración",ventas_libreria[[#This Row],[valoracion_cliente]])</f>
        <v>5</v>
      </c>
    </row>
    <row r="1608" spans="1:18" x14ac:dyDescent="0.25">
      <c r="A1608" t="s">
        <v>1884</v>
      </c>
      <c r="B1608" t="s">
        <v>118</v>
      </c>
      <c r="C1608" t="s">
        <v>119</v>
      </c>
      <c r="D1608" t="s">
        <v>47</v>
      </c>
      <c r="E1608" t="s">
        <v>48</v>
      </c>
      <c r="F1608">
        <f>ventas_libreria[[#This Row],[precio_eur]]/100</f>
        <v>1.59</v>
      </c>
      <c r="G1608">
        <v>159</v>
      </c>
      <c r="H1608">
        <v>1</v>
      </c>
      <c r="I1608">
        <f>ventas_libreria[[#This Row],[precio]]*ventas_libreria[[#This Row],[cantidad]]</f>
        <v>1.59</v>
      </c>
      <c r="J1608">
        <v>39</v>
      </c>
      <c r="K1608" t="s">
        <v>62</v>
      </c>
      <c r="L1608" s="1">
        <v>45466</v>
      </c>
      <c r="M1608" t="s">
        <v>43</v>
      </c>
      <c r="N1608" t="s">
        <v>32</v>
      </c>
      <c r="O1608" t="s">
        <v>33</v>
      </c>
      <c r="P1608" t="s">
        <v>56</v>
      </c>
      <c r="Q1608">
        <v>5</v>
      </c>
      <c r="R1608">
        <f>IF(ventas_libreria[[#This Row],[valoracion_cliente]]="","Sin valoración",ventas_libreria[[#This Row],[valoracion_cliente]])</f>
        <v>5</v>
      </c>
    </row>
    <row r="1609" spans="1:18" x14ac:dyDescent="0.25">
      <c r="A1609" t="s">
        <v>1885</v>
      </c>
      <c r="B1609" t="s">
        <v>549</v>
      </c>
      <c r="C1609" t="s">
        <v>550</v>
      </c>
      <c r="D1609" t="s">
        <v>162</v>
      </c>
      <c r="E1609" t="s">
        <v>29</v>
      </c>
      <c r="F1609">
        <f>ventas_libreria[[#This Row],[precio_eur]]/100</f>
        <v>17.91</v>
      </c>
      <c r="G1609">
        <v>1791</v>
      </c>
      <c r="H1609">
        <v>2</v>
      </c>
      <c r="I1609">
        <f>ventas_libreria[[#This Row],[precio]]*ventas_libreria[[#This Row],[cantidad]]</f>
        <v>35.82</v>
      </c>
      <c r="J1609">
        <v>45</v>
      </c>
      <c r="K1609" t="s">
        <v>30</v>
      </c>
      <c r="L1609" s="1">
        <v>45937</v>
      </c>
      <c r="M1609" t="s">
        <v>43</v>
      </c>
      <c r="N1609" t="s">
        <v>32</v>
      </c>
      <c r="O1609" t="s">
        <v>33</v>
      </c>
      <c r="P1609" t="s">
        <v>84</v>
      </c>
      <c r="Q1609">
        <v>4</v>
      </c>
      <c r="R1609">
        <f>IF(ventas_libreria[[#This Row],[valoracion_cliente]]="","Sin valoración",ventas_libreria[[#This Row],[valoracion_cliente]])</f>
        <v>4</v>
      </c>
    </row>
    <row r="1610" spans="1:18" x14ac:dyDescent="0.25">
      <c r="A1610" t="s">
        <v>1886</v>
      </c>
      <c r="B1610" t="s">
        <v>301</v>
      </c>
      <c r="C1610" t="s">
        <v>302</v>
      </c>
      <c r="D1610" t="s">
        <v>245</v>
      </c>
      <c r="E1610" t="s">
        <v>48</v>
      </c>
      <c r="F1610">
        <f>ventas_libreria[[#This Row],[precio_eur]]/100</f>
        <v>19.920000000000002</v>
      </c>
      <c r="G1610">
        <v>1992</v>
      </c>
      <c r="H1610">
        <v>1</v>
      </c>
      <c r="I1610">
        <f>ventas_libreria[[#This Row],[precio]]*ventas_libreria[[#This Row],[cantidad]]</f>
        <v>19.920000000000002</v>
      </c>
      <c r="J1610">
        <v>58</v>
      </c>
      <c r="K1610" t="s">
        <v>30</v>
      </c>
      <c r="L1610" s="1">
        <v>45105</v>
      </c>
      <c r="M1610" t="s">
        <v>31</v>
      </c>
      <c r="N1610" t="s">
        <v>22</v>
      </c>
      <c r="O1610" t="s">
        <v>98</v>
      </c>
      <c r="P1610" t="s">
        <v>84</v>
      </c>
      <c r="Q1610">
        <v>2</v>
      </c>
      <c r="R1610">
        <f>IF(ventas_libreria[[#This Row],[valoracion_cliente]]="","Sin valoración",ventas_libreria[[#This Row],[valoracion_cliente]])</f>
        <v>2</v>
      </c>
    </row>
    <row r="1611" spans="1:18" x14ac:dyDescent="0.25">
      <c r="A1611" t="s">
        <v>1887</v>
      </c>
      <c r="B1611" t="s">
        <v>186</v>
      </c>
      <c r="C1611" t="s">
        <v>187</v>
      </c>
      <c r="D1611" t="s">
        <v>188</v>
      </c>
      <c r="E1611" t="s">
        <v>189</v>
      </c>
      <c r="F1611">
        <f>ventas_libreria[[#This Row],[precio_eur]]/100</f>
        <v>1.99</v>
      </c>
      <c r="G1611">
        <v>199</v>
      </c>
      <c r="H1611">
        <v>1</v>
      </c>
      <c r="I1611">
        <f>ventas_libreria[[#This Row],[precio]]*ventas_libreria[[#This Row],[cantidad]]</f>
        <v>1.99</v>
      </c>
      <c r="J1611">
        <v>58</v>
      </c>
      <c r="K1611" t="s">
        <v>20</v>
      </c>
      <c r="L1611" s="1">
        <v>45967</v>
      </c>
      <c r="M1611" t="s">
        <v>43</v>
      </c>
      <c r="N1611" t="s">
        <v>32</v>
      </c>
      <c r="O1611" t="s">
        <v>33</v>
      </c>
      <c r="P1611" t="s">
        <v>56</v>
      </c>
      <c r="Q1611">
        <v>5</v>
      </c>
      <c r="R1611">
        <f>IF(ventas_libreria[[#This Row],[valoracion_cliente]]="","Sin valoración",ventas_libreria[[#This Row],[valoracion_cliente]])</f>
        <v>5</v>
      </c>
    </row>
    <row r="1612" spans="1:18" x14ac:dyDescent="0.25">
      <c r="A1612" t="s">
        <v>1888</v>
      </c>
      <c r="B1612" t="s">
        <v>276</v>
      </c>
      <c r="C1612" t="s">
        <v>277</v>
      </c>
      <c r="D1612" t="s">
        <v>278</v>
      </c>
      <c r="E1612" t="s">
        <v>189</v>
      </c>
      <c r="F1612">
        <f>ventas_libreria[[#This Row],[precio_eur]]/100</f>
        <v>16.11</v>
      </c>
      <c r="G1612">
        <v>1611</v>
      </c>
      <c r="H1612">
        <v>1</v>
      </c>
      <c r="I1612">
        <f>ventas_libreria[[#This Row],[precio]]*ventas_libreria[[#This Row],[cantidad]]</f>
        <v>16.11</v>
      </c>
      <c r="J1612">
        <v>16</v>
      </c>
      <c r="K1612" t="s">
        <v>20</v>
      </c>
      <c r="L1612" s="1">
        <v>45738</v>
      </c>
      <c r="M1612" t="s">
        <v>21</v>
      </c>
      <c r="N1612" t="s">
        <v>32</v>
      </c>
      <c r="O1612" t="s">
        <v>33</v>
      </c>
      <c r="P1612" t="s">
        <v>84</v>
      </c>
      <c r="Q1612">
        <v>5</v>
      </c>
      <c r="R1612">
        <f>IF(ventas_libreria[[#This Row],[valoracion_cliente]]="","Sin valoración",ventas_libreria[[#This Row],[valoracion_cliente]])</f>
        <v>5</v>
      </c>
    </row>
    <row r="1613" spans="1:18" x14ac:dyDescent="0.25">
      <c r="A1613" t="s">
        <v>1889</v>
      </c>
      <c r="B1613" t="s">
        <v>273</v>
      </c>
      <c r="C1613" t="s">
        <v>274</v>
      </c>
      <c r="D1613" t="s">
        <v>262</v>
      </c>
      <c r="E1613" t="s">
        <v>263</v>
      </c>
      <c r="F1613">
        <f>ventas_libreria[[#This Row],[precio_eur]]/100</f>
        <v>18.61</v>
      </c>
      <c r="G1613">
        <v>1861</v>
      </c>
      <c r="H1613">
        <v>2</v>
      </c>
      <c r="I1613">
        <f>ventas_libreria[[#This Row],[precio]]*ventas_libreria[[#This Row],[cantidad]]</f>
        <v>37.22</v>
      </c>
      <c r="J1613">
        <v>27</v>
      </c>
      <c r="K1613" t="s">
        <v>20</v>
      </c>
      <c r="L1613" s="1">
        <v>45199</v>
      </c>
      <c r="M1613" t="s">
        <v>43</v>
      </c>
      <c r="N1613" t="s">
        <v>32</v>
      </c>
      <c r="O1613" t="s">
        <v>33</v>
      </c>
      <c r="P1613" t="s">
        <v>34</v>
      </c>
      <c r="Q1613">
        <v>5</v>
      </c>
      <c r="R1613">
        <f>IF(ventas_libreria[[#This Row],[valoracion_cliente]]="","Sin valoración",ventas_libreria[[#This Row],[valoracion_cliente]])</f>
        <v>5</v>
      </c>
    </row>
    <row r="1614" spans="1:18" x14ac:dyDescent="0.25">
      <c r="A1614" t="s">
        <v>1890</v>
      </c>
      <c r="B1614" t="s">
        <v>45</v>
      </c>
      <c r="C1614" t="s">
        <v>46</v>
      </c>
      <c r="D1614" t="s">
        <v>47</v>
      </c>
      <c r="E1614" t="s">
        <v>48</v>
      </c>
      <c r="F1614">
        <f>ventas_libreria[[#This Row],[precio_eur]]/100</f>
        <v>20.89</v>
      </c>
      <c r="G1614">
        <v>2089</v>
      </c>
      <c r="H1614">
        <v>1</v>
      </c>
      <c r="I1614">
        <f>ventas_libreria[[#This Row],[precio]]*ventas_libreria[[#This Row],[cantidad]]</f>
        <v>20.89</v>
      </c>
      <c r="J1614">
        <v>45</v>
      </c>
      <c r="K1614" t="s">
        <v>20</v>
      </c>
      <c r="L1614" s="1">
        <v>45036</v>
      </c>
      <c r="M1614" t="s">
        <v>21</v>
      </c>
      <c r="N1614" t="s">
        <v>22</v>
      </c>
      <c r="O1614" t="s">
        <v>23</v>
      </c>
      <c r="P1614" t="s">
        <v>24</v>
      </c>
      <c r="Q1614">
        <v>4</v>
      </c>
      <c r="R1614">
        <f>IF(ventas_libreria[[#This Row],[valoracion_cliente]]="","Sin valoración",ventas_libreria[[#This Row],[valoracion_cliente]])</f>
        <v>4</v>
      </c>
    </row>
    <row r="1615" spans="1:18" x14ac:dyDescent="0.25">
      <c r="A1615" t="s">
        <v>1891</v>
      </c>
      <c r="B1615" t="s">
        <v>286</v>
      </c>
      <c r="C1615" t="s">
        <v>287</v>
      </c>
      <c r="D1615" t="s">
        <v>288</v>
      </c>
      <c r="E1615" t="s">
        <v>289</v>
      </c>
      <c r="F1615">
        <f>ventas_libreria[[#This Row],[precio_eur]]/100</f>
        <v>2.19</v>
      </c>
      <c r="G1615">
        <v>219</v>
      </c>
      <c r="H1615">
        <v>1</v>
      </c>
      <c r="I1615">
        <f>ventas_libreria[[#This Row],[precio]]*ventas_libreria[[#This Row],[cantidad]]</f>
        <v>2.19</v>
      </c>
      <c r="J1615">
        <v>22</v>
      </c>
      <c r="K1615" t="s">
        <v>62</v>
      </c>
      <c r="L1615" s="1">
        <v>45324</v>
      </c>
      <c r="M1615" t="s">
        <v>43</v>
      </c>
      <c r="N1615" t="s">
        <v>32</v>
      </c>
      <c r="O1615" t="s">
        <v>33</v>
      </c>
      <c r="P1615" t="s">
        <v>34</v>
      </c>
      <c r="Q1615">
        <v>5</v>
      </c>
      <c r="R1615">
        <f>IF(ventas_libreria[[#This Row],[valoracion_cliente]]="","Sin valoración",ventas_libreria[[#This Row],[valoracion_cliente]])</f>
        <v>5</v>
      </c>
    </row>
    <row r="1616" spans="1:18" x14ac:dyDescent="0.25">
      <c r="A1616" t="s">
        <v>1892</v>
      </c>
      <c r="B1616" t="s">
        <v>424</v>
      </c>
      <c r="C1616" t="s">
        <v>425</v>
      </c>
      <c r="D1616" t="s">
        <v>426</v>
      </c>
      <c r="E1616" t="s">
        <v>55</v>
      </c>
      <c r="F1616">
        <f>ventas_libreria[[#This Row],[precio_eur]]/100</f>
        <v>1.89</v>
      </c>
      <c r="G1616">
        <v>189</v>
      </c>
      <c r="H1616">
        <v>1</v>
      </c>
      <c r="I1616">
        <f>ventas_libreria[[#This Row],[precio]]*ventas_libreria[[#This Row],[cantidad]]</f>
        <v>1.89</v>
      </c>
      <c r="J1616">
        <v>67</v>
      </c>
      <c r="K1616" t="s">
        <v>30</v>
      </c>
      <c r="L1616" s="1">
        <v>45512</v>
      </c>
      <c r="M1616" t="s">
        <v>31</v>
      </c>
      <c r="N1616" t="s">
        <v>22</v>
      </c>
      <c r="O1616" t="s">
        <v>132</v>
      </c>
      <c r="P1616" t="s">
        <v>34</v>
      </c>
      <c r="Q1616">
        <v>3</v>
      </c>
      <c r="R1616">
        <f>IF(ventas_libreria[[#This Row],[valoracion_cliente]]="","Sin valoración",ventas_libreria[[#This Row],[valoracion_cliente]])</f>
        <v>3</v>
      </c>
    </row>
    <row r="1617" spans="1:18" x14ac:dyDescent="0.25">
      <c r="A1617" t="s">
        <v>1893</v>
      </c>
      <c r="B1617" t="s">
        <v>260</v>
      </c>
      <c r="C1617" t="s">
        <v>261</v>
      </c>
      <c r="D1617" t="s">
        <v>262</v>
      </c>
      <c r="E1617" t="s">
        <v>263</v>
      </c>
      <c r="F1617">
        <f>ventas_libreria[[#This Row],[precio_eur]]/100</f>
        <v>24.09</v>
      </c>
      <c r="G1617">
        <v>2409</v>
      </c>
      <c r="H1617">
        <v>1</v>
      </c>
      <c r="I1617">
        <f>ventas_libreria[[#This Row],[precio]]*ventas_libreria[[#This Row],[cantidad]]</f>
        <v>24.09</v>
      </c>
      <c r="J1617">
        <v>58</v>
      </c>
      <c r="K1617" t="s">
        <v>38</v>
      </c>
      <c r="L1617" s="1">
        <v>45381</v>
      </c>
      <c r="M1617" t="s">
        <v>43</v>
      </c>
      <c r="N1617" t="s">
        <v>32</v>
      </c>
      <c r="O1617" t="s">
        <v>33</v>
      </c>
      <c r="P1617" t="s">
        <v>56</v>
      </c>
      <c r="Q1617">
        <v>4</v>
      </c>
      <c r="R1617">
        <f>IF(ventas_libreria[[#This Row],[valoracion_cliente]]="","Sin valoración",ventas_libreria[[#This Row],[valoracion_cliente]])</f>
        <v>4</v>
      </c>
    </row>
    <row r="1618" spans="1:18" x14ac:dyDescent="0.25">
      <c r="A1618" t="s">
        <v>1894</v>
      </c>
      <c r="B1618" t="s">
        <v>141</v>
      </c>
      <c r="C1618" t="s">
        <v>142</v>
      </c>
      <c r="D1618" t="s">
        <v>143</v>
      </c>
      <c r="E1618" t="s">
        <v>116</v>
      </c>
      <c r="F1618">
        <f>ventas_libreria[[#This Row],[precio_eur]]/100</f>
        <v>16.39</v>
      </c>
      <c r="G1618">
        <v>1639</v>
      </c>
      <c r="H1618">
        <v>4</v>
      </c>
      <c r="I1618">
        <f>ventas_libreria[[#This Row],[precio]]*ventas_libreria[[#This Row],[cantidad]]</f>
        <v>65.56</v>
      </c>
      <c r="J1618">
        <v>40</v>
      </c>
      <c r="K1618" t="s">
        <v>38</v>
      </c>
      <c r="L1618" s="1">
        <v>45420</v>
      </c>
      <c r="M1618" t="s">
        <v>31</v>
      </c>
      <c r="N1618" t="s">
        <v>22</v>
      </c>
      <c r="O1618" t="s">
        <v>98</v>
      </c>
      <c r="P1618" t="s">
        <v>24</v>
      </c>
      <c r="R1618" t="str">
        <f>IF(ventas_libreria[[#This Row],[valoracion_cliente]]="","Sin valoración",ventas_libreria[[#This Row],[valoracion_cliente]])</f>
        <v>Sin valoración</v>
      </c>
    </row>
    <row r="1619" spans="1:18" x14ac:dyDescent="0.25">
      <c r="A1619" t="s">
        <v>1895</v>
      </c>
      <c r="B1619" t="s">
        <v>95</v>
      </c>
      <c r="C1619" t="s">
        <v>96</v>
      </c>
      <c r="D1619" t="s">
        <v>97</v>
      </c>
      <c r="E1619" t="s">
        <v>29</v>
      </c>
      <c r="F1619">
        <f>ventas_libreria[[#This Row],[precio_eur]]/100</f>
        <v>16.11</v>
      </c>
      <c r="G1619">
        <v>1611</v>
      </c>
      <c r="H1619">
        <v>1</v>
      </c>
      <c r="I1619">
        <f>ventas_libreria[[#This Row],[precio]]*ventas_libreria[[#This Row],[cantidad]]</f>
        <v>16.11</v>
      </c>
      <c r="J1619">
        <v>29</v>
      </c>
      <c r="K1619" t="s">
        <v>38</v>
      </c>
      <c r="L1619" s="1">
        <v>45435</v>
      </c>
      <c r="M1619" t="s">
        <v>43</v>
      </c>
      <c r="N1619" t="s">
        <v>32</v>
      </c>
      <c r="O1619" t="s">
        <v>33</v>
      </c>
      <c r="P1619" t="s">
        <v>56</v>
      </c>
      <c r="Q1619">
        <v>4</v>
      </c>
      <c r="R1619">
        <f>IF(ventas_libreria[[#This Row],[valoracion_cliente]]="","Sin valoración",ventas_libreria[[#This Row],[valoracion_cliente]])</f>
        <v>4</v>
      </c>
    </row>
    <row r="1620" spans="1:18" x14ac:dyDescent="0.25">
      <c r="A1620" t="s">
        <v>1896</v>
      </c>
      <c r="B1620" t="s">
        <v>125</v>
      </c>
      <c r="C1620" t="s">
        <v>126</v>
      </c>
      <c r="D1620" t="s">
        <v>127</v>
      </c>
      <c r="E1620" t="s">
        <v>29</v>
      </c>
      <c r="F1620">
        <f>ventas_libreria[[#This Row],[precio_eur]]/100</f>
        <v>18.79</v>
      </c>
      <c r="G1620">
        <v>1879</v>
      </c>
      <c r="H1620">
        <v>1</v>
      </c>
      <c r="I1620">
        <f>ventas_libreria[[#This Row],[precio]]*ventas_libreria[[#This Row],[cantidad]]</f>
        <v>18.79</v>
      </c>
      <c r="J1620">
        <v>58</v>
      </c>
      <c r="K1620" t="s">
        <v>30</v>
      </c>
      <c r="L1620" s="1">
        <v>45657</v>
      </c>
      <c r="M1620" t="s">
        <v>21</v>
      </c>
      <c r="N1620" t="s">
        <v>32</v>
      </c>
      <c r="O1620" t="s">
        <v>33</v>
      </c>
      <c r="P1620" t="s">
        <v>50</v>
      </c>
      <c r="Q1620">
        <v>4</v>
      </c>
      <c r="R1620">
        <f>IF(ventas_libreria[[#This Row],[valoracion_cliente]]="","Sin valoración",ventas_libreria[[#This Row],[valoracion_cliente]])</f>
        <v>4</v>
      </c>
    </row>
    <row r="1621" spans="1:18" x14ac:dyDescent="0.25">
      <c r="A1621" t="s">
        <v>1897</v>
      </c>
      <c r="B1621" t="s">
        <v>125</v>
      </c>
      <c r="C1621" t="s">
        <v>126</v>
      </c>
      <c r="D1621" t="s">
        <v>127</v>
      </c>
      <c r="E1621" t="s">
        <v>29</v>
      </c>
      <c r="F1621">
        <f>ventas_libreria[[#This Row],[precio_eur]]/100</f>
        <v>14.32</v>
      </c>
      <c r="G1621">
        <v>1432</v>
      </c>
      <c r="H1621">
        <v>2</v>
      </c>
      <c r="I1621">
        <f>ventas_libreria[[#This Row],[precio]]*ventas_libreria[[#This Row],[cantidad]]</f>
        <v>28.64</v>
      </c>
      <c r="J1621">
        <v>73</v>
      </c>
      <c r="K1621" t="s">
        <v>20</v>
      </c>
      <c r="L1621" s="1">
        <v>45677</v>
      </c>
      <c r="M1621" t="s">
        <v>31</v>
      </c>
      <c r="N1621" t="s">
        <v>22</v>
      </c>
      <c r="O1621" t="s">
        <v>132</v>
      </c>
      <c r="P1621" t="s">
        <v>50</v>
      </c>
      <c r="Q1621">
        <v>5</v>
      </c>
      <c r="R1621">
        <f>IF(ventas_libreria[[#This Row],[valoracion_cliente]]="","Sin valoración",ventas_libreria[[#This Row],[valoracion_cliente]])</f>
        <v>5</v>
      </c>
    </row>
    <row r="1622" spans="1:18" x14ac:dyDescent="0.25">
      <c r="A1622" t="s">
        <v>1898</v>
      </c>
      <c r="B1622" t="s">
        <v>541</v>
      </c>
      <c r="C1622" t="s">
        <v>542</v>
      </c>
      <c r="D1622" t="s">
        <v>131</v>
      </c>
      <c r="E1622" t="s">
        <v>107</v>
      </c>
      <c r="F1622">
        <f>ventas_libreria[[#This Row],[precio_eur]]/100</f>
        <v>1.67</v>
      </c>
      <c r="G1622">
        <v>167</v>
      </c>
      <c r="H1622">
        <v>1</v>
      </c>
      <c r="I1622">
        <f>ventas_libreria[[#This Row],[precio]]*ventas_libreria[[#This Row],[cantidad]]</f>
        <v>1.67</v>
      </c>
      <c r="J1622">
        <v>21</v>
      </c>
      <c r="K1622" t="s">
        <v>38</v>
      </c>
      <c r="L1622" s="1">
        <v>45594</v>
      </c>
      <c r="M1622" t="s">
        <v>31</v>
      </c>
      <c r="N1622" t="s">
        <v>32</v>
      </c>
      <c r="O1622" t="s">
        <v>33</v>
      </c>
      <c r="P1622" t="s">
        <v>34</v>
      </c>
      <c r="Q1622">
        <v>4</v>
      </c>
      <c r="R1622">
        <f>IF(ventas_libreria[[#This Row],[valoracion_cliente]]="","Sin valoración",ventas_libreria[[#This Row],[valoracion_cliente]])</f>
        <v>4</v>
      </c>
    </row>
    <row r="1623" spans="1:18" x14ac:dyDescent="0.25">
      <c r="A1623" t="s">
        <v>1899</v>
      </c>
      <c r="B1623" t="s">
        <v>91</v>
      </c>
      <c r="C1623" t="s">
        <v>92</v>
      </c>
      <c r="D1623" t="s">
        <v>93</v>
      </c>
      <c r="E1623" t="s">
        <v>72</v>
      </c>
      <c r="F1623">
        <f>ventas_libreria[[#This Row],[precio_eur]]/100</f>
        <v>1.46</v>
      </c>
      <c r="G1623">
        <v>146</v>
      </c>
      <c r="H1623">
        <v>1</v>
      </c>
      <c r="I1623">
        <f>ventas_libreria[[#This Row],[precio]]*ventas_libreria[[#This Row],[cantidad]]</f>
        <v>1.46</v>
      </c>
      <c r="J1623">
        <v>58</v>
      </c>
      <c r="K1623" t="s">
        <v>38</v>
      </c>
      <c r="L1623" s="1">
        <v>45369</v>
      </c>
      <c r="M1623" t="s">
        <v>31</v>
      </c>
      <c r="N1623" t="s">
        <v>32</v>
      </c>
      <c r="O1623" t="s">
        <v>33</v>
      </c>
      <c r="P1623" t="s">
        <v>34</v>
      </c>
      <c r="R1623" t="str">
        <f>IF(ventas_libreria[[#This Row],[valoracion_cliente]]="","Sin valoración",ventas_libreria[[#This Row],[valoracion_cliente]])</f>
        <v>Sin valoración</v>
      </c>
    </row>
    <row r="1624" spans="1:18" x14ac:dyDescent="0.25">
      <c r="A1624" t="s">
        <v>1900</v>
      </c>
      <c r="B1624" t="s">
        <v>365</v>
      </c>
      <c r="C1624" t="s">
        <v>366</v>
      </c>
      <c r="D1624" t="s">
        <v>367</v>
      </c>
      <c r="E1624" t="s">
        <v>19</v>
      </c>
      <c r="F1624">
        <f>ventas_libreria[[#This Row],[precio_eur]]/100</f>
        <v>15.12</v>
      </c>
      <c r="G1624">
        <v>1512</v>
      </c>
      <c r="H1624">
        <v>1</v>
      </c>
      <c r="I1624">
        <f>ventas_libreria[[#This Row],[precio]]*ventas_libreria[[#This Row],[cantidad]]</f>
        <v>15.12</v>
      </c>
      <c r="J1624">
        <v>40</v>
      </c>
      <c r="K1624" t="s">
        <v>20</v>
      </c>
      <c r="L1624" s="1">
        <v>45087</v>
      </c>
      <c r="M1624" t="s">
        <v>31</v>
      </c>
      <c r="N1624" t="s">
        <v>22</v>
      </c>
      <c r="O1624" t="s">
        <v>23</v>
      </c>
      <c r="P1624" t="s">
        <v>24</v>
      </c>
      <c r="Q1624">
        <v>5</v>
      </c>
      <c r="R1624">
        <f>IF(ventas_libreria[[#This Row],[valoracion_cliente]]="","Sin valoración",ventas_libreria[[#This Row],[valoracion_cliente]])</f>
        <v>5</v>
      </c>
    </row>
    <row r="1625" spans="1:18" x14ac:dyDescent="0.25">
      <c r="A1625" t="s">
        <v>1901</v>
      </c>
      <c r="B1625" t="s">
        <v>156</v>
      </c>
      <c r="C1625" t="s">
        <v>157</v>
      </c>
      <c r="D1625" t="s">
        <v>158</v>
      </c>
      <c r="E1625" t="s">
        <v>149</v>
      </c>
      <c r="F1625">
        <f>ventas_libreria[[#This Row],[precio_eur]]/100</f>
        <v>1.89</v>
      </c>
      <c r="G1625">
        <v>189</v>
      </c>
      <c r="H1625">
        <v>1</v>
      </c>
      <c r="I1625">
        <f>ventas_libreria[[#This Row],[precio]]*ventas_libreria[[#This Row],[cantidad]]</f>
        <v>1.89</v>
      </c>
      <c r="J1625">
        <v>39</v>
      </c>
      <c r="K1625" t="s">
        <v>38</v>
      </c>
      <c r="L1625" s="1">
        <v>45259</v>
      </c>
      <c r="M1625" t="s">
        <v>21</v>
      </c>
      <c r="N1625" t="s">
        <v>32</v>
      </c>
      <c r="O1625" t="s">
        <v>33</v>
      </c>
      <c r="P1625" t="s">
        <v>50</v>
      </c>
      <c r="R1625" t="str">
        <f>IF(ventas_libreria[[#This Row],[valoracion_cliente]]="","Sin valoración",ventas_libreria[[#This Row],[valoracion_cliente]])</f>
        <v>Sin valoración</v>
      </c>
    </row>
    <row r="1626" spans="1:18" x14ac:dyDescent="0.25">
      <c r="A1626" t="s">
        <v>1902</v>
      </c>
      <c r="B1626" t="s">
        <v>466</v>
      </c>
      <c r="C1626" t="s">
        <v>467</v>
      </c>
      <c r="D1626" t="s">
        <v>468</v>
      </c>
      <c r="E1626" t="s">
        <v>154</v>
      </c>
      <c r="F1626">
        <f>ventas_libreria[[#This Row],[precio_eur]]/100</f>
        <v>17.010000000000002</v>
      </c>
      <c r="G1626">
        <v>1701</v>
      </c>
      <c r="H1626">
        <v>1</v>
      </c>
      <c r="I1626">
        <f>ventas_libreria[[#This Row],[precio]]*ventas_libreria[[#This Row],[cantidad]]</f>
        <v>17.010000000000002</v>
      </c>
      <c r="J1626">
        <v>35</v>
      </c>
      <c r="K1626" t="s">
        <v>38</v>
      </c>
      <c r="L1626" s="1">
        <v>45343</v>
      </c>
      <c r="M1626" t="s">
        <v>43</v>
      </c>
      <c r="N1626" t="s">
        <v>32</v>
      </c>
      <c r="O1626" t="s">
        <v>33</v>
      </c>
      <c r="P1626" t="s">
        <v>24</v>
      </c>
      <c r="Q1626">
        <v>3</v>
      </c>
      <c r="R1626">
        <f>IF(ventas_libreria[[#This Row],[valoracion_cliente]]="","Sin valoración",ventas_libreria[[#This Row],[valoracion_cliente]])</f>
        <v>3</v>
      </c>
    </row>
    <row r="1627" spans="1:18" x14ac:dyDescent="0.25">
      <c r="A1627" t="s">
        <v>1903</v>
      </c>
      <c r="B1627" t="s">
        <v>220</v>
      </c>
      <c r="C1627" t="s">
        <v>221</v>
      </c>
      <c r="D1627" t="s">
        <v>222</v>
      </c>
      <c r="E1627" t="s">
        <v>116</v>
      </c>
      <c r="F1627">
        <f>ventas_libreria[[#This Row],[precio_eur]]/100</f>
        <v>13.55</v>
      </c>
      <c r="G1627">
        <v>1355</v>
      </c>
      <c r="H1627">
        <v>1</v>
      </c>
      <c r="I1627">
        <f>ventas_libreria[[#This Row],[precio]]*ventas_libreria[[#This Row],[cantidad]]</f>
        <v>13.55</v>
      </c>
      <c r="J1627">
        <v>60</v>
      </c>
      <c r="K1627" t="s">
        <v>20</v>
      </c>
      <c r="L1627" s="1">
        <v>45344</v>
      </c>
      <c r="M1627" t="s">
        <v>21</v>
      </c>
      <c r="N1627" t="s">
        <v>22</v>
      </c>
      <c r="O1627" t="s">
        <v>49</v>
      </c>
      <c r="P1627" t="s">
        <v>34</v>
      </c>
      <c r="Q1627">
        <v>5</v>
      </c>
      <c r="R1627">
        <f>IF(ventas_libreria[[#This Row],[valoracion_cliente]]="","Sin valoración",ventas_libreria[[#This Row],[valoracion_cliente]])</f>
        <v>5</v>
      </c>
    </row>
    <row r="1628" spans="1:18" x14ac:dyDescent="0.25">
      <c r="A1628" t="s">
        <v>1904</v>
      </c>
      <c r="B1628" t="s">
        <v>240</v>
      </c>
      <c r="C1628" t="s">
        <v>241</v>
      </c>
      <c r="D1628" t="s">
        <v>54</v>
      </c>
      <c r="E1628" t="s">
        <v>172</v>
      </c>
      <c r="F1628">
        <f>ventas_libreria[[#This Row],[precio_eur]]/100</f>
        <v>1.49</v>
      </c>
      <c r="G1628">
        <v>149</v>
      </c>
      <c r="H1628">
        <v>1</v>
      </c>
      <c r="I1628">
        <f>ventas_libreria[[#This Row],[precio]]*ventas_libreria[[#This Row],[cantidad]]</f>
        <v>1.49</v>
      </c>
      <c r="J1628">
        <v>54</v>
      </c>
      <c r="K1628" t="s">
        <v>38</v>
      </c>
      <c r="L1628" s="1">
        <v>45778</v>
      </c>
      <c r="M1628" t="s">
        <v>43</v>
      </c>
      <c r="N1628" t="s">
        <v>32</v>
      </c>
      <c r="O1628" t="s">
        <v>33</v>
      </c>
      <c r="P1628" t="s">
        <v>24</v>
      </c>
      <c r="Q1628">
        <v>4</v>
      </c>
      <c r="R1628">
        <f>IF(ventas_libreria[[#This Row],[valoracion_cliente]]="","Sin valoración",ventas_libreria[[#This Row],[valoracion_cliente]])</f>
        <v>4</v>
      </c>
    </row>
    <row r="1629" spans="1:18" x14ac:dyDescent="0.25">
      <c r="A1629" t="s">
        <v>1905</v>
      </c>
      <c r="B1629" t="s">
        <v>208</v>
      </c>
      <c r="C1629" t="s">
        <v>209</v>
      </c>
      <c r="D1629" t="s">
        <v>106</v>
      </c>
      <c r="E1629" t="s">
        <v>107</v>
      </c>
      <c r="F1629">
        <f>ventas_libreria[[#This Row],[precio_eur]]/100</f>
        <v>16.39</v>
      </c>
      <c r="G1629">
        <v>1639</v>
      </c>
      <c r="H1629">
        <v>2</v>
      </c>
      <c r="I1629">
        <f>ventas_libreria[[#This Row],[precio]]*ventas_libreria[[#This Row],[cantidad]]</f>
        <v>32.78</v>
      </c>
      <c r="J1629">
        <v>15</v>
      </c>
      <c r="K1629" t="s">
        <v>30</v>
      </c>
      <c r="L1629" s="1">
        <v>45993</v>
      </c>
      <c r="M1629" t="s">
        <v>21</v>
      </c>
      <c r="N1629" t="s">
        <v>32</v>
      </c>
      <c r="O1629" t="s">
        <v>33</v>
      </c>
      <c r="P1629" t="s">
        <v>50</v>
      </c>
      <c r="Q1629">
        <v>5</v>
      </c>
      <c r="R1629">
        <f>IF(ventas_libreria[[#This Row],[valoracion_cliente]]="","Sin valoración",ventas_libreria[[#This Row],[valoracion_cliente]])</f>
        <v>5</v>
      </c>
    </row>
    <row r="1630" spans="1:18" x14ac:dyDescent="0.25">
      <c r="A1630" t="s">
        <v>1906</v>
      </c>
      <c r="B1630" t="s">
        <v>530</v>
      </c>
      <c r="C1630" t="s">
        <v>531</v>
      </c>
      <c r="D1630" t="s">
        <v>195</v>
      </c>
      <c r="E1630" t="s">
        <v>48</v>
      </c>
      <c r="F1630">
        <f>ventas_libreria[[#This Row],[precio_eur]]/100</f>
        <v>1.99</v>
      </c>
      <c r="G1630">
        <v>199</v>
      </c>
      <c r="H1630">
        <v>1</v>
      </c>
      <c r="I1630">
        <f>ventas_libreria[[#This Row],[precio]]*ventas_libreria[[#This Row],[cantidad]]</f>
        <v>1.99</v>
      </c>
      <c r="J1630">
        <v>62</v>
      </c>
      <c r="K1630" t="s">
        <v>30</v>
      </c>
      <c r="L1630" s="1">
        <v>45849</v>
      </c>
      <c r="M1630" t="s">
        <v>31</v>
      </c>
      <c r="N1630" t="s">
        <v>32</v>
      </c>
      <c r="O1630" t="s">
        <v>33</v>
      </c>
      <c r="P1630" t="s">
        <v>34</v>
      </c>
      <c r="Q1630">
        <v>2</v>
      </c>
      <c r="R1630">
        <f>IF(ventas_libreria[[#This Row],[valoracion_cliente]]="","Sin valoración",ventas_libreria[[#This Row],[valoracion_cliente]])</f>
        <v>2</v>
      </c>
    </row>
    <row r="1631" spans="1:18" x14ac:dyDescent="0.25">
      <c r="A1631" t="s">
        <v>1907</v>
      </c>
      <c r="B1631" t="s">
        <v>125</v>
      </c>
      <c r="C1631" t="s">
        <v>126</v>
      </c>
      <c r="D1631" t="s">
        <v>127</v>
      </c>
      <c r="E1631" t="s">
        <v>29</v>
      </c>
      <c r="F1631">
        <f>ventas_libreria[[#This Row],[precio_eur]]/100</f>
        <v>14.32</v>
      </c>
      <c r="G1631">
        <v>1432</v>
      </c>
      <c r="H1631">
        <v>2</v>
      </c>
      <c r="I1631">
        <f>ventas_libreria[[#This Row],[precio]]*ventas_libreria[[#This Row],[cantidad]]</f>
        <v>28.64</v>
      </c>
      <c r="J1631">
        <v>72</v>
      </c>
      <c r="K1631" t="s">
        <v>62</v>
      </c>
      <c r="L1631" s="1">
        <v>45780</v>
      </c>
      <c r="M1631" t="s">
        <v>43</v>
      </c>
      <c r="N1631" t="s">
        <v>32</v>
      </c>
      <c r="O1631" t="s">
        <v>33</v>
      </c>
      <c r="P1631" t="s">
        <v>56</v>
      </c>
      <c r="Q1631">
        <v>5</v>
      </c>
      <c r="R1631">
        <f>IF(ventas_libreria[[#This Row],[valoracion_cliente]]="","Sin valoración",ventas_libreria[[#This Row],[valoracion_cliente]])</f>
        <v>5</v>
      </c>
    </row>
    <row r="1632" spans="1:18" x14ac:dyDescent="0.25">
      <c r="A1632" t="s">
        <v>1908</v>
      </c>
      <c r="B1632" t="s">
        <v>418</v>
      </c>
      <c r="C1632" t="s">
        <v>419</v>
      </c>
      <c r="D1632" t="s">
        <v>420</v>
      </c>
      <c r="E1632" t="s">
        <v>149</v>
      </c>
      <c r="F1632">
        <f>ventas_libreria[[#This Row],[precio_eur]]/100</f>
        <v>18.59</v>
      </c>
      <c r="G1632">
        <v>1859</v>
      </c>
      <c r="H1632">
        <v>3</v>
      </c>
      <c r="I1632">
        <f>ventas_libreria[[#This Row],[precio]]*ventas_libreria[[#This Row],[cantidad]]</f>
        <v>55.769999999999996</v>
      </c>
      <c r="J1632">
        <v>45</v>
      </c>
      <c r="K1632" t="s">
        <v>30</v>
      </c>
      <c r="L1632" s="1">
        <v>44938</v>
      </c>
      <c r="M1632" t="s">
        <v>31</v>
      </c>
      <c r="N1632" t="s">
        <v>32</v>
      </c>
      <c r="O1632" t="s">
        <v>33</v>
      </c>
      <c r="P1632" t="s">
        <v>84</v>
      </c>
      <c r="Q1632">
        <v>4</v>
      </c>
      <c r="R1632">
        <f>IF(ventas_libreria[[#This Row],[valoracion_cliente]]="","Sin valoración",ventas_libreria[[#This Row],[valoracion_cliente]])</f>
        <v>4</v>
      </c>
    </row>
    <row r="1633" spans="1:18" x14ac:dyDescent="0.25">
      <c r="A1633" t="s">
        <v>1909</v>
      </c>
      <c r="B1633" t="s">
        <v>69</v>
      </c>
      <c r="C1633" t="s">
        <v>70</v>
      </c>
      <c r="D1633" t="s">
        <v>71</v>
      </c>
      <c r="E1633" t="s">
        <v>72</v>
      </c>
      <c r="F1633">
        <f>ventas_libreria[[#This Row],[precio_eur]]/100</f>
        <v>1.69</v>
      </c>
      <c r="G1633">
        <v>169</v>
      </c>
      <c r="H1633">
        <v>1</v>
      </c>
      <c r="I1633">
        <f>ventas_libreria[[#This Row],[precio]]*ventas_libreria[[#This Row],[cantidad]]</f>
        <v>1.69</v>
      </c>
      <c r="J1633">
        <v>24</v>
      </c>
      <c r="K1633" t="s">
        <v>30</v>
      </c>
      <c r="L1633" s="1">
        <v>45096</v>
      </c>
      <c r="M1633" t="s">
        <v>31</v>
      </c>
      <c r="N1633" t="s">
        <v>22</v>
      </c>
      <c r="O1633" t="s">
        <v>98</v>
      </c>
      <c r="P1633" t="s">
        <v>50</v>
      </c>
      <c r="Q1633">
        <v>4</v>
      </c>
      <c r="R1633">
        <f>IF(ventas_libreria[[#This Row],[valoracion_cliente]]="","Sin valoración",ventas_libreria[[#This Row],[valoracion_cliente]])</f>
        <v>4</v>
      </c>
    </row>
    <row r="1634" spans="1:18" x14ac:dyDescent="0.25">
      <c r="A1634" t="s">
        <v>1910</v>
      </c>
      <c r="B1634" t="s">
        <v>193</v>
      </c>
      <c r="C1634" t="s">
        <v>194</v>
      </c>
      <c r="D1634" t="s">
        <v>195</v>
      </c>
      <c r="E1634" t="s">
        <v>48</v>
      </c>
      <c r="F1634">
        <f>ventas_libreria[[#This Row],[precio_eur]]/100</f>
        <v>15.92</v>
      </c>
      <c r="G1634">
        <v>1592</v>
      </c>
      <c r="H1634">
        <v>1</v>
      </c>
      <c r="I1634">
        <f>ventas_libreria[[#This Row],[precio]]*ventas_libreria[[#This Row],[cantidad]]</f>
        <v>15.92</v>
      </c>
      <c r="J1634">
        <v>63</v>
      </c>
      <c r="K1634" t="s">
        <v>30</v>
      </c>
      <c r="L1634" s="1">
        <v>45974</v>
      </c>
      <c r="M1634" t="s">
        <v>43</v>
      </c>
      <c r="N1634" t="s">
        <v>32</v>
      </c>
      <c r="O1634" t="s">
        <v>33</v>
      </c>
      <c r="P1634" t="s">
        <v>34</v>
      </c>
      <c r="Q1634">
        <v>5</v>
      </c>
      <c r="R1634">
        <f>IF(ventas_libreria[[#This Row],[valoracion_cliente]]="","Sin valoración",ventas_libreria[[#This Row],[valoracion_cliente]])</f>
        <v>5</v>
      </c>
    </row>
    <row r="1635" spans="1:18" x14ac:dyDescent="0.25">
      <c r="A1635" t="s">
        <v>1911</v>
      </c>
      <c r="B1635" t="s">
        <v>384</v>
      </c>
      <c r="C1635" t="s">
        <v>385</v>
      </c>
      <c r="D1635" t="s">
        <v>158</v>
      </c>
      <c r="E1635" t="s">
        <v>149</v>
      </c>
      <c r="F1635">
        <f>ventas_libreria[[#This Row],[precio_eur]]/100</f>
        <v>19.71</v>
      </c>
      <c r="G1635">
        <v>1971</v>
      </c>
      <c r="H1635">
        <v>1</v>
      </c>
      <c r="I1635">
        <f>ventas_libreria[[#This Row],[precio]]*ventas_libreria[[#This Row],[cantidad]]</f>
        <v>19.71</v>
      </c>
      <c r="J1635">
        <v>49</v>
      </c>
      <c r="K1635" t="s">
        <v>30</v>
      </c>
      <c r="L1635" s="1">
        <v>45580</v>
      </c>
      <c r="M1635" t="s">
        <v>43</v>
      </c>
      <c r="N1635" t="s">
        <v>32</v>
      </c>
      <c r="O1635" t="s">
        <v>33</v>
      </c>
      <c r="P1635" t="s">
        <v>24</v>
      </c>
      <c r="Q1635">
        <v>4</v>
      </c>
      <c r="R1635">
        <f>IF(ventas_libreria[[#This Row],[valoracion_cliente]]="","Sin valoración",ventas_libreria[[#This Row],[valoracion_cliente]])</f>
        <v>4</v>
      </c>
    </row>
    <row r="1636" spans="1:18" x14ac:dyDescent="0.25">
      <c r="A1636" t="s">
        <v>1912</v>
      </c>
      <c r="B1636" t="s">
        <v>69</v>
      </c>
      <c r="C1636" t="s">
        <v>70</v>
      </c>
      <c r="D1636" t="s">
        <v>71</v>
      </c>
      <c r="E1636" t="s">
        <v>72</v>
      </c>
      <c r="F1636">
        <f>ventas_libreria[[#This Row],[precio_eur]]/100</f>
        <v>1.69</v>
      </c>
      <c r="G1636">
        <v>169</v>
      </c>
      <c r="H1636">
        <v>1</v>
      </c>
      <c r="I1636">
        <f>ventas_libreria[[#This Row],[precio]]*ventas_libreria[[#This Row],[cantidad]]</f>
        <v>1.69</v>
      </c>
      <c r="J1636">
        <v>54</v>
      </c>
      <c r="K1636" t="s">
        <v>38</v>
      </c>
      <c r="L1636" s="1">
        <v>45561</v>
      </c>
      <c r="M1636" t="s">
        <v>31</v>
      </c>
      <c r="N1636" t="s">
        <v>22</v>
      </c>
      <c r="O1636" t="s">
        <v>67</v>
      </c>
      <c r="P1636" t="s">
        <v>56</v>
      </c>
      <c r="Q1636">
        <v>5</v>
      </c>
      <c r="R1636">
        <f>IF(ventas_libreria[[#This Row],[valoracion_cliente]]="","Sin valoración",ventas_libreria[[#This Row],[valoracion_cliente]])</f>
        <v>5</v>
      </c>
    </row>
    <row r="1637" spans="1:18" x14ac:dyDescent="0.25">
      <c r="A1637" t="s">
        <v>1913</v>
      </c>
      <c r="B1637" t="s">
        <v>327</v>
      </c>
      <c r="C1637" t="s">
        <v>328</v>
      </c>
      <c r="D1637" t="s">
        <v>288</v>
      </c>
      <c r="E1637" t="s">
        <v>289</v>
      </c>
      <c r="F1637">
        <f>ventas_libreria[[#This Row],[precio_eur]]/100</f>
        <v>18.32</v>
      </c>
      <c r="G1637">
        <v>1832</v>
      </c>
      <c r="H1637">
        <v>1</v>
      </c>
      <c r="I1637">
        <f>ventas_libreria[[#This Row],[precio]]*ventas_libreria[[#This Row],[cantidad]]</f>
        <v>18.32</v>
      </c>
      <c r="J1637">
        <v>70</v>
      </c>
      <c r="K1637" t="s">
        <v>30</v>
      </c>
      <c r="L1637" s="1">
        <v>45991</v>
      </c>
      <c r="M1637" t="s">
        <v>31</v>
      </c>
      <c r="N1637" t="s">
        <v>22</v>
      </c>
      <c r="O1637" t="s">
        <v>98</v>
      </c>
      <c r="P1637" t="s">
        <v>84</v>
      </c>
      <c r="Q1637">
        <v>4</v>
      </c>
      <c r="R1637">
        <f>IF(ventas_libreria[[#This Row],[valoracion_cliente]]="","Sin valoración",ventas_libreria[[#This Row],[valoracion_cliente]])</f>
        <v>4</v>
      </c>
    </row>
    <row r="1638" spans="1:18" x14ac:dyDescent="0.25">
      <c r="A1638" t="s">
        <v>1914</v>
      </c>
      <c r="B1638" t="s">
        <v>113</v>
      </c>
      <c r="C1638" t="s">
        <v>114</v>
      </c>
      <c r="D1638" t="s">
        <v>115</v>
      </c>
      <c r="E1638" t="s">
        <v>116</v>
      </c>
      <c r="F1638">
        <f>ventas_libreria[[#This Row],[precio_eur]]/100</f>
        <v>11.81</v>
      </c>
      <c r="G1638">
        <v>1181</v>
      </c>
      <c r="H1638">
        <v>1</v>
      </c>
      <c r="I1638">
        <f>ventas_libreria[[#This Row],[precio]]*ventas_libreria[[#This Row],[cantidad]]</f>
        <v>11.81</v>
      </c>
      <c r="J1638">
        <v>65</v>
      </c>
      <c r="K1638" t="s">
        <v>62</v>
      </c>
      <c r="L1638" s="1">
        <v>45906</v>
      </c>
      <c r="M1638" t="s">
        <v>21</v>
      </c>
      <c r="N1638" t="s">
        <v>32</v>
      </c>
      <c r="O1638" t="s">
        <v>33</v>
      </c>
      <c r="P1638" t="s">
        <v>34</v>
      </c>
      <c r="Q1638">
        <v>4</v>
      </c>
      <c r="R1638">
        <f>IF(ventas_libreria[[#This Row],[valoracion_cliente]]="","Sin valoración",ventas_libreria[[#This Row],[valoracion_cliente]])</f>
        <v>4</v>
      </c>
    </row>
    <row r="1639" spans="1:18" x14ac:dyDescent="0.25">
      <c r="A1639" t="s">
        <v>1915</v>
      </c>
      <c r="B1639" t="s">
        <v>137</v>
      </c>
      <c r="C1639" t="s">
        <v>138</v>
      </c>
      <c r="D1639" t="s">
        <v>139</v>
      </c>
      <c r="E1639" t="s">
        <v>116</v>
      </c>
      <c r="F1639">
        <f>ventas_libreria[[#This Row],[precio_eur]]/100</f>
        <v>1.29</v>
      </c>
      <c r="G1639">
        <v>129</v>
      </c>
      <c r="H1639">
        <v>1</v>
      </c>
      <c r="I1639">
        <f>ventas_libreria[[#This Row],[precio]]*ventas_libreria[[#This Row],[cantidad]]</f>
        <v>1.29</v>
      </c>
      <c r="J1639">
        <v>30</v>
      </c>
      <c r="K1639" t="s">
        <v>38</v>
      </c>
      <c r="L1639" s="1">
        <v>45033</v>
      </c>
      <c r="M1639" t="s">
        <v>31</v>
      </c>
      <c r="N1639" t="s">
        <v>22</v>
      </c>
      <c r="O1639" t="s">
        <v>49</v>
      </c>
      <c r="P1639" t="s">
        <v>34</v>
      </c>
      <c r="R1639" t="str">
        <f>IF(ventas_libreria[[#This Row],[valoracion_cliente]]="","Sin valoración",ventas_libreria[[#This Row],[valoracion_cliente]])</f>
        <v>Sin valoración</v>
      </c>
    </row>
    <row r="1640" spans="1:18" x14ac:dyDescent="0.25">
      <c r="A1640" t="s">
        <v>1916</v>
      </c>
      <c r="B1640" t="s">
        <v>181</v>
      </c>
      <c r="C1640" t="s">
        <v>182</v>
      </c>
      <c r="D1640" t="s">
        <v>183</v>
      </c>
      <c r="E1640" t="s">
        <v>116</v>
      </c>
      <c r="F1640">
        <f>ventas_libreria[[#This Row],[precio_eur]]/100</f>
        <v>1.46</v>
      </c>
      <c r="G1640">
        <v>146</v>
      </c>
      <c r="H1640">
        <v>1</v>
      </c>
      <c r="I1640">
        <f>ventas_libreria[[#This Row],[precio]]*ventas_libreria[[#This Row],[cantidad]]</f>
        <v>1.46</v>
      </c>
      <c r="J1640">
        <v>58</v>
      </c>
      <c r="K1640" t="s">
        <v>30</v>
      </c>
      <c r="L1640" s="1">
        <v>45139</v>
      </c>
      <c r="M1640" t="s">
        <v>43</v>
      </c>
      <c r="N1640" t="s">
        <v>32</v>
      </c>
      <c r="O1640" t="s">
        <v>33</v>
      </c>
      <c r="P1640" t="s">
        <v>50</v>
      </c>
      <c r="Q1640">
        <v>5</v>
      </c>
      <c r="R1640">
        <f>IF(ventas_libreria[[#This Row],[valoracion_cliente]]="","Sin valoración",ventas_libreria[[#This Row],[valoracion_cliente]])</f>
        <v>5</v>
      </c>
    </row>
    <row r="1641" spans="1:18" x14ac:dyDescent="0.25">
      <c r="A1641" t="s">
        <v>1917</v>
      </c>
      <c r="B1641" t="s">
        <v>602</v>
      </c>
      <c r="C1641" t="s">
        <v>603</v>
      </c>
      <c r="D1641" t="s">
        <v>217</v>
      </c>
      <c r="E1641" t="s">
        <v>55</v>
      </c>
      <c r="F1641">
        <f>ventas_libreria[[#This Row],[precio_eur]]/100</f>
        <v>1.79</v>
      </c>
      <c r="G1641">
        <v>179</v>
      </c>
      <c r="H1641">
        <v>1</v>
      </c>
      <c r="I1641">
        <f>ventas_libreria[[#This Row],[precio]]*ventas_libreria[[#This Row],[cantidad]]</f>
        <v>1.79</v>
      </c>
      <c r="J1641">
        <v>17</v>
      </c>
      <c r="K1641" t="s">
        <v>20</v>
      </c>
      <c r="L1641" s="1">
        <v>45109</v>
      </c>
      <c r="M1641" t="s">
        <v>43</v>
      </c>
      <c r="N1641" t="s">
        <v>32</v>
      </c>
      <c r="O1641" t="s">
        <v>33</v>
      </c>
      <c r="P1641" t="s">
        <v>56</v>
      </c>
      <c r="Q1641">
        <v>5</v>
      </c>
      <c r="R1641">
        <f>IF(ventas_libreria[[#This Row],[valoracion_cliente]]="","Sin valoración",ventas_libreria[[#This Row],[valoracion_cliente]])</f>
        <v>5</v>
      </c>
    </row>
    <row r="1642" spans="1:18" x14ac:dyDescent="0.25">
      <c r="A1642" t="s">
        <v>1918</v>
      </c>
      <c r="B1642" t="s">
        <v>530</v>
      </c>
      <c r="C1642" t="s">
        <v>531</v>
      </c>
      <c r="D1642" t="s">
        <v>195</v>
      </c>
      <c r="E1642" t="s">
        <v>48</v>
      </c>
      <c r="F1642">
        <f>ventas_libreria[[#This Row],[precio_eur]]/100</f>
        <v>1.99</v>
      </c>
      <c r="G1642">
        <v>199</v>
      </c>
      <c r="H1642">
        <v>1</v>
      </c>
      <c r="I1642">
        <f>ventas_libreria[[#This Row],[precio]]*ventas_libreria[[#This Row],[cantidad]]</f>
        <v>1.99</v>
      </c>
      <c r="J1642">
        <v>25</v>
      </c>
      <c r="K1642" t="s">
        <v>20</v>
      </c>
      <c r="L1642" s="1">
        <v>45711</v>
      </c>
      <c r="M1642" t="s">
        <v>43</v>
      </c>
      <c r="N1642" t="s">
        <v>32</v>
      </c>
      <c r="O1642" t="s">
        <v>33</v>
      </c>
      <c r="P1642" t="s">
        <v>24</v>
      </c>
      <c r="Q1642">
        <v>4</v>
      </c>
      <c r="R1642">
        <f>IF(ventas_libreria[[#This Row],[valoracion_cliente]]="","Sin valoración",ventas_libreria[[#This Row],[valoracion_cliente]])</f>
        <v>4</v>
      </c>
    </row>
    <row r="1643" spans="1:18" x14ac:dyDescent="0.25">
      <c r="A1643" t="s">
        <v>1919</v>
      </c>
      <c r="B1643" t="s">
        <v>201</v>
      </c>
      <c r="C1643" t="s">
        <v>202</v>
      </c>
      <c r="D1643" t="s">
        <v>47</v>
      </c>
      <c r="E1643" t="s">
        <v>107</v>
      </c>
      <c r="F1643">
        <f>ventas_libreria[[#This Row],[precio_eur]]/100</f>
        <v>1.39</v>
      </c>
      <c r="G1643">
        <v>139</v>
      </c>
      <c r="H1643">
        <v>2</v>
      </c>
      <c r="I1643">
        <f>ventas_libreria[[#This Row],[precio]]*ventas_libreria[[#This Row],[cantidad]]</f>
        <v>2.78</v>
      </c>
      <c r="J1643">
        <v>18</v>
      </c>
      <c r="K1643" t="s">
        <v>30</v>
      </c>
      <c r="L1643" s="1">
        <v>45175</v>
      </c>
      <c r="M1643" t="s">
        <v>43</v>
      </c>
      <c r="N1643" t="s">
        <v>32</v>
      </c>
      <c r="O1643" t="s">
        <v>33</v>
      </c>
      <c r="P1643" t="s">
        <v>50</v>
      </c>
      <c r="R1643" t="str">
        <f>IF(ventas_libreria[[#This Row],[valoracion_cliente]]="","Sin valoración",ventas_libreria[[#This Row],[valoracion_cliente]])</f>
        <v>Sin valoración</v>
      </c>
    </row>
    <row r="1644" spans="1:18" x14ac:dyDescent="0.25">
      <c r="A1644" t="s">
        <v>1920</v>
      </c>
      <c r="B1644" t="s">
        <v>69</v>
      </c>
      <c r="C1644" t="s">
        <v>70</v>
      </c>
      <c r="D1644" t="s">
        <v>71</v>
      </c>
      <c r="E1644" t="s">
        <v>72</v>
      </c>
      <c r="F1644">
        <f>ventas_libreria[[#This Row],[precio_eur]]/100</f>
        <v>1.69</v>
      </c>
      <c r="G1644">
        <v>169</v>
      </c>
      <c r="H1644">
        <v>2</v>
      </c>
      <c r="I1644">
        <f>ventas_libreria[[#This Row],[precio]]*ventas_libreria[[#This Row],[cantidad]]</f>
        <v>3.38</v>
      </c>
      <c r="J1644">
        <v>59</v>
      </c>
      <c r="K1644" t="s">
        <v>30</v>
      </c>
      <c r="L1644" s="1">
        <v>45459</v>
      </c>
      <c r="M1644" t="s">
        <v>43</v>
      </c>
      <c r="N1644" t="s">
        <v>32</v>
      </c>
      <c r="O1644" t="s">
        <v>33</v>
      </c>
      <c r="P1644" t="s">
        <v>50</v>
      </c>
      <c r="Q1644">
        <v>5</v>
      </c>
      <c r="R1644">
        <f>IF(ventas_libreria[[#This Row],[valoracion_cliente]]="","Sin valoración",ventas_libreria[[#This Row],[valoracion_cliente]])</f>
        <v>5</v>
      </c>
    </row>
    <row r="1645" spans="1:18" x14ac:dyDescent="0.25">
      <c r="A1645" t="s">
        <v>1921</v>
      </c>
      <c r="B1645" t="s">
        <v>95</v>
      </c>
      <c r="C1645" t="s">
        <v>96</v>
      </c>
      <c r="D1645" t="s">
        <v>97</v>
      </c>
      <c r="E1645" t="s">
        <v>29</v>
      </c>
      <c r="F1645">
        <f>ventas_libreria[[#This Row],[precio_eur]]/100</f>
        <v>15.21</v>
      </c>
      <c r="G1645">
        <v>1521</v>
      </c>
      <c r="H1645">
        <v>1</v>
      </c>
      <c r="I1645">
        <f>ventas_libreria[[#This Row],[precio]]*ventas_libreria[[#This Row],[cantidad]]</f>
        <v>15.21</v>
      </c>
      <c r="J1645">
        <v>69</v>
      </c>
      <c r="K1645" t="s">
        <v>30</v>
      </c>
      <c r="L1645" s="1">
        <v>45558</v>
      </c>
      <c r="M1645" t="s">
        <v>43</v>
      </c>
      <c r="N1645" t="s">
        <v>32</v>
      </c>
      <c r="O1645" t="s">
        <v>33</v>
      </c>
      <c r="P1645" t="s">
        <v>50</v>
      </c>
      <c r="Q1645">
        <v>5</v>
      </c>
      <c r="R1645">
        <f>IF(ventas_libreria[[#This Row],[valoracion_cliente]]="","Sin valoración",ventas_libreria[[#This Row],[valoracion_cliente]])</f>
        <v>5</v>
      </c>
    </row>
    <row r="1646" spans="1:18" x14ac:dyDescent="0.25">
      <c r="A1646" t="s">
        <v>1922</v>
      </c>
      <c r="B1646" t="s">
        <v>332</v>
      </c>
      <c r="C1646" t="s">
        <v>333</v>
      </c>
      <c r="D1646" t="s">
        <v>334</v>
      </c>
      <c r="E1646" t="s">
        <v>116</v>
      </c>
      <c r="F1646">
        <f>ventas_libreria[[#This Row],[precio_eur]]/100</f>
        <v>15.21</v>
      </c>
      <c r="G1646">
        <v>1521</v>
      </c>
      <c r="H1646">
        <v>2</v>
      </c>
      <c r="I1646">
        <f>ventas_libreria[[#This Row],[precio]]*ventas_libreria[[#This Row],[cantidad]]</f>
        <v>30.42</v>
      </c>
      <c r="J1646">
        <v>68</v>
      </c>
      <c r="K1646" t="s">
        <v>20</v>
      </c>
      <c r="L1646" s="1">
        <v>45927</v>
      </c>
      <c r="M1646" t="s">
        <v>31</v>
      </c>
      <c r="N1646" t="s">
        <v>22</v>
      </c>
      <c r="O1646" t="s">
        <v>67</v>
      </c>
      <c r="P1646" t="s">
        <v>84</v>
      </c>
      <c r="Q1646">
        <v>4</v>
      </c>
      <c r="R1646">
        <f>IF(ventas_libreria[[#This Row],[valoracion_cliente]]="","Sin valoración",ventas_libreria[[#This Row],[valoracion_cliente]])</f>
        <v>4</v>
      </c>
    </row>
    <row r="1647" spans="1:18" x14ac:dyDescent="0.25">
      <c r="A1647" t="s">
        <v>1923</v>
      </c>
      <c r="B1647" t="s">
        <v>228</v>
      </c>
      <c r="C1647" t="s">
        <v>229</v>
      </c>
      <c r="D1647" t="s">
        <v>206</v>
      </c>
      <c r="E1647" t="s">
        <v>116</v>
      </c>
      <c r="F1647">
        <f>ventas_libreria[[#This Row],[precio_eur]]/100</f>
        <v>1.89</v>
      </c>
      <c r="G1647">
        <v>189</v>
      </c>
      <c r="H1647">
        <v>1</v>
      </c>
      <c r="I1647">
        <f>ventas_libreria[[#This Row],[precio]]*ventas_libreria[[#This Row],[cantidad]]</f>
        <v>1.89</v>
      </c>
      <c r="J1647">
        <v>65</v>
      </c>
      <c r="K1647" t="s">
        <v>30</v>
      </c>
      <c r="L1647" s="1">
        <v>44973</v>
      </c>
      <c r="M1647" t="s">
        <v>31</v>
      </c>
      <c r="N1647" t="s">
        <v>32</v>
      </c>
      <c r="O1647" t="s">
        <v>33</v>
      </c>
      <c r="P1647" t="s">
        <v>84</v>
      </c>
      <c r="R1647" t="str">
        <f>IF(ventas_libreria[[#This Row],[valoracion_cliente]]="","Sin valoración",ventas_libreria[[#This Row],[valoracion_cliente]])</f>
        <v>Sin valoración</v>
      </c>
    </row>
    <row r="1648" spans="1:18" x14ac:dyDescent="0.25">
      <c r="A1648" t="s">
        <v>1924</v>
      </c>
      <c r="B1648" t="s">
        <v>104</v>
      </c>
      <c r="C1648" t="s">
        <v>105</v>
      </c>
      <c r="D1648" t="s">
        <v>106</v>
      </c>
      <c r="E1648" t="s">
        <v>107</v>
      </c>
      <c r="F1648">
        <f>ventas_libreria[[#This Row],[precio_eur]]/100</f>
        <v>15.65</v>
      </c>
      <c r="G1648">
        <v>1565</v>
      </c>
      <c r="H1648">
        <v>1</v>
      </c>
      <c r="I1648">
        <f>ventas_libreria[[#This Row],[precio]]*ventas_libreria[[#This Row],[cantidad]]</f>
        <v>15.65</v>
      </c>
      <c r="J1648">
        <v>19</v>
      </c>
      <c r="K1648" t="s">
        <v>62</v>
      </c>
      <c r="L1648" s="1">
        <v>45516</v>
      </c>
      <c r="M1648" t="s">
        <v>21</v>
      </c>
      <c r="N1648" t="s">
        <v>22</v>
      </c>
      <c r="O1648" t="s">
        <v>23</v>
      </c>
      <c r="P1648" t="s">
        <v>50</v>
      </c>
      <c r="Q1648">
        <v>5</v>
      </c>
      <c r="R1648">
        <f>IF(ventas_libreria[[#This Row],[valoracion_cliente]]="","Sin valoración",ventas_libreria[[#This Row],[valoracion_cliente]])</f>
        <v>5</v>
      </c>
    </row>
    <row r="1649" spans="1:18" x14ac:dyDescent="0.25">
      <c r="A1649" t="s">
        <v>1925</v>
      </c>
      <c r="B1649" t="s">
        <v>125</v>
      </c>
      <c r="C1649" t="s">
        <v>126</v>
      </c>
      <c r="D1649" t="s">
        <v>127</v>
      </c>
      <c r="E1649" t="s">
        <v>29</v>
      </c>
      <c r="F1649">
        <f>ventas_libreria[[#This Row],[precio_eur]]/100</f>
        <v>1.79</v>
      </c>
      <c r="G1649">
        <v>179</v>
      </c>
      <c r="H1649">
        <v>1</v>
      </c>
      <c r="I1649">
        <f>ventas_libreria[[#This Row],[precio]]*ventas_libreria[[#This Row],[cantidad]]</f>
        <v>1.79</v>
      </c>
      <c r="J1649">
        <v>30</v>
      </c>
      <c r="K1649" t="s">
        <v>30</v>
      </c>
      <c r="L1649" s="1">
        <v>45384</v>
      </c>
      <c r="M1649" t="s">
        <v>43</v>
      </c>
      <c r="N1649" t="s">
        <v>32</v>
      </c>
      <c r="O1649" t="s">
        <v>33</v>
      </c>
      <c r="P1649" t="s">
        <v>34</v>
      </c>
      <c r="Q1649">
        <v>5</v>
      </c>
      <c r="R1649">
        <f>IF(ventas_libreria[[#This Row],[valoracion_cliente]]="","Sin valoración",ventas_libreria[[#This Row],[valoracion_cliente]])</f>
        <v>5</v>
      </c>
    </row>
    <row r="1650" spans="1:18" x14ac:dyDescent="0.25">
      <c r="A1650" t="s">
        <v>1926</v>
      </c>
      <c r="B1650" t="s">
        <v>375</v>
      </c>
      <c r="C1650" t="s">
        <v>376</v>
      </c>
      <c r="D1650" t="s">
        <v>377</v>
      </c>
      <c r="E1650" t="s">
        <v>29</v>
      </c>
      <c r="F1650">
        <f>ventas_libreria[[#This Row],[precio_eur]]/100</f>
        <v>1.59</v>
      </c>
      <c r="G1650">
        <v>159</v>
      </c>
      <c r="H1650">
        <v>1</v>
      </c>
      <c r="I1650">
        <f>ventas_libreria[[#This Row],[precio]]*ventas_libreria[[#This Row],[cantidad]]</f>
        <v>1.59</v>
      </c>
      <c r="J1650">
        <v>16</v>
      </c>
      <c r="K1650" t="s">
        <v>30</v>
      </c>
      <c r="L1650" s="1">
        <v>45532</v>
      </c>
      <c r="M1650" t="s">
        <v>31</v>
      </c>
      <c r="N1650" t="s">
        <v>32</v>
      </c>
      <c r="O1650" t="s">
        <v>33</v>
      </c>
      <c r="P1650" t="s">
        <v>84</v>
      </c>
      <c r="Q1650">
        <v>5</v>
      </c>
      <c r="R1650">
        <f>IF(ventas_libreria[[#This Row],[valoracion_cliente]]="","Sin valoración",ventas_libreria[[#This Row],[valoracion_cliente]])</f>
        <v>5</v>
      </c>
    </row>
    <row r="1651" spans="1:18" x14ac:dyDescent="0.25">
      <c r="A1651" t="s">
        <v>1927</v>
      </c>
      <c r="B1651" t="s">
        <v>193</v>
      </c>
      <c r="C1651" t="s">
        <v>194</v>
      </c>
      <c r="D1651" t="s">
        <v>195</v>
      </c>
      <c r="E1651" t="s">
        <v>48</v>
      </c>
      <c r="F1651">
        <f>ventas_libreria[[#This Row],[precio_eur]]/100</f>
        <v>16.91</v>
      </c>
      <c r="G1651">
        <v>1691</v>
      </c>
      <c r="H1651">
        <v>1</v>
      </c>
      <c r="I1651">
        <f>ventas_libreria[[#This Row],[precio]]*ventas_libreria[[#This Row],[cantidad]]</f>
        <v>16.91</v>
      </c>
      <c r="J1651">
        <v>48</v>
      </c>
      <c r="K1651" t="s">
        <v>30</v>
      </c>
      <c r="L1651" s="1">
        <v>45867</v>
      </c>
      <c r="M1651" t="s">
        <v>43</v>
      </c>
      <c r="N1651" t="s">
        <v>32</v>
      </c>
      <c r="O1651" t="s">
        <v>33</v>
      </c>
      <c r="P1651" t="s">
        <v>56</v>
      </c>
      <c r="Q1651">
        <v>4</v>
      </c>
      <c r="R1651">
        <f>IF(ventas_libreria[[#This Row],[valoracion_cliente]]="","Sin valoración",ventas_libreria[[#This Row],[valoracion_cliente]])</f>
        <v>4</v>
      </c>
    </row>
    <row r="1652" spans="1:18" x14ac:dyDescent="0.25">
      <c r="A1652" t="s">
        <v>1928</v>
      </c>
      <c r="B1652" t="s">
        <v>16</v>
      </c>
      <c r="C1652" t="s">
        <v>17</v>
      </c>
      <c r="D1652" t="s">
        <v>18</v>
      </c>
      <c r="E1652" t="s">
        <v>19</v>
      </c>
      <c r="F1652">
        <f>ventas_libreria[[#This Row],[precio_eur]]/100</f>
        <v>1.49</v>
      </c>
      <c r="G1652">
        <v>149</v>
      </c>
      <c r="H1652">
        <v>1</v>
      </c>
      <c r="I1652">
        <f>ventas_libreria[[#This Row],[precio]]*ventas_libreria[[#This Row],[cantidad]]</f>
        <v>1.49</v>
      </c>
      <c r="J1652">
        <v>36</v>
      </c>
      <c r="K1652" t="s">
        <v>62</v>
      </c>
      <c r="L1652" s="1">
        <v>44979</v>
      </c>
      <c r="M1652" t="s">
        <v>31</v>
      </c>
      <c r="N1652" t="s">
        <v>22</v>
      </c>
      <c r="O1652" t="s">
        <v>132</v>
      </c>
      <c r="P1652" t="s">
        <v>56</v>
      </c>
      <c r="Q1652">
        <v>5</v>
      </c>
      <c r="R1652">
        <f>IF(ventas_libreria[[#This Row],[valoracion_cliente]]="","Sin valoración",ventas_libreria[[#This Row],[valoracion_cliente]])</f>
        <v>5</v>
      </c>
    </row>
    <row r="1653" spans="1:18" x14ac:dyDescent="0.25">
      <c r="A1653" t="s">
        <v>1929</v>
      </c>
      <c r="B1653" t="s">
        <v>211</v>
      </c>
      <c r="C1653" t="s">
        <v>212</v>
      </c>
      <c r="D1653" t="s">
        <v>131</v>
      </c>
      <c r="E1653" t="s">
        <v>107</v>
      </c>
      <c r="F1653">
        <f>ventas_libreria[[#This Row],[precio_eur]]/100</f>
        <v>18.59</v>
      </c>
      <c r="G1653">
        <v>1859</v>
      </c>
      <c r="H1653">
        <v>1</v>
      </c>
      <c r="I1653">
        <f>ventas_libreria[[#This Row],[precio]]*ventas_libreria[[#This Row],[cantidad]]</f>
        <v>18.59</v>
      </c>
      <c r="J1653">
        <v>15</v>
      </c>
      <c r="K1653" t="s">
        <v>20</v>
      </c>
      <c r="L1653" s="1">
        <v>45828</v>
      </c>
      <c r="M1653" t="s">
        <v>43</v>
      </c>
      <c r="N1653" t="s">
        <v>32</v>
      </c>
      <c r="O1653" t="s">
        <v>33</v>
      </c>
      <c r="P1653" t="s">
        <v>24</v>
      </c>
      <c r="Q1653">
        <v>2</v>
      </c>
      <c r="R1653">
        <f>IF(ventas_libreria[[#This Row],[valoracion_cliente]]="","Sin valoración",ventas_libreria[[#This Row],[valoracion_cliente]])</f>
        <v>2</v>
      </c>
    </row>
    <row r="1654" spans="1:18" x14ac:dyDescent="0.25">
      <c r="A1654" t="s">
        <v>1930</v>
      </c>
      <c r="B1654" t="s">
        <v>151</v>
      </c>
      <c r="C1654" t="s">
        <v>152</v>
      </c>
      <c r="D1654" t="s">
        <v>153</v>
      </c>
      <c r="E1654" t="s">
        <v>154</v>
      </c>
      <c r="F1654">
        <f>ventas_libreria[[#This Row],[precio_eur]]/100</f>
        <v>15.21</v>
      </c>
      <c r="G1654">
        <v>1521</v>
      </c>
      <c r="H1654">
        <v>1</v>
      </c>
      <c r="I1654">
        <f>ventas_libreria[[#This Row],[precio]]*ventas_libreria[[#This Row],[cantidad]]</f>
        <v>15.21</v>
      </c>
      <c r="J1654">
        <v>37</v>
      </c>
      <c r="K1654" t="s">
        <v>62</v>
      </c>
      <c r="L1654" s="1">
        <v>44978</v>
      </c>
      <c r="M1654" t="s">
        <v>43</v>
      </c>
      <c r="N1654" t="s">
        <v>32</v>
      </c>
      <c r="O1654" t="s">
        <v>33</v>
      </c>
      <c r="P1654" t="s">
        <v>56</v>
      </c>
      <c r="Q1654">
        <v>4</v>
      </c>
      <c r="R1654">
        <f>IF(ventas_libreria[[#This Row],[valoracion_cliente]]="","Sin valoración",ventas_libreria[[#This Row],[valoracion_cliente]])</f>
        <v>4</v>
      </c>
    </row>
    <row r="1655" spans="1:18" x14ac:dyDescent="0.25">
      <c r="A1655" t="s">
        <v>1931</v>
      </c>
      <c r="B1655" t="s">
        <v>204</v>
      </c>
      <c r="C1655" t="s">
        <v>205</v>
      </c>
      <c r="D1655" t="s">
        <v>206</v>
      </c>
      <c r="E1655" t="s">
        <v>116</v>
      </c>
      <c r="F1655">
        <f>ventas_libreria[[#This Row],[precio_eur]]/100</f>
        <v>13.55</v>
      </c>
      <c r="G1655">
        <v>1355</v>
      </c>
      <c r="H1655">
        <v>1</v>
      </c>
      <c r="I1655">
        <f>ventas_libreria[[#This Row],[precio]]*ventas_libreria[[#This Row],[cantidad]]</f>
        <v>13.55</v>
      </c>
      <c r="J1655">
        <v>23</v>
      </c>
      <c r="K1655" t="s">
        <v>62</v>
      </c>
      <c r="L1655" s="1">
        <v>44941</v>
      </c>
      <c r="M1655" t="s">
        <v>21</v>
      </c>
      <c r="N1655" t="s">
        <v>22</v>
      </c>
      <c r="O1655" t="s">
        <v>49</v>
      </c>
      <c r="P1655" t="s">
        <v>50</v>
      </c>
      <c r="Q1655">
        <v>4</v>
      </c>
      <c r="R1655">
        <f>IF(ventas_libreria[[#This Row],[valoracion_cliente]]="","Sin valoración",ventas_libreria[[#This Row],[valoracion_cliente]])</f>
        <v>4</v>
      </c>
    </row>
    <row r="1656" spans="1:18" x14ac:dyDescent="0.25">
      <c r="A1656" t="s">
        <v>1932</v>
      </c>
      <c r="B1656" t="s">
        <v>265</v>
      </c>
      <c r="C1656" t="s">
        <v>266</v>
      </c>
      <c r="D1656" t="s">
        <v>162</v>
      </c>
      <c r="E1656" t="s">
        <v>29</v>
      </c>
      <c r="F1656">
        <f>ventas_libreria[[#This Row],[precio_eur]]/100</f>
        <v>17.75</v>
      </c>
      <c r="G1656">
        <v>1775</v>
      </c>
      <c r="H1656">
        <v>3</v>
      </c>
      <c r="I1656">
        <f>ventas_libreria[[#This Row],[precio]]*ventas_libreria[[#This Row],[cantidad]]</f>
        <v>53.25</v>
      </c>
      <c r="J1656">
        <v>44</v>
      </c>
      <c r="K1656" t="s">
        <v>30</v>
      </c>
      <c r="L1656" s="1">
        <v>45433</v>
      </c>
      <c r="M1656" t="s">
        <v>43</v>
      </c>
      <c r="N1656" t="s">
        <v>32</v>
      </c>
      <c r="O1656" t="s">
        <v>33</v>
      </c>
      <c r="P1656" t="s">
        <v>50</v>
      </c>
      <c r="Q1656">
        <v>5</v>
      </c>
      <c r="R1656">
        <f>IF(ventas_libreria[[#This Row],[valoracion_cliente]]="","Sin valoración",ventas_libreria[[#This Row],[valoracion_cliente]])</f>
        <v>5</v>
      </c>
    </row>
    <row r="1657" spans="1:18" x14ac:dyDescent="0.25">
      <c r="A1657" t="s">
        <v>1933</v>
      </c>
      <c r="B1657" t="s">
        <v>109</v>
      </c>
      <c r="C1657" t="s">
        <v>110</v>
      </c>
      <c r="D1657" t="s">
        <v>111</v>
      </c>
      <c r="E1657" t="s">
        <v>55</v>
      </c>
      <c r="F1657">
        <f>ventas_libreria[[#This Row],[precio_eur]]/100</f>
        <v>20.89</v>
      </c>
      <c r="G1657">
        <v>2089</v>
      </c>
      <c r="H1657">
        <v>2</v>
      </c>
      <c r="I1657">
        <f>ventas_libreria[[#This Row],[precio]]*ventas_libreria[[#This Row],[cantidad]]</f>
        <v>41.78</v>
      </c>
      <c r="J1657">
        <v>44</v>
      </c>
      <c r="K1657" t="s">
        <v>20</v>
      </c>
      <c r="L1657" s="1">
        <v>45855</v>
      </c>
      <c r="M1657" t="s">
        <v>31</v>
      </c>
      <c r="N1657" t="s">
        <v>32</v>
      </c>
      <c r="O1657" t="s">
        <v>33</v>
      </c>
      <c r="P1657" t="s">
        <v>24</v>
      </c>
      <c r="Q1657">
        <v>5</v>
      </c>
      <c r="R1657">
        <f>IF(ventas_libreria[[#This Row],[valoracion_cliente]]="","Sin valoración",ventas_libreria[[#This Row],[valoracion_cliente]])</f>
        <v>5</v>
      </c>
    </row>
    <row r="1658" spans="1:18" x14ac:dyDescent="0.25">
      <c r="A1658" t="s">
        <v>1934</v>
      </c>
      <c r="B1658" t="s">
        <v>375</v>
      </c>
      <c r="C1658" t="s">
        <v>376</v>
      </c>
      <c r="D1658" t="s">
        <v>377</v>
      </c>
      <c r="E1658" t="s">
        <v>29</v>
      </c>
      <c r="F1658">
        <f>ventas_libreria[[#This Row],[precio_eur]]/100</f>
        <v>1.59</v>
      </c>
      <c r="G1658">
        <v>159</v>
      </c>
      <c r="H1658">
        <v>1</v>
      </c>
      <c r="I1658">
        <f>ventas_libreria[[#This Row],[precio]]*ventas_libreria[[#This Row],[cantidad]]</f>
        <v>1.59</v>
      </c>
      <c r="J1658">
        <v>28</v>
      </c>
      <c r="K1658" t="s">
        <v>62</v>
      </c>
      <c r="L1658" s="1">
        <v>45165</v>
      </c>
      <c r="M1658" t="s">
        <v>31</v>
      </c>
      <c r="N1658" t="s">
        <v>32</v>
      </c>
      <c r="O1658" t="s">
        <v>33</v>
      </c>
      <c r="P1658" t="s">
        <v>24</v>
      </c>
      <c r="Q1658">
        <v>4</v>
      </c>
      <c r="R1658">
        <f>IF(ventas_libreria[[#This Row],[valoracion_cliente]]="","Sin valoración",ventas_libreria[[#This Row],[valoracion_cliente]])</f>
        <v>4</v>
      </c>
    </row>
    <row r="1659" spans="1:18" x14ac:dyDescent="0.25">
      <c r="A1659" t="s">
        <v>1935</v>
      </c>
      <c r="B1659" t="s">
        <v>530</v>
      </c>
      <c r="C1659" t="s">
        <v>531</v>
      </c>
      <c r="D1659" t="s">
        <v>195</v>
      </c>
      <c r="E1659" t="s">
        <v>48</v>
      </c>
      <c r="F1659">
        <f>ventas_libreria[[#This Row],[precio_eur]]/100</f>
        <v>15.92</v>
      </c>
      <c r="G1659">
        <v>1592</v>
      </c>
      <c r="H1659">
        <v>1</v>
      </c>
      <c r="I1659">
        <f>ventas_libreria[[#This Row],[precio]]*ventas_libreria[[#This Row],[cantidad]]</f>
        <v>15.92</v>
      </c>
      <c r="J1659">
        <v>56</v>
      </c>
      <c r="K1659" t="s">
        <v>38</v>
      </c>
      <c r="L1659" s="1">
        <v>45751</v>
      </c>
      <c r="M1659" t="s">
        <v>21</v>
      </c>
      <c r="N1659" t="s">
        <v>32</v>
      </c>
      <c r="O1659" t="s">
        <v>33</v>
      </c>
      <c r="P1659" t="s">
        <v>56</v>
      </c>
      <c r="Q1659">
        <v>4</v>
      </c>
      <c r="R1659">
        <f>IF(ventas_libreria[[#This Row],[valoracion_cliente]]="","Sin valoración",ventas_libreria[[#This Row],[valoracion_cliente]])</f>
        <v>4</v>
      </c>
    </row>
    <row r="1660" spans="1:18" x14ac:dyDescent="0.25">
      <c r="A1660" t="s">
        <v>1936</v>
      </c>
      <c r="B1660" t="s">
        <v>318</v>
      </c>
      <c r="C1660" t="s">
        <v>319</v>
      </c>
      <c r="D1660" t="s">
        <v>167</v>
      </c>
      <c r="E1660" t="s">
        <v>61</v>
      </c>
      <c r="F1660">
        <f>ventas_libreria[[#This Row],[precio_eur]]/100</f>
        <v>15.12</v>
      </c>
      <c r="G1660">
        <v>1512</v>
      </c>
      <c r="H1660">
        <v>1</v>
      </c>
      <c r="I1660">
        <f>ventas_libreria[[#This Row],[precio]]*ventas_libreria[[#This Row],[cantidad]]</f>
        <v>15.12</v>
      </c>
      <c r="J1660">
        <v>61</v>
      </c>
      <c r="K1660" t="s">
        <v>38</v>
      </c>
      <c r="L1660" s="1">
        <v>45758</v>
      </c>
      <c r="M1660" t="s">
        <v>43</v>
      </c>
      <c r="N1660" t="s">
        <v>32</v>
      </c>
      <c r="O1660" t="s">
        <v>33</v>
      </c>
      <c r="P1660" t="s">
        <v>50</v>
      </c>
      <c r="Q1660">
        <v>2</v>
      </c>
      <c r="R1660">
        <f>IF(ventas_libreria[[#This Row],[valoracion_cliente]]="","Sin valoración",ventas_libreria[[#This Row],[valoracion_cliente]])</f>
        <v>2</v>
      </c>
    </row>
    <row r="1661" spans="1:18" x14ac:dyDescent="0.25">
      <c r="A1661" t="s">
        <v>1937</v>
      </c>
      <c r="B1661" t="s">
        <v>208</v>
      </c>
      <c r="C1661" t="s">
        <v>209</v>
      </c>
      <c r="D1661" t="s">
        <v>106</v>
      </c>
      <c r="E1661" t="s">
        <v>107</v>
      </c>
      <c r="F1661">
        <f>ventas_libreria[[#This Row],[precio_eur]]/100</f>
        <v>16.39</v>
      </c>
      <c r="G1661">
        <v>1639</v>
      </c>
      <c r="H1661">
        <v>1</v>
      </c>
      <c r="I1661">
        <f>ventas_libreria[[#This Row],[precio]]*ventas_libreria[[#This Row],[cantidad]]</f>
        <v>16.39</v>
      </c>
      <c r="J1661">
        <v>15</v>
      </c>
      <c r="K1661" t="s">
        <v>38</v>
      </c>
      <c r="L1661" s="1">
        <v>45759</v>
      </c>
      <c r="M1661" t="s">
        <v>21</v>
      </c>
      <c r="N1661" t="s">
        <v>22</v>
      </c>
      <c r="O1661" t="s">
        <v>132</v>
      </c>
      <c r="P1661" t="s">
        <v>56</v>
      </c>
      <c r="Q1661">
        <v>5</v>
      </c>
      <c r="R1661">
        <f>IF(ventas_libreria[[#This Row],[valoracion_cliente]]="","Sin valoración",ventas_libreria[[#This Row],[valoracion_cliente]])</f>
        <v>5</v>
      </c>
    </row>
    <row r="1662" spans="1:18" x14ac:dyDescent="0.25">
      <c r="A1662" t="s">
        <v>1938</v>
      </c>
      <c r="B1662" t="s">
        <v>461</v>
      </c>
      <c r="C1662" t="s">
        <v>462</v>
      </c>
      <c r="D1662" t="s">
        <v>143</v>
      </c>
      <c r="E1662" t="s">
        <v>116</v>
      </c>
      <c r="F1662">
        <f>ventas_libreria[[#This Row],[precio_eur]]/100</f>
        <v>1.39</v>
      </c>
      <c r="G1662">
        <v>139</v>
      </c>
      <c r="H1662">
        <v>1</v>
      </c>
      <c r="I1662">
        <f>ventas_libreria[[#This Row],[precio]]*ventas_libreria[[#This Row],[cantidad]]</f>
        <v>1.39</v>
      </c>
      <c r="J1662">
        <v>18</v>
      </c>
      <c r="K1662" t="s">
        <v>38</v>
      </c>
      <c r="L1662" s="1">
        <v>46005</v>
      </c>
      <c r="M1662" t="s">
        <v>21</v>
      </c>
      <c r="N1662" t="s">
        <v>32</v>
      </c>
      <c r="O1662" t="s">
        <v>33</v>
      </c>
      <c r="P1662" t="s">
        <v>50</v>
      </c>
      <c r="Q1662">
        <v>4</v>
      </c>
      <c r="R1662">
        <f>IF(ventas_libreria[[#This Row],[valoracion_cliente]]="","Sin valoración",ventas_libreria[[#This Row],[valoracion_cliente]])</f>
        <v>4</v>
      </c>
    </row>
    <row r="1663" spans="1:18" x14ac:dyDescent="0.25">
      <c r="A1663" t="s">
        <v>1939</v>
      </c>
      <c r="B1663" t="s">
        <v>348</v>
      </c>
      <c r="C1663" t="s">
        <v>349</v>
      </c>
      <c r="D1663" t="s">
        <v>350</v>
      </c>
      <c r="E1663" t="s">
        <v>116</v>
      </c>
      <c r="F1663">
        <f>ventas_libreria[[#This Row],[precio_eur]]/100</f>
        <v>1.99</v>
      </c>
      <c r="G1663">
        <v>199</v>
      </c>
      <c r="H1663">
        <v>2</v>
      </c>
      <c r="I1663">
        <f>ventas_libreria[[#This Row],[precio]]*ventas_libreria[[#This Row],[cantidad]]</f>
        <v>3.98</v>
      </c>
      <c r="J1663">
        <v>17</v>
      </c>
      <c r="K1663" t="s">
        <v>30</v>
      </c>
      <c r="L1663" s="1">
        <v>45574</v>
      </c>
      <c r="M1663" t="s">
        <v>43</v>
      </c>
      <c r="N1663" t="s">
        <v>32</v>
      </c>
      <c r="O1663" t="s">
        <v>33</v>
      </c>
      <c r="P1663" t="s">
        <v>34</v>
      </c>
      <c r="Q1663">
        <v>5</v>
      </c>
      <c r="R1663">
        <f>IF(ventas_libreria[[#This Row],[valoracion_cliente]]="","Sin valoración",ventas_libreria[[#This Row],[valoracion_cliente]])</f>
        <v>5</v>
      </c>
    </row>
    <row r="1664" spans="1:18" x14ac:dyDescent="0.25">
      <c r="A1664" t="s">
        <v>1940</v>
      </c>
      <c r="B1664" t="s">
        <v>224</v>
      </c>
      <c r="C1664" t="s">
        <v>225</v>
      </c>
      <c r="D1664" t="s">
        <v>226</v>
      </c>
      <c r="E1664" t="s">
        <v>116</v>
      </c>
      <c r="F1664">
        <f>ventas_libreria[[#This Row],[precio_eur]]/100</f>
        <v>2.4900000000000002</v>
      </c>
      <c r="G1664">
        <v>249</v>
      </c>
      <c r="H1664">
        <v>1</v>
      </c>
      <c r="I1664">
        <f>ventas_libreria[[#This Row],[precio]]*ventas_libreria[[#This Row],[cantidad]]</f>
        <v>2.4900000000000002</v>
      </c>
      <c r="J1664">
        <v>69</v>
      </c>
      <c r="K1664" t="s">
        <v>62</v>
      </c>
      <c r="L1664" s="1">
        <v>44943</v>
      </c>
      <c r="M1664" t="s">
        <v>21</v>
      </c>
      <c r="N1664" t="s">
        <v>22</v>
      </c>
      <c r="O1664" t="s">
        <v>49</v>
      </c>
      <c r="P1664" t="s">
        <v>56</v>
      </c>
      <c r="Q1664">
        <v>3</v>
      </c>
      <c r="R1664">
        <f>IF(ventas_libreria[[#This Row],[valoracion_cliente]]="","Sin valoración",ventas_libreria[[#This Row],[valoracion_cliente]])</f>
        <v>3</v>
      </c>
    </row>
    <row r="1665" spans="1:18" x14ac:dyDescent="0.25">
      <c r="A1665" t="s">
        <v>1941</v>
      </c>
      <c r="B1665" t="s">
        <v>671</v>
      </c>
      <c r="C1665" t="s">
        <v>672</v>
      </c>
      <c r="D1665" t="s">
        <v>673</v>
      </c>
      <c r="E1665" t="s">
        <v>116</v>
      </c>
      <c r="F1665">
        <f>ventas_libreria[[#This Row],[precio_eur]]/100</f>
        <v>11.61</v>
      </c>
      <c r="G1665">
        <v>1161</v>
      </c>
      <c r="H1665">
        <v>1</v>
      </c>
      <c r="I1665">
        <f>ventas_libreria[[#This Row],[precio]]*ventas_libreria[[#This Row],[cantidad]]</f>
        <v>11.61</v>
      </c>
      <c r="J1665">
        <v>41</v>
      </c>
      <c r="K1665" t="s">
        <v>20</v>
      </c>
      <c r="L1665" s="1">
        <v>45159</v>
      </c>
      <c r="M1665" t="s">
        <v>21</v>
      </c>
      <c r="N1665" t="s">
        <v>32</v>
      </c>
      <c r="O1665" t="s">
        <v>33</v>
      </c>
      <c r="P1665" t="s">
        <v>34</v>
      </c>
      <c r="Q1665">
        <v>5</v>
      </c>
      <c r="R1665">
        <f>IF(ventas_libreria[[#This Row],[valoracion_cliente]]="","Sin valoración",ventas_libreria[[#This Row],[valoracion_cliente]])</f>
        <v>5</v>
      </c>
    </row>
    <row r="1666" spans="1:18" x14ac:dyDescent="0.25">
      <c r="A1666" t="s">
        <v>1942</v>
      </c>
      <c r="B1666" t="s">
        <v>26</v>
      </c>
      <c r="C1666" t="s">
        <v>27</v>
      </c>
      <c r="D1666" t="s">
        <v>28</v>
      </c>
      <c r="E1666" t="s">
        <v>29</v>
      </c>
      <c r="F1666">
        <f>ventas_libreria[[#This Row],[precio_eur]]/100</f>
        <v>19.84</v>
      </c>
      <c r="G1666">
        <v>1984</v>
      </c>
      <c r="H1666">
        <v>1</v>
      </c>
      <c r="I1666">
        <f>ventas_libreria[[#This Row],[precio]]*ventas_libreria[[#This Row],[cantidad]]</f>
        <v>19.84</v>
      </c>
      <c r="J1666">
        <v>17</v>
      </c>
      <c r="K1666" t="s">
        <v>30</v>
      </c>
      <c r="L1666" s="1">
        <v>45410</v>
      </c>
      <c r="M1666" t="s">
        <v>31</v>
      </c>
      <c r="N1666" t="s">
        <v>22</v>
      </c>
      <c r="O1666" t="s">
        <v>132</v>
      </c>
      <c r="P1666" t="s">
        <v>24</v>
      </c>
      <c r="Q1666">
        <v>2</v>
      </c>
      <c r="R1666">
        <f>IF(ventas_libreria[[#This Row],[valoracion_cliente]]="","Sin valoración",ventas_libreria[[#This Row],[valoracion_cliente]])</f>
        <v>2</v>
      </c>
    </row>
    <row r="1667" spans="1:18" x14ac:dyDescent="0.25">
      <c r="A1667" t="s">
        <v>1943</v>
      </c>
      <c r="B1667" t="s">
        <v>220</v>
      </c>
      <c r="C1667" t="s">
        <v>221</v>
      </c>
      <c r="D1667" t="s">
        <v>222</v>
      </c>
      <c r="E1667" t="s">
        <v>116</v>
      </c>
      <c r="F1667">
        <f>ventas_libreria[[#This Row],[precio_eur]]/100</f>
        <v>1.29</v>
      </c>
      <c r="G1667">
        <v>129</v>
      </c>
      <c r="H1667">
        <v>1</v>
      </c>
      <c r="I1667">
        <f>ventas_libreria[[#This Row],[precio]]*ventas_libreria[[#This Row],[cantidad]]</f>
        <v>1.29</v>
      </c>
      <c r="J1667">
        <v>69</v>
      </c>
      <c r="K1667" t="s">
        <v>62</v>
      </c>
      <c r="L1667" s="1">
        <v>45165</v>
      </c>
      <c r="M1667" t="s">
        <v>43</v>
      </c>
      <c r="N1667" t="s">
        <v>32</v>
      </c>
      <c r="O1667" t="s">
        <v>33</v>
      </c>
      <c r="P1667" t="s">
        <v>34</v>
      </c>
      <c r="Q1667">
        <v>5</v>
      </c>
      <c r="R1667">
        <f>IF(ventas_libreria[[#This Row],[valoracion_cliente]]="","Sin valoración",ventas_libreria[[#This Row],[valoracion_cliente]])</f>
        <v>5</v>
      </c>
    </row>
    <row r="1668" spans="1:18" x14ac:dyDescent="0.25">
      <c r="A1668" t="s">
        <v>1944</v>
      </c>
      <c r="B1668" t="s">
        <v>314</v>
      </c>
      <c r="C1668" t="s">
        <v>315</v>
      </c>
      <c r="D1668" t="s">
        <v>217</v>
      </c>
      <c r="E1668" t="s">
        <v>55</v>
      </c>
      <c r="F1668">
        <f>ventas_libreria[[#This Row],[precio_eur]]/100</f>
        <v>16.649999999999999</v>
      </c>
      <c r="G1668">
        <v>1665</v>
      </c>
      <c r="H1668">
        <v>1</v>
      </c>
      <c r="I1668">
        <f>ventas_libreria[[#This Row],[precio]]*ventas_libreria[[#This Row],[cantidad]]</f>
        <v>16.649999999999999</v>
      </c>
      <c r="J1668">
        <v>44</v>
      </c>
      <c r="K1668" t="s">
        <v>20</v>
      </c>
      <c r="L1668" s="1">
        <v>45308</v>
      </c>
      <c r="M1668" t="s">
        <v>43</v>
      </c>
      <c r="N1668" t="s">
        <v>32</v>
      </c>
      <c r="O1668" t="s">
        <v>33</v>
      </c>
      <c r="P1668" t="s">
        <v>34</v>
      </c>
      <c r="Q1668">
        <v>3</v>
      </c>
      <c r="R1668">
        <f>IF(ventas_libreria[[#This Row],[valoracion_cliente]]="","Sin valoración",ventas_libreria[[#This Row],[valoracion_cliente]])</f>
        <v>3</v>
      </c>
    </row>
    <row r="1669" spans="1:18" x14ac:dyDescent="0.25">
      <c r="A1669" t="s">
        <v>1945</v>
      </c>
      <c r="B1669" t="s">
        <v>247</v>
      </c>
      <c r="C1669" t="s">
        <v>248</v>
      </c>
      <c r="D1669" t="s">
        <v>249</v>
      </c>
      <c r="E1669" t="s">
        <v>172</v>
      </c>
      <c r="F1669">
        <f>ventas_libreria[[#This Row],[precio_eur]]/100</f>
        <v>15.29</v>
      </c>
      <c r="G1669">
        <v>1529</v>
      </c>
      <c r="H1669">
        <v>1</v>
      </c>
      <c r="I1669">
        <f>ventas_libreria[[#This Row],[precio]]*ventas_libreria[[#This Row],[cantidad]]</f>
        <v>15.29</v>
      </c>
      <c r="J1669">
        <v>48</v>
      </c>
      <c r="K1669" t="s">
        <v>20</v>
      </c>
      <c r="L1669" s="1">
        <v>45066</v>
      </c>
      <c r="M1669" t="s">
        <v>31</v>
      </c>
      <c r="N1669" t="s">
        <v>32</v>
      </c>
      <c r="O1669" t="s">
        <v>33</v>
      </c>
      <c r="P1669" t="s">
        <v>84</v>
      </c>
      <c r="Q1669">
        <v>1</v>
      </c>
      <c r="R1669">
        <f>IF(ventas_libreria[[#This Row],[valoracion_cliente]]="","Sin valoración",ventas_libreria[[#This Row],[valoracion_cliente]])</f>
        <v>1</v>
      </c>
    </row>
    <row r="1670" spans="1:18" x14ac:dyDescent="0.25">
      <c r="A1670" t="s">
        <v>1946</v>
      </c>
      <c r="B1670" t="s">
        <v>291</v>
      </c>
      <c r="C1670" t="s">
        <v>292</v>
      </c>
      <c r="D1670" t="s">
        <v>76</v>
      </c>
      <c r="E1670" t="s">
        <v>77</v>
      </c>
      <c r="F1670">
        <f>ventas_libreria[[#This Row],[precio_eur]]/100</f>
        <v>0.99</v>
      </c>
      <c r="G1670">
        <v>99</v>
      </c>
      <c r="H1670">
        <v>2</v>
      </c>
      <c r="I1670">
        <f>ventas_libreria[[#This Row],[precio]]*ventas_libreria[[#This Row],[cantidad]]</f>
        <v>1.98</v>
      </c>
      <c r="J1670">
        <v>6</v>
      </c>
      <c r="K1670" t="s">
        <v>30</v>
      </c>
      <c r="L1670" s="1">
        <v>45623</v>
      </c>
      <c r="M1670" t="s">
        <v>43</v>
      </c>
      <c r="N1670" t="s">
        <v>32</v>
      </c>
      <c r="O1670" t="s">
        <v>33</v>
      </c>
      <c r="P1670" t="s">
        <v>34</v>
      </c>
      <c r="Q1670">
        <v>5</v>
      </c>
      <c r="R1670">
        <f>IF(ventas_libreria[[#This Row],[valoracion_cliente]]="","Sin valoración",ventas_libreria[[#This Row],[valoracion_cliente]])</f>
        <v>5</v>
      </c>
    </row>
    <row r="1671" spans="1:18" x14ac:dyDescent="0.25">
      <c r="A1671" t="s">
        <v>1947</v>
      </c>
      <c r="B1671" t="s">
        <v>286</v>
      </c>
      <c r="C1671" t="s">
        <v>287</v>
      </c>
      <c r="D1671" t="s">
        <v>288</v>
      </c>
      <c r="E1671" t="s">
        <v>289</v>
      </c>
      <c r="F1671">
        <f>ventas_libreria[[#This Row],[precio_eur]]/100</f>
        <v>17.52</v>
      </c>
      <c r="G1671">
        <v>1752</v>
      </c>
      <c r="H1671">
        <v>1</v>
      </c>
      <c r="I1671">
        <f>ventas_libreria[[#This Row],[precio]]*ventas_libreria[[#This Row],[cantidad]]</f>
        <v>17.52</v>
      </c>
      <c r="J1671">
        <v>28</v>
      </c>
      <c r="K1671" t="s">
        <v>62</v>
      </c>
      <c r="L1671" s="1">
        <v>45313</v>
      </c>
      <c r="M1671" t="s">
        <v>43</v>
      </c>
      <c r="N1671" t="s">
        <v>32</v>
      </c>
      <c r="O1671" t="s">
        <v>33</v>
      </c>
      <c r="P1671" t="s">
        <v>24</v>
      </c>
      <c r="Q1671">
        <v>3</v>
      </c>
      <c r="R1671">
        <f>IF(ventas_libreria[[#This Row],[valoracion_cliente]]="","Sin valoración",ventas_libreria[[#This Row],[valoracion_cliente]])</f>
        <v>3</v>
      </c>
    </row>
    <row r="1672" spans="1:18" x14ac:dyDescent="0.25">
      <c r="A1672" t="s">
        <v>1948</v>
      </c>
      <c r="B1672" t="s">
        <v>134</v>
      </c>
      <c r="C1672" t="s">
        <v>135</v>
      </c>
      <c r="D1672" t="s">
        <v>106</v>
      </c>
      <c r="E1672" t="s">
        <v>107</v>
      </c>
      <c r="F1672">
        <f>ventas_libreria[[#This Row],[precio_eur]]/100</f>
        <v>1.49</v>
      </c>
      <c r="G1672">
        <v>149</v>
      </c>
      <c r="H1672">
        <v>1</v>
      </c>
      <c r="I1672">
        <f>ventas_libreria[[#This Row],[precio]]*ventas_libreria[[#This Row],[cantidad]]</f>
        <v>1.49</v>
      </c>
      <c r="J1672">
        <v>13</v>
      </c>
      <c r="K1672" t="s">
        <v>20</v>
      </c>
      <c r="L1672" s="1">
        <v>45586</v>
      </c>
      <c r="M1672" t="s">
        <v>43</v>
      </c>
      <c r="N1672" t="s">
        <v>32</v>
      </c>
      <c r="O1672" t="s">
        <v>33</v>
      </c>
      <c r="P1672" t="s">
        <v>50</v>
      </c>
      <c r="Q1672">
        <v>5</v>
      </c>
      <c r="R1672">
        <f>IF(ventas_libreria[[#This Row],[valoracion_cliente]]="","Sin valoración",ventas_libreria[[#This Row],[valoracion_cliente]])</f>
        <v>5</v>
      </c>
    </row>
    <row r="1673" spans="1:18" x14ac:dyDescent="0.25">
      <c r="A1673" t="s">
        <v>1949</v>
      </c>
      <c r="B1673" t="s">
        <v>181</v>
      </c>
      <c r="C1673" t="s">
        <v>182</v>
      </c>
      <c r="D1673" t="s">
        <v>183</v>
      </c>
      <c r="E1673" t="s">
        <v>116</v>
      </c>
      <c r="F1673">
        <f>ventas_libreria[[#This Row],[precio_eur]]/100</f>
        <v>1.46</v>
      </c>
      <c r="G1673">
        <v>146</v>
      </c>
      <c r="H1673">
        <v>1</v>
      </c>
      <c r="I1673">
        <f>ventas_libreria[[#This Row],[precio]]*ventas_libreria[[#This Row],[cantidad]]</f>
        <v>1.46</v>
      </c>
      <c r="J1673">
        <v>21</v>
      </c>
      <c r="K1673" t="s">
        <v>38</v>
      </c>
      <c r="L1673" s="1">
        <v>45765</v>
      </c>
      <c r="M1673" t="s">
        <v>31</v>
      </c>
      <c r="N1673" t="s">
        <v>32</v>
      </c>
      <c r="O1673" t="s">
        <v>33</v>
      </c>
      <c r="P1673" t="s">
        <v>56</v>
      </c>
      <c r="Q1673">
        <v>5</v>
      </c>
      <c r="R1673">
        <f>IF(ventas_libreria[[#This Row],[valoracion_cliente]]="","Sin valoración",ventas_libreria[[#This Row],[valoracion_cliente]])</f>
        <v>5</v>
      </c>
    </row>
    <row r="1674" spans="1:18" x14ac:dyDescent="0.25">
      <c r="A1674" t="s">
        <v>1950</v>
      </c>
      <c r="B1674" t="s">
        <v>26</v>
      </c>
      <c r="C1674" t="s">
        <v>27</v>
      </c>
      <c r="D1674" t="s">
        <v>28</v>
      </c>
      <c r="E1674" t="s">
        <v>29</v>
      </c>
      <c r="F1674">
        <f>ventas_libreria[[#This Row],[precio_eur]]/100</f>
        <v>19.84</v>
      </c>
      <c r="G1674">
        <v>1984</v>
      </c>
      <c r="H1674">
        <v>1</v>
      </c>
      <c r="I1674">
        <f>ventas_libreria[[#This Row],[precio]]*ventas_libreria[[#This Row],[cantidad]]</f>
        <v>19.84</v>
      </c>
      <c r="J1674">
        <v>41</v>
      </c>
      <c r="K1674" t="s">
        <v>20</v>
      </c>
      <c r="L1674" s="1">
        <v>45261</v>
      </c>
      <c r="M1674" t="s">
        <v>43</v>
      </c>
      <c r="N1674" t="s">
        <v>32</v>
      </c>
      <c r="O1674" t="s">
        <v>33</v>
      </c>
      <c r="P1674" t="s">
        <v>50</v>
      </c>
      <c r="Q1674">
        <v>2</v>
      </c>
      <c r="R1674">
        <f>IF(ventas_libreria[[#This Row],[valoracion_cliente]]="","Sin valoración",ventas_libreria[[#This Row],[valoracion_cliente]])</f>
        <v>2</v>
      </c>
    </row>
    <row r="1675" spans="1:18" x14ac:dyDescent="0.25">
      <c r="A1675" t="s">
        <v>1951</v>
      </c>
      <c r="B1675" t="s">
        <v>109</v>
      </c>
      <c r="C1675" t="s">
        <v>110</v>
      </c>
      <c r="D1675" t="s">
        <v>111</v>
      </c>
      <c r="E1675" t="s">
        <v>55</v>
      </c>
      <c r="F1675">
        <f>ventas_libreria[[#This Row],[precio_eur]]/100</f>
        <v>1.99</v>
      </c>
      <c r="G1675">
        <v>199</v>
      </c>
      <c r="H1675">
        <v>2</v>
      </c>
      <c r="I1675">
        <f>ventas_libreria[[#This Row],[precio]]*ventas_libreria[[#This Row],[cantidad]]</f>
        <v>3.98</v>
      </c>
      <c r="J1675">
        <v>24</v>
      </c>
      <c r="K1675" t="s">
        <v>30</v>
      </c>
      <c r="L1675" s="1">
        <v>45078</v>
      </c>
      <c r="M1675" t="s">
        <v>31</v>
      </c>
      <c r="N1675" t="s">
        <v>22</v>
      </c>
      <c r="O1675" t="s">
        <v>67</v>
      </c>
      <c r="P1675" t="s">
        <v>56</v>
      </c>
      <c r="Q1675">
        <v>5</v>
      </c>
      <c r="R1675">
        <f>IF(ventas_libreria[[#This Row],[valoracion_cliente]]="","Sin valoración",ventas_libreria[[#This Row],[valoracion_cliente]])</f>
        <v>5</v>
      </c>
    </row>
    <row r="1676" spans="1:18" x14ac:dyDescent="0.25">
      <c r="A1676" t="s">
        <v>1952</v>
      </c>
      <c r="B1676" t="s">
        <v>406</v>
      </c>
      <c r="C1676" t="s">
        <v>407</v>
      </c>
      <c r="D1676" t="s">
        <v>88</v>
      </c>
      <c r="E1676" t="s">
        <v>77</v>
      </c>
      <c r="F1676">
        <f>ventas_libreria[[#This Row],[precio_eur]]/100</f>
        <v>13.09</v>
      </c>
      <c r="G1676">
        <v>1309</v>
      </c>
      <c r="H1676">
        <v>1</v>
      </c>
      <c r="I1676">
        <f>ventas_libreria[[#This Row],[precio]]*ventas_libreria[[#This Row],[cantidad]]</f>
        <v>13.09</v>
      </c>
      <c r="J1676">
        <v>10</v>
      </c>
      <c r="K1676" t="s">
        <v>30</v>
      </c>
      <c r="L1676" s="1">
        <v>45132</v>
      </c>
      <c r="M1676" t="s">
        <v>21</v>
      </c>
      <c r="N1676" t="s">
        <v>32</v>
      </c>
      <c r="O1676" t="s">
        <v>33</v>
      </c>
      <c r="P1676" t="s">
        <v>56</v>
      </c>
      <c r="Q1676">
        <v>3</v>
      </c>
      <c r="R1676">
        <f>IF(ventas_libreria[[#This Row],[valoracion_cliente]]="","Sin valoración",ventas_libreria[[#This Row],[valoracion_cliente]])</f>
        <v>3</v>
      </c>
    </row>
    <row r="1677" spans="1:18" x14ac:dyDescent="0.25">
      <c r="A1677" t="s">
        <v>1953</v>
      </c>
      <c r="B1677" t="s">
        <v>80</v>
      </c>
      <c r="C1677" t="s">
        <v>81</v>
      </c>
      <c r="D1677" t="s">
        <v>82</v>
      </c>
      <c r="E1677" t="s">
        <v>83</v>
      </c>
      <c r="F1677">
        <f>ventas_libreria[[#This Row],[precio_eur]]/100</f>
        <v>1.04</v>
      </c>
      <c r="G1677">
        <v>104</v>
      </c>
      <c r="H1677">
        <v>1</v>
      </c>
      <c r="I1677">
        <f>ventas_libreria[[#This Row],[precio]]*ventas_libreria[[#This Row],[cantidad]]</f>
        <v>1.04</v>
      </c>
      <c r="J1677">
        <v>17</v>
      </c>
      <c r="K1677" t="s">
        <v>30</v>
      </c>
      <c r="L1677" s="1">
        <v>45031</v>
      </c>
      <c r="M1677" t="s">
        <v>31</v>
      </c>
      <c r="N1677" t="s">
        <v>22</v>
      </c>
      <c r="O1677" t="s">
        <v>98</v>
      </c>
      <c r="P1677" t="s">
        <v>84</v>
      </c>
      <c r="Q1677">
        <v>3</v>
      </c>
      <c r="R1677">
        <f>IF(ventas_libreria[[#This Row],[valoracion_cliente]]="","Sin valoración",ventas_libreria[[#This Row],[valoracion_cliente]])</f>
        <v>3</v>
      </c>
    </row>
    <row r="1678" spans="1:18" x14ac:dyDescent="0.25">
      <c r="A1678" t="s">
        <v>1954</v>
      </c>
      <c r="B1678" t="s">
        <v>418</v>
      </c>
      <c r="C1678" t="s">
        <v>419</v>
      </c>
      <c r="D1678" t="s">
        <v>420</v>
      </c>
      <c r="E1678" t="s">
        <v>149</v>
      </c>
      <c r="F1678">
        <f>ventas_libreria[[#This Row],[precio_eur]]/100</f>
        <v>15.21</v>
      </c>
      <c r="G1678">
        <v>1521</v>
      </c>
      <c r="H1678">
        <v>1</v>
      </c>
      <c r="I1678">
        <f>ventas_libreria[[#This Row],[precio]]*ventas_libreria[[#This Row],[cantidad]]</f>
        <v>15.21</v>
      </c>
      <c r="J1678">
        <v>33</v>
      </c>
      <c r="K1678" t="s">
        <v>38</v>
      </c>
      <c r="L1678" s="1">
        <v>45323</v>
      </c>
      <c r="M1678" t="s">
        <v>21</v>
      </c>
      <c r="N1678" t="s">
        <v>32</v>
      </c>
      <c r="O1678" t="s">
        <v>33</v>
      </c>
      <c r="P1678" t="s">
        <v>50</v>
      </c>
      <c r="Q1678">
        <v>3</v>
      </c>
      <c r="R1678">
        <f>IF(ventas_libreria[[#This Row],[valoracion_cliente]]="","Sin valoración",ventas_libreria[[#This Row],[valoracion_cliente]])</f>
        <v>3</v>
      </c>
    </row>
    <row r="1679" spans="1:18" x14ac:dyDescent="0.25">
      <c r="A1679" t="s">
        <v>1955</v>
      </c>
      <c r="B1679" t="s">
        <v>118</v>
      </c>
      <c r="C1679" t="s">
        <v>119</v>
      </c>
      <c r="D1679" t="s">
        <v>47</v>
      </c>
      <c r="E1679" t="s">
        <v>48</v>
      </c>
      <c r="F1679">
        <f>ventas_libreria[[#This Row],[precio_eur]]/100</f>
        <v>13.52</v>
      </c>
      <c r="G1679">
        <v>1352</v>
      </c>
      <c r="H1679">
        <v>1</v>
      </c>
      <c r="I1679">
        <f>ventas_libreria[[#This Row],[precio]]*ventas_libreria[[#This Row],[cantidad]]</f>
        <v>13.52</v>
      </c>
      <c r="J1679">
        <v>59</v>
      </c>
      <c r="K1679" t="s">
        <v>20</v>
      </c>
      <c r="L1679" s="1">
        <v>45078</v>
      </c>
      <c r="M1679" t="s">
        <v>31</v>
      </c>
      <c r="N1679" t="s">
        <v>32</v>
      </c>
      <c r="O1679" t="s">
        <v>33</v>
      </c>
      <c r="P1679" t="s">
        <v>84</v>
      </c>
      <c r="R1679" t="str">
        <f>IF(ventas_libreria[[#This Row],[valoracion_cliente]]="","Sin valoración",ventas_libreria[[#This Row],[valoracion_cliente]])</f>
        <v>Sin valoración</v>
      </c>
    </row>
    <row r="1680" spans="1:18" x14ac:dyDescent="0.25">
      <c r="A1680" t="s">
        <v>1956</v>
      </c>
      <c r="B1680" t="s">
        <v>197</v>
      </c>
      <c r="C1680" t="s">
        <v>198</v>
      </c>
      <c r="D1680" t="s">
        <v>199</v>
      </c>
      <c r="E1680" t="s">
        <v>55</v>
      </c>
      <c r="F1680">
        <f>ventas_libreria[[#This Row],[precio_eur]]/100</f>
        <v>15.75</v>
      </c>
      <c r="G1680">
        <v>1575</v>
      </c>
      <c r="H1680">
        <v>2</v>
      </c>
      <c r="I1680">
        <f>ventas_libreria[[#This Row],[precio]]*ventas_libreria[[#This Row],[cantidad]]</f>
        <v>31.5</v>
      </c>
      <c r="J1680">
        <v>57</v>
      </c>
      <c r="K1680" t="s">
        <v>62</v>
      </c>
      <c r="L1680" s="1">
        <v>45090</v>
      </c>
      <c r="M1680" t="s">
        <v>31</v>
      </c>
      <c r="N1680" t="s">
        <v>22</v>
      </c>
      <c r="O1680" t="s">
        <v>67</v>
      </c>
      <c r="P1680" t="s">
        <v>84</v>
      </c>
      <c r="Q1680">
        <v>5</v>
      </c>
      <c r="R1680">
        <f>IF(ventas_libreria[[#This Row],[valoracion_cliente]]="","Sin valoración",ventas_libreria[[#This Row],[valoracion_cliente]])</f>
        <v>5</v>
      </c>
    </row>
    <row r="1681" spans="1:18" x14ac:dyDescent="0.25">
      <c r="A1681" t="s">
        <v>1957</v>
      </c>
      <c r="B1681" t="s">
        <v>243</v>
      </c>
      <c r="C1681" t="s">
        <v>244</v>
      </c>
      <c r="D1681" t="s">
        <v>245</v>
      </c>
      <c r="E1681" t="s">
        <v>48</v>
      </c>
      <c r="F1681">
        <f>ventas_libreria[[#This Row],[precio_eur]]/100</f>
        <v>2.2999999999999998</v>
      </c>
      <c r="G1681">
        <v>230</v>
      </c>
      <c r="H1681">
        <v>1</v>
      </c>
      <c r="I1681">
        <f>ventas_libreria[[#This Row],[precio]]*ventas_libreria[[#This Row],[cantidad]]</f>
        <v>2.2999999999999998</v>
      </c>
      <c r="J1681">
        <v>21</v>
      </c>
      <c r="K1681" t="s">
        <v>62</v>
      </c>
      <c r="L1681" s="1">
        <v>44951</v>
      </c>
      <c r="M1681" t="s">
        <v>43</v>
      </c>
      <c r="N1681" t="s">
        <v>32</v>
      </c>
      <c r="O1681" t="s">
        <v>33</v>
      </c>
      <c r="P1681" t="s">
        <v>34</v>
      </c>
      <c r="R1681" t="str">
        <f>IF(ventas_libreria[[#This Row],[valoracion_cliente]]="","Sin valoración",ventas_libreria[[#This Row],[valoracion_cliente]])</f>
        <v>Sin valoración</v>
      </c>
    </row>
    <row r="1682" spans="1:18" x14ac:dyDescent="0.25">
      <c r="A1682" t="s">
        <v>1958</v>
      </c>
      <c r="B1682" t="s">
        <v>466</v>
      </c>
      <c r="C1682" t="s">
        <v>467</v>
      </c>
      <c r="D1682" t="s">
        <v>468</v>
      </c>
      <c r="E1682" t="s">
        <v>154</v>
      </c>
      <c r="F1682">
        <f>ventas_libreria[[#This Row],[precio_eur]]/100</f>
        <v>19.84</v>
      </c>
      <c r="G1682">
        <v>1984</v>
      </c>
      <c r="H1682">
        <v>1</v>
      </c>
      <c r="I1682">
        <f>ventas_libreria[[#This Row],[precio]]*ventas_libreria[[#This Row],[cantidad]]</f>
        <v>19.84</v>
      </c>
      <c r="J1682">
        <v>26</v>
      </c>
      <c r="K1682" t="s">
        <v>62</v>
      </c>
      <c r="L1682" s="1">
        <v>45502</v>
      </c>
      <c r="M1682" t="s">
        <v>43</v>
      </c>
      <c r="N1682" t="s">
        <v>32</v>
      </c>
      <c r="O1682" t="s">
        <v>33</v>
      </c>
      <c r="P1682" t="s">
        <v>24</v>
      </c>
      <c r="Q1682">
        <v>3</v>
      </c>
      <c r="R1682">
        <f>IF(ventas_libreria[[#This Row],[valoracion_cliente]]="","Sin valoración",ventas_libreria[[#This Row],[valoracion_cliente]])</f>
        <v>3</v>
      </c>
    </row>
    <row r="1683" spans="1:18" x14ac:dyDescent="0.25">
      <c r="A1683" t="s">
        <v>1959</v>
      </c>
      <c r="B1683" t="s">
        <v>228</v>
      </c>
      <c r="C1683" t="s">
        <v>229</v>
      </c>
      <c r="D1683" t="s">
        <v>206</v>
      </c>
      <c r="E1683" t="s">
        <v>116</v>
      </c>
      <c r="F1683">
        <f>ventas_libreria[[#This Row],[precio_eur]]/100</f>
        <v>17.010000000000002</v>
      </c>
      <c r="G1683">
        <v>1701</v>
      </c>
      <c r="H1683">
        <v>1</v>
      </c>
      <c r="I1683">
        <f>ventas_libreria[[#This Row],[precio]]*ventas_libreria[[#This Row],[cantidad]]</f>
        <v>17.010000000000002</v>
      </c>
      <c r="J1683">
        <v>21</v>
      </c>
      <c r="K1683" t="s">
        <v>30</v>
      </c>
      <c r="L1683" s="1">
        <v>45271</v>
      </c>
      <c r="M1683" t="s">
        <v>21</v>
      </c>
      <c r="N1683" t="s">
        <v>22</v>
      </c>
      <c r="O1683" t="s">
        <v>23</v>
      </c>
      <c r="P1683" t="s">
        <v>24</v>
      </c>
      <c r="Q1683">
        <v>5</v>
      </c>
      <c r="R1683">
        <f>IF(ventas_libreria[[#This Row],[valoracion_cliente]]="","Sin valoración",ventas_libreria[[#This Row],[valoracion_cliente]])</f>
        <v>5</v>
      </c>
    </row>
    <row r="1684" spans="1:18" x14ac:dyDescent="0.25">
      <c r="A1684" t="s">
        <v>1960</v>
      </c>
      <c r="B1684" t="s">
        <v>228</v>
      </c>
      <c r="C1684" t="s">
        <v>229</v>
      </c>
      <c r="D1684" t="s">
        <v>206</v>
      </c>
      <c r="E1684" t="s">
        <v>116</v>
      </c>
      <c r="F1684">
        <f>ventas_libreria[[#This Row],[precio_eur]]/100</f>
        <v>1.89</v>
      </c>
      <c r="G1684">
        <v>189</v>
      </c>
      <c r="H1684">
        <v>1</v>
      </c>
      <c r="I1684">
        <f>ventas_libreria[[#This Row],[precio]]*ventas_libreria[[#This Row],[cantidad]]</f>
        <v>1.89</v>
      </c>
      <c r="J1684">
        <v>29</v>
      </c>
      <c r="K1684" t="s">
        <v>20</v>
      </c>
      <c r="L1684" s="1">
        <v>45957</v>
      </c>
      <c r="M1684" t="s">
        <v>21</v>
      </c>
      <c r="N1684" t="s">
        <v>32</v>
      </c>
      <c r="O1684" t="s">
        <v>33</v>
      </c>
      <c r="P1684" t="s">
        <v>84</v>
      </c>
      <c r="Q1684">
        <v>5</v>
      </c>
      <c r="R1684">
        <f>IF(ventas_libreria[[#This Row],[valoracion_cliente]]="","Sin valoración",ventas_libreria[[#This Row],[valoracion_cliente]])</f>
        <v>5</v>
      </c>
    </row>
    <row r="1685" spans="1:18" x14ac:dyDescent="0.25">
      <c r="A1685" t="s">
        <v>1961</v>
      </c>
      <c r="B1685" t="s">
        <v>208</v>
      </c>
      <c r="C1685" t="s">
        <v>209</v>
      </c>
      <c r="D1685" t="s">
        <v>106</v>
      </c>
      <c r="E1685" t="s">
        <v>107</v>
      </c>
      <c r="F1685">
        <f>ventas_libreria[[#This Row],[precio_eur]]/100</f>
        <v>1.49</v>
      </c>
      <c r="G1685">
        <v>149</v>
      </c>
      <c r="H1685">
        <v>1</v>
      </c>
      <c r="I1685">
        <f>ventas_libreria[[#This Row],[precio]]*ventas_libreria[[#This Row],[cantidad]]</f>
        <v>1.49</v>
      </c>
      <c r="J1685">
        <v>15</v>
      </c>
      <c r="K1685" t="s">
        <v>38</v>
      </c>
      <c r="L1685" s="1">
        <v>45697</v>
      </c>
      <c r="M1685" t="s">
        <v>31</v>
      </c>
      <c r="N1685" t="s">
        <v>32</v>
      </c>
      <c r="O1685" t="s">
        <v>33</v>
      </c>
      <c r="P1685" t="s">
        <v>56</v>
      </c>
      <c r="Q1685">
        <v>5</v>
      </c>
      <c r="R1685">
        <f>IF(ventas_libreria[[#This Row],[valoracion_cliente]]="","Sin valoración",ventas_libreria[[#This Row],[valoracion_cliente]])</f>
        <v>5</v>
      </c>
    </row>
    <row r="1686" spans="1:18" x14ac:dyDescent="0.25">
      <c r="A1686" t="s">
        <v>1962</v>
      </c>
      <c r="B1686" t="s">
        <v>74</v>
      </c>
      <c r="C1686" t="s">
        <v>75</v>
      </c>
      <c r="D1686" t="s">
        <v>76</v>
      </c>
      <c r="E1686" t="s">
        <v>77</v>
      </c>
      <c r="F1686">
        <f>ventas_libreria[[#This Row],[precio_eur]]/100</f>
        <v>1.59</v>
      </c>
      <c r="G1686">
        <v>159</v>
      </c>
      <c r="H1686">
        <v>3</v>
      </c>
      <c r="I1686">
        <f>ventas_libreria[[#This Row],[precio]]*ventas_libreria[[#This Row],[cantidad]]</f>
        <v>4.7700000000000005</v>
      </c>
      <c r="J1686">
        <v>7</v>
      </c>
      <c r="K1686" t="s">
        <v>38</v>
      </c>
      <c r="L1686" s="1">
        <v>45410</v>
      </c>
      <c r="M1686" t="s">
        <v>43</v>
      </c>
      <c r="N1686" t="s">
        <v>32</v>
      </c>
      <c r="O1686" t="s">
        <v>33</v>
      </c>
      <c r="P1686" t="s">
        <v>50</v>
      </c>
      <c r="Q1686">
        <v>2</v>
      </c>
      <c r="R1686">
        <f>IF(ventas_libreria[[#This Row],[valoracion_cliente]]="","Sin valoración",ventas_libreria[[#This Row],[valoracion_cliente]])</f>
        <v>2</v>
      </c>
    </row>
    <row r="1687" spans="1:18" x14ac:dyDescent="0.25">
      <c r="A1687" t="s">
        <v>1963</v>
      </c>
      <c r="B1687" t="s">
        <v>104</v>
      </c>
      <c r="C1687" t="s">
        <v>105</v>
      </c>
      <c r="D1687" t="s">
        <v>106</v>
      </c>
      <c r="E1687" t="s">
        <v>107</v>
      </c>
      <c r="F1687">
        <f>ventas_libreria[[#This Row],[precio_eur]]/100</f>
        <v>1.49</v>
      </c>
      <c r="G1687">
        <v>149</v>
      </c>
      <c r="H1687">
        <v>1</v>
      </c>
      <c r="I1687">
        <f>ventas_libreria[[#This Row],[precio]]*ventas_libreria[[#This Row],[cantidad]]</f>
        <v>1.49</v>
      </c>
      <c r="J1687">
        <v>22</v>
      </c>
      <c r="K1687" t="s">
        <v>20</v>
      </c>
      <c r="L1687" s="1">
        <v>45922</v>
      </c>
      <c r="M1687" t="s">
        <v>31</v>
      </c>
      <c r="N1687" t="s">
        <v>22</v>
      </c>
      <c r="O1687" t="s">
        <v>98</v>
      </c>
      <c r="P1687" t="s">
        <v>84</v>
      </c>
      <c r="Q1687">
        <v>3</v>
      </c>
      <c r="R1687">
        <f>IF(ventas_libreria[[#This Row],[valoracion_cliente]]="","Sin valoración",ventas_libreria[[#This Row],[valoracion_cliente]])</f>
        <v>3</v>
      </c>
    </row>
    <row r="1688" spans="1:18" x14ac:dyDescent="0.25">
      <c r="A1688" t="s">
        <v>1964</v>
      </c>
      <c r="B1688" t="s">
        <v>403</v>
      </c>
      <c r="C1688" t="s">
        <v>404</v>
      </c>
      <c r="D1688" t="s">
        <v>123</v>
      </c>
      <c r="E1688" t="s">
        <v>48</v>
      </c>
      <c r="F1688">
        <f>ventas_libreria[[#This Row],[precio_eur]]/100</f>
        <v>32.89</v>
      </c>
      <c r="G1688">
        <v>3289</v>
      </c>
      <c r="H1688">
        <v>2</v>
      </c>
      <c r="I1688">
        <f>ventas_libreria[[#This Row],[precio]]*ventas_libreria[[#This Row],[cantidad]]</f>
        <v>65.78</v>
      </c>
      <c r="J1688">
        <v>54</v>
      </c>
      <c r="K1688" t="s">
        <v>20</v>
      </c>
      <c r="L1688" s="1">
        <v>45508</v>
      </c>
      <c r="M1688" t="s">
        <v>21</v>
      </c>
      <c r="N1688" t="s">
        <v>22</v>
      </c>
      <c r="O1688" t="s">
        <v>49</v>
      </c>
      <c r="P1688" t="s">
        <v>50</v>
      </c>
      <c r="Q1688">
        <v>4</v>
      </c>
      <c r="R1688">
        <f>IF(ventas_libreria[[#This Row],[valoracion_cliente]]="","Sin valoración",ventas_libreria[[#This Row],[valoracion_cliente]])</f>
        <v>4</v>
      </c>
    </row>
    <row r="1689" spans="1:18" x14ac:dyDescent="0.25">
      <c r="A1689" t="s">
        <v>1965</v>
      </c>
      <c r="B1689" t="s">
        <v>236</v>
      </c>
      <c r="C1689" t="s">
        <v>237</v>
      </c>
      <c r="D1689" t="s">
        <v>238</v>
      </c>
      <c r="E1689" t="s">
        <v>29</v>
      </c>
      <c r="F1689">
        <f>ventas_libreria[[#This Row],[precio_eur]]/100</f>
        <v>16.11</v>
      </c>
      <c r="G1689">
        <v>1611</v>
      </c>
      <c r="H1689">
        <v>2</v>
      </c>
      <c r="I1689">
        <f>ventas_libreria[[#This Row],[precio]]*ventas_libreria[[#This Row],[cantidad]]</f>
        <v>32.22</v>
      </c>
      <c r="J1689">
        <v>75</v>
      </c>
      <c r="K1689" t="s">
        <v>38</v>
      </c>
      <c r="L1689" s="1">
        <v>45048</v>
      </c>
      <c r="M1689" t="s">
        <v>43</v>
      </c>
      <c r="N1689" t="s">
        <v>32</v>
      </c>
      <c r="O1689" t="s">
        <v>33</v>
      </c>
      <c r="P1689" t="s">
        <v>50</v>
      </c>
      <c r="Q1689">
        <v>5</v>
      </c>
      <c r="R1689">
        <f>IF(ventas_libreria[[#This Row],[valoracion_cliente]]="","Sin valoración",ventas_libreria[[#This Row],[valoracion_cliente]])</f>
        <v>5</v>
      </c>
    </row>
    <row r="1690" spans="1:18" x14ac:dyDescent="0.25">
      <c r="A1690" t="s">
        <v>1966</v>
      </c>
      <c r="B1690" t="s">
        <v>40</v>
      </c>
      <c r="C1690" t="s">
        <v>41</v>
      </c>
      <c r="D1690" t="s">
        <v>42</v>
      </c>
      <c r="E1690" t="s">
        <v>19</v>
      </c>
      <c r="F1690">
        <f>ventas_libreria[[#This Row],[precio_eur]]/100</f>
        <v>1.29</v>
      </c>
      <c r="G1690">
        <v>129</v>
      </c>
      <c r="H1690">
        <v>2</v>
      </c>
      <c r="I1690">
        <f>ventas_libreria[[#This Row],[precio]]*ventas_libreria[[#This Row],[cantidad]]</f>
        <v>2.58</v>
      </c>
      <c r="J1690">
        <v>61</v>
      </c>
      <c r="K1690" t="s">
        <v>38</v>
      </c>
      <c r="L1690" s="1">
        <v>45622</v>
      </c>
      <c r="M1690" t="s">
        <v>43</v>
      </c>
      <c r="N1690" t="s">
        <v>32</v>
      </c>
      <c r="O1690" t="s">
        <v>33</v>
      </c>
      <c r="P1690" t="s">
        <v>84</v>
      </c>
      <c r="Q1690">
        <v>2</v>
      </c>
      <c r="R1690">
        <f>IF(ventas_libreria[[#This Row],[valoracion_cliente]]="","Sin valoración",ventas_libreria[[#This Row],[valoracion_cliente]])</f>
        <v>2</v>
      </c>
    </row>
    <row r="1691" spans="1:18" x14ac:dyDescent="0.25">
      <c r="A1691" t="s">
        <v>1967</v>
      </c>
      <c r="B1691" t="s">
        <v>375</v>
      </c>
      <c r="C1691" t="s">
        <v>376</v>
      </c>
      <c r="D1691" t="s">
        <v>377</v>
      </c>
      <c r="E1691" t="s">
        <v>29</v>
      </c>
      <c r="F1691">
        <f>ventas_libreria[[#This Row],[precio_eur]]/100</f>
        <v>17.489999999999998</v>
      </c>
      <c r="G1691">
        <v>1749</v>
      </c>
      <c r="H1691">
        <v>1</v>
      </c>
      <c r="I1691">
        <f>ventas_libreria[[#This Row],[precio]]*ventas_libreria[[#This Row],[cantidad]]</f>
        <v>17.489999999999998</v>
      </c>
      <c r="J1691">
        <v>20</v>
      </c>
      <c r="K1691" t="s">
        <v>30</v>
      </c>
      <c r="L1691" s="1">
        <v>44963</v>
      </c>
      <c r="M1691" t="s">
        <v>31</v>
      </c>
      <c r="N1691" t="s">
        <v>22</v>
      </c>
      <c r="O1691" t="s">
        <v>132</v>
      </c>
      <c r="P1691" t="s">
        <v>84</v>
      </c>
      <c r="Q1691">
        <v>4</v>
      </c>
      <c r="R1691">
        <f>IF(ventas_libreria[[#This Row],[valoracion_cliente]]="","Sin valoración",ventas_libreria[[#This Row],[valoracion_cliente]])</f>
        <v>4</v>
      </c>
    </row>
    <row r="1692" spans="1:18" x14ac:dyDescent="0.25">
      <c r="A1692" t="s">
        <v>1968</v>
      </c>
      <c r="B1692" t="s">
        <v>58</v>
      </c>
      <c r="C1692" t="s">
        <v>59</v>
      </c>
      <c r="D1692" t="s">
        <v>60</v>
      </c>
      <c r="E1692" t="s">
        <v>61</v>
      </c>
      <c r="F1692">
        <f>ventas_libreria[[#This Row],[precio_eur]]/100</f>
        <v>1.29</v>
      </c>
      <c r="G1692">
        <v>129</v>
      </c>
      <c r="H1692">
        <v>1</v>
      </c>
      <c r="I1692">
        <f>ventas_libreria[[#This Row],[precio]]*ventas_libreria[[#This Row],[cantidad]]</f>
        <v>1.29</v>
      </c>
      <c r="J1692">
        <v>30</v>
      </c>
      <c r="K1692" t="s">
        <v>38</v>
      </c>
      <c r="L1692" s="1">
        <v>44947</v>
      </c>
      <c r="M1692" t="s">
        <v>31</v>
      </c>
      <c r="N1692" t="s">
        <v>32</v>
      </c>
      <c r="O1692" t="s">
        <v>33</v>
      </c>
      <c r="P1692" t="s">
        <v>50</v>
      </c>
      <c r="Q1692">
        <v>5</v>
      </c>
      <c r="R1692">
        <f>IF(ventas_libreria[[#This Row],[valoracion_cliente]]="","Sin valoración",ventas_libreria[[#This Row],[valoracion_cliente]])</f>
        <v>5</v>
      </c>
    </row>
    <row r="1693" spans="1:18" x14ac:dyDescent="0.25">
      <c r="A1693" t="s">
        <v>1969</v>
      </c>
      <c r="B1693" t="s">
        <v>104</v>
      </c>
      <c r="C1693" t="s">
        <v>105</v>
      </c>
      <c r="D1693" t="s">
        <v>106</v>
      </c>
      <c r="E1693" t="s">
        <v>107</v>
      </c>
      <c r="F1693">
        <f>ventas_libreria[[#This Row],[precio_eur]]/100</f>
        <v>13.41</v>
      </c>
      <c r="G1693">
        <v>1341</v>
      </c>
      <c r="H1693">
        <v>1</v>
      </c>
      <c r="I1693">
        <f>ventas_libreria[[#This Row],[precio]]*ventas_libreria[[#This Row],[cantidad]]</f>
        <v>13.41</v>
      </c>
      <c r="J1693">
        <v>15</v>
      </c>
      <c r="K1693" t="s">
        <v>38</v>
      </c>
      <c r="L1693" s="1">
        <v>45471</v>
      </c>
      <c r="M1693" t="s">
        <v>21</v>
      </c>
      <c r="N1693" t="s">
        <v>32</v>
      </c>
      <c r="O1693" t="s">
        <v>33</v>
      </c>
      <c r="P1693" t="s">
        <v>34</v>
      </c>
      <c r="Q1693">
        <v>5</v>
      </c>
      <c r="R1693">
        <f>IF(ventas_libreria[[#This Row],[valoracion_cliente]]="","Sin valoración",ventas_libreria[[#This Row],[valoracion_cliente]])</f>
        <v>5</v>
      </c>
    </row>
    <row r="1694" spans="1:18" x14ac:dyDescent="0.25">
      <c r="A1694" t="s">
        <v>1970</v>
      </c>
      <c r="B1694" t="s">
        <v>211</v>
      </c>
      <c r="C1694" t="s">
        <v>212</v>
      </c>
      <c r="D1694" t="s">
        <v>131</v>
      </c>
      <c r="E1694" t="s">
        <v>107</v>
      </c>
      <c r="F1694">
        <f>ventas_libreria[[#This Row],[precio_eur]]/100</f>
        <v>1.69</v>
      </c>
      <c r="G1694">
        <v>169</v>
      </c>
      <c r="H1694">
        <v>1</v>
      </c>
      <c r="I1694">
        <f>ventas_libreria[[#This Row],[precio]]*ventas_libreria[[#This Row],[cantidad]]</f>
        <v>1.69</v>
      </c>
      <c r="J1694">
        <v>21</v>
      </c>
      <c r="K1694" t="s">
        <v>20</v>
      </c>
      <c r="L1694" s="1">
        <v>45335</v>
      </c>
      <c r="M1694" t="s">
        <v>43</v>
      </c>
      <c r="N1694" t="s">
        <v>32</v>
      </c>
      <c r="O1694" t="s">
        <v>33</v>
      </c>
      <c r="P1694" t="s">
        <v>56</v>
      </c>
      <c r="R1694" t="str">
        <f>IF(ventas_libreria[[#This Row],[valoracion_cliente]]="","Sin valoración",ventas_libreria[[#This Row],[valoracion_cliente]])</f>
        <v>Sin valoración</v>
      </c>
    </row>
    <row r="1695" spans="1:18" x14ac:dyDescent="0.25">
      <c r="A1695" t="s">
        <v>1971</v>
      </c>
      <c r="B1695" t="s">
        <v>74</v>
      </c>
      <c r="C1695" t="s">
        <v>75</v>
      </c>
      <c r="D1695" t="s">
        <v>76</v>
      </c>
      <c r="E1695" t="s">
        <v>77</v>
      </c>
      <c r="F1695">
        <f>ventas_libreria[[#This Row],[precio_eur]]/100</f>
        <v>1.59</v>
      </c>
      <c r="G1695">
        <v>159</v>
      </c>
      <c r="H1695">
        <v>1</v>
      </c>
      <c r="I1695">
        <f>ventas_libreria[[#This Row],[precio]]*ventas_libreria[[#This Row],[cantidad]]</f>
        <v>1.59</v>
      </c>
      <c r="J1695">
        <v>5</v>
      </c>
      <c r="K1695" t="s">
        <v>20</v>
      </c>
      <c r="L1695" s="1">
        <v>45707</v>
      </c>
      <c r="M1695" t="s">
        <v>31</v>
      </c>
      <c r="N1695" t="s">
        <v>32</v>
      </c>
      <c r="O1695" t="s">
        <v>33</v>
      </c>
      <c r="P1695" t="s">
        <v>24</v>
      </c>
      <c r="R1695" t="str">
        <f>IF(ventas_libreria[[#This Row],[valoracion_cliente]]="","Sin valoración",ventas_libreria[[#This Row],[valoracion_cliente]])</f>
        <v>Sin valoración</v>
      </c>
    </row>
    <row r="1696" spans="1:18" x14ac:dyDescent="0.25">
      <c r="A1696" t="s">
        <v>1972</v>
      </c>
      <c r="B1696" t="s">
        <v>58</v>
      </c>
      <c r="C1696" t="s">
        <v>59</v>
      </c>
      <c r="D1696" t="s">
        <v>60</v>
      </c>
      <c r="E1696" t="s">
        <v>61</v>
      </c>
      <c r="F1696">
        <f>ventas_libreria[[#This Row],[precio_eur]]/100</f>
        <v>10.32</v>
      </c>
      <c r="G1696">
        <v>1032</v>
      </c>
      <c r="H1696">
        <v>2</v>
      </c>
      <c r="I1696">
        <f>ventas_libreria[[#This Row],[precio]]*ventas_libreria[[#This Row],[cantidad]]</f>
        <v>20.64</v>
      </c>
      <c r="J1696">
        <v>20</v>
      </c>
      <c r="K1696" t="s">
        <v>62</v>
      </c>
      <c r="L1696" s="1">
        <v>45013</v>
      </c>
      <c r="M1696" t="s">
        <v>31</v>
      </c>
      <c r="N1696" t="s">
        <v>32</v>
      </c>
      <c r="O1696" t="s">
        <v>33</v>
      </c>
      <c r="P1696" t="s">
        <v>24</v>
      </c>
      <c r="Q1696">
        <v>5</v>
      </c>
      <c r="R1696">
        <f>IF(ventas_libreria[[#This Row],[valoracion_cliente]]="","Sin valoración",ventas_libreria[[#This Row],[valoracion_cliente]])</f>
        <v>5</v>
      </c>
    </row>
    <row r="1697" spans="1:18" x14ac:dyDescent="0.25">
      <c r="A1697" t="s">
        <v>1973</v>
      </c>
      <c r="B1697" t="s">
        <v>74</v>
      </c>
      <c r="C1697" t="s">
        <v>75</v>
      </c>
      <c r="D1697" t="s">
        <v>76</v>
      </c>
      <c r="E1697" t="s">
        <v>77</v>
      </c>
      <c r="F1697">
        <f>ventas_libreria[[#This Row],[precio_eur]]/100</f>
        <v>12.72</v>
      </c>
      <c r="G1697">
        <v>1272</v>
      </c>
      <c r="H1697">
        <v>1</v>
      </c>
      <c r="I1697">
        <f>ventas_libreria[[#This Row],[precio]]*ventas_libreria[[#This Row],[cantidad]]</f>
        <v>12.72</v>
      </c>
      <c r="J1697">
        <v>6</v>
      </c>
      <c r="K1697" t="s">
        <v>62</v>
      </c>
      <c r="L1697" s="1">
        <v>45009</v>
      </c>
      <c r="M1697" t="s">
        <v>21</v>
      </c>
      <c r="N1697" t="s">
        <v>22</v>
      </c>
      <c r="O1697" t="s">
        <v>67</v>
      </c>
      <c r="P1697" t="s">
        <v>24</v>
      </c>
      <c r="Q1697">
        <v>5</v>
      </c>
      <c r="R1697">
        <f>IF(ventas_libreria[[#This Row],[valoracion_cliente]]="","Sin valoración",ventas_libreria[[#This Row],[valoracion_cliente]])</f>
        <v>5</v>
      </c>
    </row>
    <row r="1698" spans="1:18" x14ac:dyDescent="0.25">
      <c r="A1698" t="s">
        <v>1974</v>
      </c>
      <c r="B1698" t="s">
        <v>146</v>
      </c>
      <c r="C1698" t="s">
        <v>147</v>
      </c>
      <c r="D1698" t="s">
        <v>148</v>
      </c>
      <c r="E1698" t="s">
        <v>149</v>
      </c>
      <c r="F1698">
        <f>ventas_libreria[[#This Row],[precio_eur]]/100</f>
        <v>1.59</v>
      </c>
      <c r="G1698">
        <v>159</v>
      </c>
      <c r="H1698">
        <v>2</v>
      </c>
      <c r="I1698">
        <f>ventas_libreria[[#This Row],[precio]]*ventas_libreria[[#This Row],[cantidad]]</f>
        <v>3.18</v>
      </c>
      <c r="J1698">
        <v>17</v>
      </c>
      <c r="K1698" t="s">
        <v>62</v>
      </c>
      <c r="L1698" s="1">
        <v>45551</v>
      </c>
      <c r="M1698" t="s">
        <v>21</v>
      </c>
      <c r="N1698" t="s">
        <v>32</v>
      </c>
      <c r="O1698" t="s">
        <v>33</v>
      </c>
      <c r="P1698" t="s">
        <v>84</v>
      </c>
      <c r="Q1698">
        <v>1</v>
      </c>
      <c r="R1698">
        <f>IF(ventas_libreria[[#This Row],[valoracion_cliente]]="","Sin valoración",ventas_libreria[[#This Row],[valoracion_cliente]])</f>
        <v>1</v>
      </c>
    </row>
    <row r="1699" spans="1:18" x14ac:dyDescent="0.25">
      <c r="A1699" t="s">
        <v>1975</v>
      </c>
      <c r="B1699" t="s">
        <v>243</v>
      </c>
      <c r="C1699" t="s">
        <v>244</v>
      </c>
      <c r="D1699" t="s">
        <v>245</v>
      </c>
      <c r="E1699" t="s">
        <v>48</v>
      </c>
      <c r="F1699">
        <f>ventas_libreria[[#This Row],[precio_eur]]/100</f>
        <v>2.19</v>
      </c>
      <c r="G1699">
        <v>219</v>
      </c>
      <c r="H1699">
        <v>1</v>
      </c>
      <c r="I1699">
        <f>ventas_libreria[[#This Row],[precio]]*ventas_libreria[[#This Row],[cantidad]]</f>
        <v>2.19</v>
      </c>
      <c r="J1699">
        <v>58</v>
      </c>
      <c r="K1699" t="s">
        <v>62</v>
      </c>
      <c r="L1699" s="1">
        <v>45671</v>
      </c>
      <c r="M1699" t="s">
        <v>31</v>
      </c>
      <c r="N1699" t="s">
        <v>22</v>
      </c>
      <c r="O1699" t="s">
        <v>49</v>
      </c>
      <c r="P1699" t="s">
        <v>24</v>
      </c>
      <c r="Q1699">
        <v>5</v>
      </c>
      <c r="R1699">
        <f>IF(ventas_libreria[[#This Row],[valoracion_cliente]]="","Sin valoración",ventas_libreria[[#This Row],[valoracion_cliente]])</f>
        <v>5</v>
      </c>
    </row>
    <row r="1700" spans="1:18" x14ac:dyDescent="0.25">
      <c r="A1700" t="s">
        <v>1976</v>
      </c>
      <c r="B1700" t="s">
        <v>541</v>
      </c>
      <c r="C1700" t="s">
        <v>542</v>
      </c>
      <c r="D1700" t="s">
        <v>131</v>
      </c>
      <c r="E1700" t="s">
        <v>107</v>
      </c>
      <c r="F1700">
        <f>ventas_libreria[[#This Row],[precio_eur]]/100</f>
        <v>1.67</v>
      </c>
      <c r="G1700">
        <v>167</v>
      </c>
      <c r="H1700">
        <v>2</v>
      </c>
      <c r="I1700">
        <f>ventas_libreria[[#This Row],[precio]]*ventas_libreria[[#This Row],[cantidad]]</f>
        <v>3.34</v>
      </c>
      <c r="J1700">
        <v>10</v>
      </c>
      <c r="K1700" t="s">
        <v>62</v>
      </c>
      <c r="L1700" s="1">
        <v>45382</v>
      </c>
      <c r="M1700" t="s">
        <v>21</v>
      </c>
      <c r="N1700" t="s">
        <v>22</v>
      </c>
      <c r="O1700" t="s">
        <v>67</v>
      </c>
      <c r="P1700" t="s">
        <v>34</v>
      </c>
      <c r="Q1700">
        <v>5</v>
      </c>
      <c r="R1700">
        <f>IF(ventas_libreria[[#This Row],[valoracion_cliente]]="","Sin valoración",ventas_libreria[[#This Row],[valoracion_cliente]])</f>
        <v>5</v>
      </c>
    </row>
    <row r="1701" spans="1:18" x14ac:dyDescent="0.25">
      <c r="A1701" t="s">
        <v>1977</v>
      </c>
      <c r="B1701" t="s">
        <v>197</v>
      </c>
      <c r="C1701" t="s">
        <v>198</v>
      </c>
      <c r="D1701" t="s">
        <v>199</v>
      </c>
      <c r="E1701" t="s">
        <v>55</v>
      </c>
      <c r="F1701">
        <f>ventas_libreria[[#This Row],[precio_eur]]/100</f>
        <v>19.25</v>
      </c>
      <c r="G1701">
        <v>1925</v>
      </c>
      <c r="H1701">
        <v>1</v>
      </c>
      <c r="I1701">
        <f>ventas_libreria[[#This Row],[precio]]*ventas_libreria[[#This Row],[cantidad]]</f>
        <v>19.25</v>
      </c>
      <c r="J1701">
        <v>57</v>
      </c>
      <c r="K1701" t="s">
        <v>62</v>
      </c>
      <c r="L1701" s="1">
        <v>45350</v>
      </c>
      <c r="M1701" t="s">
        <v>21</v>
      </c>
      <c r="N1701" t="s">
        <v>22</v>
      </c>
      <c r="O1701" t="s">
        <v>49</v>
      </c>
      <c r="P1701" t="s">
        <v>34</v>
      </c>
      <c r="Q1701">
        <v>5</v>
      </c>
      <c r="R1701">
        <f>IF(ventas_libreria[[#This Row],[valoracion_cliente]]="","Sin valoración",ventas_libreria[[#This Row],[valoracion_cliente]])</f>
        <v>5</v>
      </c>
    </row>
    <row r="1702" spans="1:18" x14ac:dyDescent="0.25">
      <c r="A1702" t="s">
        <v>1978</v>
      </c>
      <c r="B1702" t="s">
        <v>211</v>
      </c>
      <c r="C1702" t="s">
        <v>212</v>
      </c>
      <c r="D1702" t="s">
        <v>131</v>
      </c>
      <c r="E1702" t="s">
        <v>107</v>
      </c>
      <c r="F1702">
        <f>ventas_libreria[[#This Row],[precio_eur]]/100</f>
        <v>18.59</v>
      </c>
      <c r="G1702">
        <v>1859</v>
      </c>
      <c r="H1702">
        <v>1</v>
      </c>
      <c r="I1702">
        <f>ventas_libreria[[#This Row],[precio]]*ventas_libreria[[#This Row],[cantidad]]</f>
        <v>18.59</v>
      </c>
      <c r="J1702">
        <v>12</v>
      </c>
      <c r="K1702" t="s">
        <v>62</v>
      </c>
      <c r="L1702" s="1">
        <v>46014</v>
      </c>
      <c r="M1702" t="s">
        <v>43</v>
      </c>
      <c r="N1702" t="s">
        <v>32</v>
      </c>
      <c r="O1702" t="s">
        <v>33</v>
      </c>
      <c r="P1702" t="s">
        <v>50</v>
      </c>
      <c r="Q1702">
        <v>5</v>
      </c>
      <c r="R1702">
        <f>IF(ventas_libreria[[#This Row],[valoracion_cliente]]="","Sin valoración",ventas_libreria[[#This Row],[valoracion_cliente]])</f>
        <v>5</v>
      </c>
    </row>
    <row r="1703" spans="1:18" x14ac:dyDescent="0.25">
      <c r="A1703" t="s">
        <v>1979</v>
      </c>
      <c r="B1703" t="s">
        <v>530</v>
      </c>
      <c r="C1703" t="s">
        <v>531</v>
      </c>
      <c r="D1703" t="s">
        <v>195</v>
      </c>
      <c r="E1703" t="s">
        <v>48</v>
      </c>
      <c r="F1703">
        <f>ventas_libreria[[#This Row],[precio_eur]]/100</f>
        <v>15.92</v>
      </c>
      <c r="G1703">
        <v>1592</v>
      </c>
      <c r="H1703">
        <v>2</v>
      </c>
      <c r="I1703">
        <f>ventas_libreria[[#This Row],[precio]]*ventas_libreria[[#This Row],[cantidad]]</f>
        <v>31.84</v>
      </c>
      <c r="J1703">
        <v>41</v>
      </c>
      <c r="K1703" t="s">
        <v>62</v>
      </c>
      <c r="L1703" s="1">
        <v>45270</v>
      </c>
      <c r="M1703" t="s">
        <v>31</v>
      </c>
      <c r="N1703" t="s">
        <v>32</v>
      </c>
      <c r="O1703" t="s">
        <v>33</v>
      </c>
      <c r="P1703" t="s">
        <v>84</v>
      </c>
      <c r="Q1703">
        <v>5</v>
      </c>
      <c r="R1703">
        <f>IF(ventas_libreria[[#This Row],[valoracion_cliente]]="","Sin valoración",ventas_libreria[[#This Row],[valoracion_cliente]])</f>
        <v>5</v>
      </c>
    </row>
    <row r="1704" spans="1:18" x14ac:dyDescent="0.25">
      <c r="A1704" t="s">
        <v>1980</v>
      </c>
      <c r="B1704" t="s">
        <v>240</v>
      </c>
      <c r="C1704" t="s">
        <v>241</v>
      </c>
      <c r="D1704" t="s">
        <v>54</v>
      </c>
      <c r="E1704" t="s">
        <v>172</v>
      </c>
      <c r="F1704">
        <f>ventas_libreria[[#This Row],[precio_eur]]/100</f>
        <v>1.49</v>
      </c>
      <c r="G1704">
        <v>149</v>
      </c>
      <c r="H1704">
        <v>1</v>
      </c>
      <c r="I1704">
        <f>ventas_libreria[[#This Row],[precio]]*ventas_libreria[[#This Row],[cantidad]]</f>
        <v>1.49</v>
      </c>
      <c r="J1704">
        <v>16</v>
      </c>
      <c r="K1704" t="s">
        <v>30</v>
      </c>
      <c r="L1704" s="1">
        <v>45368</v>
      </c>
      <c r="M1704" t="s">
        <v>21</v>
      </c>
      <c r="N1704" t="s">
        <v>32</v>
      </c>
      <c r="O1704" t="s">
        <v>33</v>
      </c>
      <c r="P1704" t="s">
        <v>50</v>
      </c>
      <c r="Q1704">
        <v>5</v>
      </c>
      <c r="R1704">
        <f>IF(ventas_libreria[[#This Row],[valoracion_cliente]]="","Sin valoración",ventas_libreria[[#This Row],[valoracion_cliente]])</f>
        <v>5</v>
      </c>
    </row>
    <row r="1705" spans="1:18" x14ac:dyDescent="0.25">
      <c r="A1705" t="s">
        <v>1981</v>
      </c>
      <c r="B1705" t="s">
        <v>146</v>
      </c>
      <c r="C1705" t="s">
        <v>147</v>
      </c>
      <c r="D1705" t="s">
        <v>148</v>
      </c>
      <c r="E1705" t="s">
        <v>149</v>
      </c>
      <c r="F1705">
        <f>ventas_libreria[[#This Row],[precio_eur]]/100</f>
        <v>1.59</v>
      </c>
      <c r="G1705">
        <v>159</v>
      </c>
      <c r="H1705">
        <v>1</v>
      </c>
      <c r="I1705">
        <f>ventas_libreria[[#This Row],[precio]]*ventas_libreria[[#This Row],[cantidad]]</f>
        <v>1.59</v>
      </c>
      <c r="J1705">
        <v>47</v>
      </c>
      <c r="K1705" t="s">
        <v>20</v>
      </c>
      <c r="L1705" s="1">
        <v>44989</v>
      </c>
      <c r="M1705" t="s">
        <v>21</v>
      </c>
      <c r="N1705" t="s">
        <v>22</v>
      </c>
      <c r="O1705" t="s">
        <v>98</v>
      </c>
      <c r="P1705" t="s">
        <v>50</v>
      </c>
      <c r="Q1705">
        <v>5</v>
      </c>
      <c r="R1705">
        <f>IF(ventas_libreria[[#This Row],[valoracion_cliente]]="","Sin valoración",ventas_libreria[[#This Row],[valoracion_cliente]])</f>
        <v>5</v>
      </c>
    </row>
    <row r="1706" spans="1:18" x14ac:dyDescent="0.25">
      <c r="A1706" t="s">
        <v>1982</v>
      </c>
      <c r="B1706" t="s">
        <v>165</v>
      </c>
      <c r="C1706" t="s">
        <v>166</v>
      </c>
      <c r="D1706" t="s">
        <v>167</v>
      </c>
      <c r="E1706" t="s">
        <v>61</v>
      </c>
      <c r="F1706">
        <f>ventas_libreria[[#This Row],[precio_eur]]/100</f>
        <v>1.49</v>
      </c>
      <c r="G1706">
        <v>149</v>
      </c>
      <c r="H1706">
        <v>2</v>
      </c>
      <c r="I1706">
        <f>ventas_libreria[[#This Row],[precio]]*ventas_libreria[[#This Row],[cantidad]]</f>
        <v>2.98</v>
      </c>
      <c r="J1706">
        <v>70</v>
      </c>
      <c r="K1706" t="s">
        <v>62</v>
      </c>
      <c r="L1706" s="1">
        <v>45485</v>
      </c>
      <c r="M1706" t="s">
        <v>21</v>
      </c>
      <c r="N1706" t="s">
        <v>32</v>
      </c>
      <c r="O1706" t="s">
        <v>33</v>
      </c>
      <c r="P1706" t="s">
        <v>56</v>
      </c>
      <c r="Q1706">
        <v>5</v>
      </c>
      <c r="R1706">
        <f>IF(ventas_libreria[[#This Row],[valoracion_cliente]]="","Sin valoración",ventas_libreria[[#This Row],[valoracion_cliente]])</f>
        <v>5</v>
      </c>
    </row>
    <row r="1707" spans="1:18" x14ac:dyDescent="0.25">
      <c r="A1707" t="s">
        <v>1983</v>
      </c>
      <c r="B1707" t="s">
        <v>413</v>
      </c>
      <c r="C1707" t="s">
        <v>414</v>
      </c>
      <c r="D1707" t="s">
        <v>270</v>
      </c>
      <c r="E1707" t="s">
        <v>415</v>
      </c>
      <c r="F1707">
        <f>ventas_libreria[[#This Row],[precio_eur]]/100</f>
        <v>8.42</v>
      </c>
      <c r="G1707">
        <v>842</v>
      </c>
      <c r="H1707">
        <v>3</v>
      </c>
      <c r="I1707">
        <f>ventas_libreria[[#This Row],[precio]]*ventas_libreria[[#This Row],[cantidad]]</f>
        <v>25.259999999999998</v>
      </c>
      <c r="J1707">
        <v>60</v>
      </c>
      <c r="K1707" t="s">
        <v>38</v>
      </c>
      <c r="L1707" s="1">
        <v>45214</v>
      </c>
      <c r="M1707" t="s">
        <v>43</v>
      </c>
      <c r="N1707" t="s">
        <v>32</v>
      </c>
      <c r="O1707" t="s">
        <v>33</v>
      </c>
      <c r="P1707" t="s">
        <v>34</v>
      </c>
      <c r="Q1707">
        <v>4</v>
      </c>
      <c r="R1707">
        <f>IF(ventas_libreria[[#This Row],[valoracion_cliente]]="","Sin valoración",ventas_libreria[[#This Row],[valoracion_cliente]])</f>
        <v>4</v>
      </c>
    </row>
    <row r="1708" spans="1:18" x14ac:dyDescent="0.25">
      <c r="A1708" t="s">
        <v>1984</v>
      </c>
      <c r="B1708" t="s">
        <v>91</v>
      </c>
      <c r="C1708" t="s">
        <v>92</v>
      </c>
      <c r="D1708" t="s">
        <v>93</v>
      </c>
      <c r="E1708" t="s">
        <v>72</v>
      </c>
      <c r="F1708">
        <f>ventas_libreria[[#This Row],[precio_eur]]/100</f>
        <v>11.81</v>
      </c>
      <c r="G1708">
        <v>1181</v>
      </c>
      <c r="H1708">
        <v>1</v>
      </c>
      <c r="I1708">
        <f>ventas_libreria[[#This Row],[precio]]*ventas_libreria[[#This Row],[cantidad]]</f>
        <v>11.81</v>
      </c>
      <c r="J1708">
        <v>62</v>
      </c>
      <c r="K1708" t="s">
        <v>20</v>
      </c>
      <c r="L1708" s="1">
        <v>45995</v>
      </c>
      <c r="M1708" t="s">
        <v>31</v>
      </c>
      <c r="N1708" t="s">
        <v>22</v>
      </c>
      <c r="O1708" t="s">
        <v>67</v>
      </c>
      <c r="P1708" t="s">
        <v>50</v>
      </c>
      <c r="Q1708">
        <v>1</v>
      </c>
      <c r="R1708">
        <f>IF(ventas_libreria[[#This Row],[valoracion_cliente]]="","Sin valoración",ventas_libreria[[#This Row],[valoracion_cliente]])</f>
        <v>1</v>
      </c>
    </row>
    <row r="1709" spans="1:18" x14ac:dyDescent="0.25">
      <c r="A1709" t="s">
        <v>1985</v>
      </c>
      <c r="B1709" t="s">
        <v>236</v>
      </c>
      <c r="C1709" t="s">
        <v>237</v>
      </c>
      <c r="D1709" t="s">
        <v>238</v>
      </c>
      <c r="E1709" t="s">
        <v>29</v>
      </c>
      <c r="F1709">
        <f>ventas_libreria[[#This Row],[precio_eur]]/100</f>
        <v>19.690000000000001</v>
      </c>
      <c r="G1709">
        <v>1969</v>
      </c>
      <c r="H1709">
        <v>2</v>
      </c>
      <c r="I1709">
        <f>ventas_libreria[[#This Row],[precio]]*ventas_libreria[[#This Row],[cantidad]]</f>
        <v>39.380000000000003</v>
      </c>
      <c r="J1709">
        <v>51</v>
      </c>
      <c r="K1709" t="s">
        <v>38</v>
      </c>
      <c r="L1709" s="1">
        <v>45286</v>
      </c>
      <c r="M1709" t="s">
        <v>31</v>
      </c>
      <c r="N1709" t="s">
        <v>32</v>
      </c>
      <c r="O1709" t="s">
        <v>33</v>
      </c>
      <c r="P1709" t="s">
        <v>34</v>
      </c>
      <c r="Q1709">
        <v>3</v>
      </c>
      <c r="R1709">
        <f>IF(ventas_libreria[[#This Row],[valoracion_cliente]]="","Sin valoración",ventas_libreria[[#This Row],[valoracion_cliente]])</f>
        <v>3</v>
      </c>
    </row>
    <row r="1710" spans="1:18" x14ac:dyDescent="0.25">
      <c r="A1710" t="s">
        <v>1986</v>
      </c>
      <c r="B1710" t="s">
        <v>129</v>
      </c>
      <c r="C1710" t="s">
        <v>130</v>
      </c>
      <c r="D1710" t="s">
        <v>131</v>
      </c>
      <c r="E1710" t="s">
        <v>107</v>
      </c>
      <c r="F1710">
        <f>ventas_libreria[[#This Row],[precio_eur]]/100</f>
        <v>13.52</v>
      </c>
      <c r="G1710">
        <v>1352</v>
      </c>
      <c r="H1710">
        <v>1</v>
      </c>
      <c r="I1710">
        <f>ventas_libreria[[#This Row],[precio]]*ventas_libreria[[#This Row],[cantidad]]</f>
        <v>13.52</v>
      </c>
      <c r="J1710">
        <v>12</v>
      </c>
      <c r="K1710" t="s">
        <v>30</v>
      </c>
      <c r="L1710" s="1">
        <v>45499</v>
      </c>
      <c r="M1710" t="s">
        <v>21</v>
      </c>
      <c r="N1710" t="s">
        <v>22</v>
      </c>
      <c r="O1710" t="s">
        <v>132</v>
      </c>
      <c r="P1710" t="s">
        <v>84</v>
      </c>
      <c r="Q1710">
        <v>4</v>
      </c>
      <c r="R1710">
        <f>IF(ventas_libreria[[#This Row],[valoracion_cliente]]="","Sin valoración",ventas_libreria[[#This Row],[valoracion_cliente]])</f>
        <v>4</v>
      </c>
    </row>
    <row r="1711" spans="1:18" x14ac:dyDescent="0.25">
      <c r="A1711" t="s">
        <v>1987</v>
      </c>
      <c r="B1711" t="s">
        <v>36</v>
      </c>
      <c r="C1711" t="s">
        <v>37</v>
      </c>
      <c r="D1711" t="s">
        <v>28</v>
      </c>
      <c r="E1711" t="s">
        <v>29</v>
      </c>
      <c r="F1711">
        <f>ventas_libreria[[#This Row],[precio_eur]]/100</f>
        <v>19.84</v>
      </c>
      <c r="G1711">
        <v>1984</v>
      </c>
      <c r="H1711">
        <v>1</v>
      </c>
      <c r="I1711">
        <f>ventas_libreria[[#This Row],[precio]]*ventas_libreria[[#This Row],[cantidad]]</f>
        <v>19.84</v>
      </c>
      <c r="J1711">
        <v>50</v>
      </c>
      <c r="K1711" t="s">
        <v>38</v>
      </c>
      <c r="L1711" s="1">
        <v>46007</v>
      </c>
      <c r="M1711" t="s">
        <v>43</v>
      </c>
      <c r="N1711" t="s">
        <v>32</v>
      </c>
      <c r="O1711" t="s">
        <v>33</v>
      </c>
      <c r="P1711" t="s">
        <v>84</v>
      </c>
      <c r="Q1711">
        <v>4</v>
      </c>
      <c r="R1711">
        <f>IF(ventas_libreria[[#This Row],[valoracion_cliente]]="","Sin valoración",ventas_libreria[[#This Row],[valoracion_cliente]])</f>
        <v>4</v>
      </c>
    </row>
    <row r="1712" spans="1:18" x14ac:dyDescent="0.25">
      <c r="A1712" t="s">
        <v>1988</v>
      </c>
      <c r="B1712" t="s">
        <v>64</v>
      </c>
      <c r="C1712" t="s">
        <v>65</v>
      </c>
      <c r="D1712" t="s">
        <v>66</v>
      </c>
      <c r="E1712" t="s">
        <v>29</v>
      </c>
      <c r="F1712">
        <f>ventas_libreria[[#This Row],[precio_eur]]/100</f>
        <v>14.03</v>
      </c>
      <c r="G1712">
        <v>1403</v>
      </c>
      <c r="H1712">
        <v>1</v>
      </c>
      <c r="I1712">
        <f>ventas_libreria[[#This Row],[precio]]*ventas_libreria[[#This Row],[cantidad]]</f>
        <v>14.03</v>
      </c>
      <c r="J1712">
        <v>39</v>
      </c>
      <c r="K1712" t="s">
        <v>30</v>
      </c>
      <c r="L1712" s="1">
        <v>45023</v>
      </c>
      <c r="M1712" t="s">
        <v>21</v>
      </c>
      <c r="N1712" t="s">
        <v>22</v>
      </c>
      <c r="O1712" t="s">
        <v>67</v>
      </c>
      <c r="P1712" t="s">
        <v>34</v>
      </c>
      <c r="Q1712">
        <v>4</v>
      </c>
      <c r="R1712">
        <f>IF(ventas_libreria[[#This Row],[valoracion_cliente]]="","Sin valoración",ventas_libreria[[#This Row],[valoracion_cliente]])</f>
        <v>4</v>
      </c>
    </row>
    <row r="1713" spans="1:18" x14ac:dyDescent="0.25">
      <c r="A1713" t="s">
        <v>1989</v>
      </c>
      <c r="B1713" t="s">
        <v>86</v>
      </c>
      <c r="C1713" t="s">
        <v>87</v>
      </c>
      <c r="D1713" t="s">
        <v>88</v>
      </c>
      <c r="E1713" t="s">
        <v>77</v>
      </c>
      <c r="F1713">
        <f>ventas_libreria[[#This Row],[precio_eur]]/100</f>
        <v>9.52</v>
      </c>
      <c r="G1713">
        <v>952</v>
      </c>
      <c r="H1713">
        <v>1</v>
      </c>
      <c r="I1713">
        <f>ventas_libreria[[#This Row],[precio]]*ventas_libreria[[#This Row],[cantidad]]</f>
        <v>9.52</v>
      </c>
      <c r="J1713">
        <v>9</v>
      </c>
      <c r="K1713" t="s">
        <v>62</v>
      </c>
      <c r="L1713" s="1">
        <v>45344</v>
      </c>
      <c r="M1713" t="s">
        <v>31</v>
      </c>
      <c r="N1713" t="s">
        <v>22</v>
      </c>
      <c r="O1713" t="s">
        <v>132</v>
      </c>
      <c r="P1713" t="s">
        <v>56</v>
      </c>
      <c r="Q1713">
        <v>5</v>
      </c>
      <c r="R1713">
        <f>IF(ventas_libreria[[#This Row],[valoracion_cliente]]="","Sin valoración",ventas_libreria[[#This Row],[valoracion_cliente]])</f>
        <v>5</v>
      </c>
    </row>
    <row r="1714" spans="1:18" x14ac:dyDescent="0.25">
      <c r="A1714" t="s">
        <v>1990</v>
      </c>
      <c r="B1714" t="s">
        <v>327</v>
      </c>
      <c r="C1714" t="s">
        <v>328</v>
      </c>
      <c r="D1714" t="s">
        <v>288</v>
      </c>
      <c r="E1714" t="s">
        <v>289</v>
      </c>
      <c r="F1714">
        <f>ventas_libreria[[#This Row],[precio_eur]]/100</f>
        <v>18.32</v>
      </c>
      <c r="G1714">
        <v>1832</v>
      </c>
      <c r="H1714">
        <v>2</v>
      </c>
      <c r="I1714">
        <f>ventas_libreria[[#This Row],[precio]]*ventas_libreria[[#This Row],[cantidad]]</f>
        <v>36.64</v>
      </c>
      <c r="J1714">
        <v>45</v>
      </c>
      <c r="K1714" t="s">
        <v>38</v>
      </c>
      <c r="L1714" s="1">
        <v>45033</v>
      </c>
      <c r="M1714" t="s">
        <v>31</v>
      </c>
      <c r="N1714" t="s">
        <v>32</v>
      </c>
      <c r="O1714" t="s">
        <v>33</v>
      </c>
      <c r="P1714" t="s">
        <v>50</v>
      </c>
      <c r="Q1714">
        <v>3</v>
      </c>
      <c r="R1714">
        <f>IF(ventas_libreria[[#This Row],[valoracion_cliente]]="","Sin valoración",ventas_libreria[[#This Row],[valoracion_cliente]])</f>
        <v>3</v>
      </c>
    </row>
    <row r="1715" spans="1:18" x14ac:dyDescent="0.25">
      <c r="A1715" t="s">
        <v>1991</v>
      </c>
      <c r="B1715" t="s">
        <v>211</v>
      </c>
      <c r="C1715" t="s">
        <v>212</v>
      </c>
      <c r="D1715" t="s">
        <v>131</v>
      </c>
      <c r="E1715" t="s">
        <v>107</v>
      </c>
      <c r="F1715">
        <f>ventas_libreria[[#This Row],[precio_eur]]/100</f>
        <v>18.59</v>
      </c>
      <c r="G1715">
        <v>1859</v>
      </c>
      <c r="H1715">
        <v>1</v>
      </c>
      <c r="I1715">
        <f>ventas_libreria[[#This Row],[precio]]*ventas_libreria[[#This Row],[cantidad]]</f>
        <v>18.59</v>
      </c>
      <c r="J1715">
        <v>13</v>
      </c>
      <c r="K1715" t="s">
        <v>20</v>
      </c>
      <c r="L1715" s="1">
        <v>45739</v>
      </c>
      <c r="M1715" t="s">
        <v>43</v>
      </c>
      <c r="N1715" t="s">
        <v>32</v>
      </c>
      <c r="O1715" t="s">
        <v>33</v>
      </c>
      <c r="P1715" t="s">
        <v>34</v>
      </c>
      <c r="Q1715">
        <v>5</v>
      </c>
      <c r="R1715">
        <f>IF(ventas_libreria[[#This Row],[valoracion_cliente]]="","Sin valoración",ventas_libreria[[#This Row],[valoracion_cliente]])</f>
        <v>5</v>
      </c>
    </row>
    <row r="1716" spans="1:18" x14ac:dyDescent="0.25">
      <c r="A1716" t="s">
        <v>1992</v>
      </c>
      <c r="B1716" t="s">
        <v>549</v>
      </c>
      <c r="C1716" t="s">
        <v>550</v>
      </c>
      <c r="D1716" t="s">
        <v>162</v>
      </c>
      <c r="E1716" t="s">
        <v>29</v>
      </c>
      <c r="F1716">
        <f>ventas_libreria[[#This Row],[precio_eur]]/100</f>
        <v>1.99</v>
      </c>
      <c r="G1716">
        <v>199</v>
      </c>
      <c r="H1716">
        <v>4</v>
      </c>
      <c r="I1716">
        <f>ventas_libreria[[#This Row],[precio]]*ventas_libreria[[#This Row],[cantidad]]</f>
        <v>7.96</v>
      </c>
      <c r="J1716">
        <v>29</v>
      </c>
      <c r="K1716" t="s">
        <v>38</v>
      </c>
      <c r="L1716" s="1">
        <v>45435</v>
      </c>
      <c r="M1716" t="s">
        <v>31</v>
      </c>
      <c r="N1716" t="s">
        <v>22</v>
      </c>
      <c r="O1716" t="s">
        <v>98</v>
      </c>
      <c r="P1716" t="s">
        <v>56</v>
      </c>
      <c r="Q1716">
        <v>5</v>
      </c>
      <c r="R1716">
        <f>IF(ventas_libreria[[#This Row],[valoracion_cliente]]="","Sin valoración",ventas_libreria[[#This Row],[valoracion_cliente]])</f>
        <v>5</v>
      </c>
    </row>
    <row r="1717" spans="1:18" x14ac:dyDescent="0.25">
      <c r="A1717" t="s">
        <v>1993</v>
      </c>
      <c r="B1717" t="s">
        <v>109</v>
      </c>
      <c r="C1717" t="s">
        <v>110</v>
      </c>
      <c r="D1717" t="s">
        <v>111</v>
      </c>
      <c r="E1717" t="s">
        <v>55</v>
      </c>
      <c r="F1717">
        <f>ventas_libreria[[#This Row],[precio_eur]]/100</f>
        <v>17.91</v>
      </c>
      <c r="G1717">
        <v>1791</v>
      </c>
      <c r="H1717">
        <v>2</v>
      </c>
      <c r="I1717">
        <f>ventas_libreria[[#This Row],[precio]]*ventas_libreria[[#This Row],[cantidad]]</f>
        <v>35.82</v>
      </c>
      <c r="J1717">
        <v>36</v>
      </c>
      <c r="K1717" t="s">
        <v>30</v>
      </c>
      <c r="L1717" s="1">
        <v>45473</v>
      </c>
      <c r="M1717" t="s">
        <v>31</v>
      </c>
      <c r="N1717" t="s">
        <v>32</v>
      </c>
      <c r="O1717" t="s">
        <v>33</v>
      </c>
      <c r="P1717" t="s">
        <v>50</v>
      </c>
      <c r="Q1717">
        <v>5</v>
      </c>
      <c r="R1717">
        <f>IF(ventas_libreria[[#This Row],[valoracion_cliente]]="","Sin valoración",ventas_libreria[[#This Row],[valoracion_cliente]])</f>
        <v>5</v>
      </c>
    </row>
    <row r="1718" spans="1:18" x14ac:dyDescent="0.25">
      <c r="A1718" t="s">
        <v>1994</v>
      </c>
      <c r="B1718" t="s">
        <v>418</v>
      </c>
      <c r="C1718" t="s">
        <v>419</v>
      </c>
      <c r="D1718" t="s">
        <v>420</v>
      </c>
      <c r="E1718" t="s">
        <v>149</v>
      </c>
      <c r="F1718">
        <f>ventas_libreria[[#This Row],[precio_eur]]/100</f>
        <v>14.36</v>
      </c>
      <c r="G1718">
        <v>1436</v>
      </c>
      <c r="H1718">
        <v>3</v>
      </c>
      <c r="I1718">
        <f>ventas_libreria[[#This Row],[precio]]*ventas_libreria[[#This Row],[cantidad]]</f>
        <v>43.08</v>
      </c>
      <c r="J1718">
        <v>39</v>
      </c>
      <c r="K1718" t="s">
        <v>62</v>
      </c>
      <c r="L1718" s="1">
        <v>45249</v>
      </c>
      <c r="M1718" t="s">
        <v>31</v>
      </c>
      <c r="N1718" t="s">
        <v>32</v>
      </c>
      <c r="O1718" t="s">
        <v>33</v>
      </c>
      <c r="P1718" t="s">
        <v>84</v>
      </c>
      <c r="Q1718">
        <v>5</v>
      </c>
      <c r="R1718">
        <f>IF(ventas_libreria[[#This Row],[valoracion_cliente]]="","Sin valoración",ventas_libreria[[#This Row],[valoracion_cliente]])</f>
        <v>5</v>
      </c>
    </row>
    <row r="1719" spans="1:18" x14ac:dyDescent="0.25">
      <c r="A1719" t="s">
        <v>1995</v>
      </c>
      <c r="B1719" t="s">
        <v>160</v>
      </c>
      <c r="C1719" t="s">
        <v>161</v>
      </c>
      <c r="D1719" t="s">
        <v>162</v>
      </c>
      <c r="E1719" t="s">
        <v>29</v>
      </c>
      <c r="F1719">
        <f>ventas_libreria[[#This Row],[precio_eur]]/100</f>
        <v>15.21</v>
      </c>
      <c r="G1719">
        <v>1521</v>
      </c>
      <c r="H1719">
        <v>4</v>
      </c>
      <c r="I1719">
        <f>ventas_libreria[[#This Row],[precio]]*ventas_libreria[[#This Row],[cantidad]]</f>
        <v>60.84</v>
      </c>
      <c r="J1719">
        <v>16</v>
      </c>
      <c r="K1719" t="s">
        <v>38</v>
      </c>
      <c r="L1719" s="1">
        <v>44976</v>
      </c>
      <c r="M1719" t="s">
        <v>31</v>
      </c>
      <c r="N1719" t="s">
        <v>22</v>
      </c>
      <c r="O1719" t="s">
        <v>49</v>
      </c>
      <c r="P1719" t="s">
        <v>84</v>
      </c>
      <c r="Q1719">
        <v>4</v>
      </c>
      <c r="R1719">
        <f>IF(ventas_libreria[[#This Row],[valoracion_cliente]]="","Sin valoración",ventas_libreria[[#This Row],[valoracion_cliente]])</f>
        <v>4</v>
      </c>
    </row>
    <row r="1720" spans="1:18" x14ac:dyDescent="0.25">
      <c r="A1720" t="s">
        <v>1996</v>
      </c>
      <c r="B1720" t="s">
        <v>137</v>
      </c>
      <c r="C1720" t="s">
        <v>138</v>
      </c>
      <c r="D1720" t="s">
        <v>139</v>
      </c>
      <c r="E1720" t="s">
        <v>116</v>
      </c>
      <c r="F1720">
        <f>ventas_libreria[[#This Row],[precio_eur]]/100</f>
        <v>11.61</v>
      </c>
      <c r="G1720">
        <v>1161</v>
      </c>
      <c r="H1720">
        <v>2</v>
      </c>
      <c r="I1720">
        <f>ventas_libreria[[#This Row],[precio]]*ventas_libreria[[#This Row],[cantidad]]</f>
        <v>23.22</v>
      </c>
      <c r="J1720">
        <v>56</v>
      </c>
      <c r="K1720" t="s">
        <v>62</v>
      </c>
      <c r="L1720" s="1">
        <v>45300</v>
      </c>
      <c r="M1720" t="s">
        <v>43</v>
      </c>
      <c r="N1720" t="s">
        <v>32</v>
      </c>
      <c r="O1720" t="s">
        <v>33</v>
      </c>
      <c r="P1720" t="s">
        <v>34</v>
      </c>
      <c r="Q1720">
        <v>5</v>
      </c>
      <c r="R1720">
        <f>IF(ventas_libreria[[#This Row],[valoracion_cliente]]="","Sin valoración",ventas_libreria[[#This Row],[valoracion_cliente]])</f>
        <v>5</v>
      </c>
    </row>
    <row r="1721" spans="1:18" x14ac:dyDescent="0.25">
      <c r="A1721" t="s">
        <v>1997</v>
      </c>
      <c r="B1721" t="s">
        <v>384</v>
      </c>
      <c r="C1721" t="s">
        <v>385</v>
      </c>
      <c r="D1721" t="s">
        <v>158</v>
      </c>
      <c r="E1721" t="s">
        <v>149</v>
      </c>
      <c r="F1721">
        <f>ventas_libreria[[#This Row],[precio_eur]]/100</f>
        <v>2.19</v>
      </c>
      <c r="G1721">
        <v>219</v>
      </c>
      <c r="H1721">
        <v>1</v>
      </c>
      <c r="I1721">
        <f>ventas_libreria[[#This Row],[precio]]*ventas_libreria[[#This Row],[cantidad]]</f>
        <v>2.19</v>
      </c>
      <c r="J1721">
        <v>23</v>
      </c>
      <c r="K1721" t="s">
        <v>30</v>
      </c>
      <c r="L1721" s="1">
        <v>45584</v>
      </c>
      <c r="M1721" t="s">
        <v>43</v>
      </c>
      <c r="N1721" t="s">
        <v>32</v>
      </c>
      <c r="O1721" t="s">
        <v>33</v>
      </c>
      <c r="P1721" t="s">
        <v>50</v>
      </c>
      <c r="Q1721">
        <v>4</v>
      </c>
      <c r="R1721">
        <f>IF(ventas_libreria[[#This Row],[valoracion_cliente]]="","Sin valoración",ventas_libreria[[#This Row],[valoracion_cliente]])</f>
        <v>4</v>
      </c>
    </row>
    <row r="1722" spans="1:18" x14ac:dyDescent="0.25">
      <c r="A1722" t="s">
        <v>1998</v>
      </c>
      <c r="B1722" t="s">
        <v>104</v>
      </c>
      <c r="C1722" t="s">
        <v>105</v>
      </c>
      <c r="D1722" t="s">
        <v>106</v>
      </c>
      <c r="E1722" t="s">
        <v>107</v>
      </c>
      <c r="F1722">
        <f>ventas_libreria[[#This Row],[precio_eur]]/100</f>
        <v>12.66</v>
      </c>
      <c r="G1722">
        <v>1266</v>
      </c>
      <c r="H1722">
        <v>1</v>
      </c>
      <c r="I1722">
        <f>ventas_libreria[[#This Row],[precio]]*ventas_libreria[[#This Row],[cantidad]]</f>
        <v>12.66</v>
      </c>
      <c r="J1722">
        <v>14</v>
      </c>
      <c r="K1722" t="s">
        <v>30</v>
      </c>
      <c r="L1722" s="1">
        <v>45172</v>
      </c>
      <c r="M1722" t="s">
        <v>21</v>
      </c>
      <c r="N1722" t="s">
        <v>22</v>
      </c>
      <c r="O1722" t="s">
        <v>49</v>
      </c>
      <c r="P1722" t="s">
        <v>56</v>
      </c>
      <c r="Q1722">
        <v>5</v>
      </c>
      <c r="R1722">
        <f>IF(ventas_libreria[[#This Row],[valoracion_cliente]]="","Sin valoración",ventas_libreria[[#This Row],[valoracion_cliente]])</f>
        <v>5</v>
      </c>
    </row>
    <row r="1723" spans="1:18" x14ac:dyDescent="0.25">
      <c r="A1723" t="s">
        <v>1999</v>
      </c>
      <c r="B1723" t="s">
        <v>384</v>
      </c>
      <c r="C1723" t="s">
        <v>385</v>
      </c>
      <c r="D1723" t="s">
        <v>158</v>
      </c>
      <c r="E1723" t="s">
        <v>149</v>
      </c>
      <c r="F1723">
        <f>ventas_libreria[[#This Row],[precio_eur]]/100</f>
        <v>2.19</v>
      </c>
      <c r="G1723">
        <v>219</v>
      </c>
      <c r="H1723">
        <v>2</v>
      </c>
      <c r="I1723">
        <f>ventas_libreria[[#This Row],[precio]]*ventas_libreria[[#This Row],[cantidad]]</f>
        <v>4.38</v>
      </c>
      <c r="J1723">
        <v>22</v>
      </c>
      <c r="K1723" t="s">
        <v>62</v>
      </c>
      <c r="L1723" s="1">
        <v>45771</v>
      </c>
      <c r="M1723" t="s">
        <v>21</v>
      </c>
      <c r="N1723" t="s">
        <v>32</v>
      </c>
      <c r="O1723" t="s">
        <v>33</v>
      </c>
      <c r="P1723" t="s">
        <v>24</v>
      </c>
      <c r="R1723" t="str">
        <f>IF(ventas_libreria[[#This Row],[valoracion_cliente]]="","Sin valoración",ventas_libreria[[#This Row],[valoracion_cliente]])</f>
        <v>Sin valoración</v>
      </c>
    </row>
    <row r="1724" spans="1:18" x14ac:dyDescent="0.25">
      <c r="A1724" t="s">
        <v>2000</v>
      </c>
      <c r="B1724" t="s">
        <v>332</v>
      </c>
      <c r="C1724" t="s">
        <v>333</v>
      </c>
      <c r="D1724" t="s">
        <v>334</v>
      </c>
      <c r="E1724" t="s">
        <v>116</v>
      </c>
      <c r="F1724">
        <f>ventas_libreria[[#This Row],[precio_eur]]/100</f>
        <v>1.69</v>
      </c>
      <c r="G1724">
        <v>169</v>
      </c>
      <c r="H1724">
        <v>2</v>
      </c>
      <c r="I1724">
        <f>ventas_libreria[[#This Row],[precio]]*ventas_libreria[[#This Row],[cantidad]]</f>
        <v>3.38</v>
      </c>
      <c r="J1724">
        <v>61</v>
      </c>
      <c r="K1724" t="s">
        <v>30</v>
      </c>
      <c r="L1724" s="1">
        <v>45454</v>
      </c>
      <c r="M1724" t="s">
        <v>21</v>
      </c>
      <c r="N1724" t="s">
        <v>22</v>
      </c>
      <c r="O1724" t="s">
        <v>67</v>
      </c>
      <c r="P1724" t="s">
        <v>84</v>
      </c>
      <c r="Q1724">
        <v>5</v>
      </c>
      <c r="R1724">
        <f>IF(ventas_libreria[[#This Row],[valoracion_cliente]]="","Sin valoración",ventas_libreria[[#This Row],[valoracion_cliente]])</f>
        <v>5</v>
      </c>
    </row>
    <row r="1725" spans="1:18" x14ac:dyDescent="0.25">
      <c r="A1725" t="s">
        <v>2001</v>
      </c>
      <c r="B1725" t="s">
        <v>247</v>
      </c>
      <c r="C1725" t="s">
        <v>248</v>
      </c>
      <c r="D1725" t="s">
        <v>249</v>
      </c>
      <c r="E1725" t="s">
        <v>172</v>
      </c>
      <c r="F1725">
        <f>ventas_libreria[[#This Row],[precio_eur]]/100</f>
        <v>11.81</v>
      </c>
      <c r="G1725">
        <v>1181</v>
      </c>
      <c r="H1725">
        <v>1</v>
      </c>
      <c r="I1725">
        <f>ventas_libreria[[#This Row],[precio]]*ventas_libreria[[#This Row],[cantidad]]</f>
        <v>11.81</v>
      </c>
      <c r="J1725">
        <v>42</v>
      </c>
      <c r="K1725" t="s">
        <v>38</v>
      </c>
      <c r="L1725" s="1">
        <v>45944</v>
      </c>
      <c r="M1725" t="s">
        <v>43</v>
      </c>
      <c r="N1725" t="s">
        <v>32</v>
      </c>
      <c r="O1725" t="s">
        <v>33</v>
      </c>
      <c r="P1725" t="s">
        <v>34</v>
      </c>
      <c r="Q1725">
        <v>4</v>
      </c>
      <c r="R1725">
        <f>IF(ventas_libreria[[#This Row],[valoracion_cliente]]="","Sin valoración",ventas_libreria[[#This Row],[valoracion_cliente]])</f>
        <v>4</v>
      </c>
    </row>
    <row r="1726" spans="1:18" x14ac:dyDescent="0.25">
      <c r="A1726" t="s">
        <v>2002</v>
      </c>
      <c r="B1726" t="s">
        <v>418</v>
      </c>
      <c r="C1726" t="s">
        <v>419</v>
      </c>
      <c r="D1726" t="s">
        <v>420</v>
      </c>
      <c r="E1726" t="s">
        <v>149</v>
      </c>
      <c r="F1726">
        <f>ventas_libreria[[#This Row],[precio_eur]]/100</f>
        <v>1.69</v>
      </c>
      <c r="G1726">
        <v>169</v>
      </c>
      <c r="H1726">
        <v>1</v>
      </c>
      <c r="I1726">
        <f>ventas_libreria[[#This Row],[precio]]*ventas_libreria[[#This Row],[cantidad]]</f>
        <v>1.69</v>
      </c>
      <c r="J1726">
        <v>26</v>
      </c>
      <c r="K1726" t="s">
        <v>20</v>
      </c>
      <c r="L1726" s="1">
        <v>45293</v>
      </c>
      <c r="M1726" t="s">
        <v>43</v>
      </c>
      <c r="N1726" t="s">
        <v>32</v>
      </c>
      <c r="O1726" t="s">
        <v>33</v>
      </c>
      <c r="P1726" t="s">
        <v>34</v>
      </c>
      <c r="Q1726">
        <v>5</v>
      </c>
      <c r="R1726">
        <f>IF(ventas_libreria[[#This Row],[valoracion_cliente]]="","Sin valoración",ventas_libreria[[#This Row],[valoracion_cliente]])</f>
        <v>5</v>
      </c>
    </row>
    <row r="1727" spans="1:18" x14ac:dyDescent="0.25">
      <c r="A1727" t="s">
        <v>2003</v>
      </c>
      <c r="B1727" t="s">
        <v>384</v>
      </c>
      <c r="C1727" t="s">
        <v>385</v>
      </c>
      <c r="D1727" t="s">
        <v>158</v>
      </c>
      <c r="E1727" t="s">
        <v>149</v>
      </c>
      <c r="F1727">
        <f>ventas_libreria[[#This Row],[precio_eur]]/100</f>
        <v>18.61</v>
      </c>
      <c r="G1727">
        <v>1861</v>
      </c>
      <c r="H1727">
        <v>1</v>
      </c>
      <c r="I1727">
        <f>ventas_libreria[[#This Row],[precio]]*ventas_libreria[[#This Row],[cantidad]]</f>
        <v>18.61</v>
      </c>
      <c r="J1727">
        <v>26</v>
      </c>
      <c r="K1727" t="s">
        <v>30</v>
      </c>
      <c r="L1727" s="1">
        <v>45118</v>
      </c>
      <c r="M1727" t="s">
        <v>43</v>
      </c>
      <c r="N1727" t="s">
        <v>32</v>
      </c>
      <c r="O1727" t="s">
        <v>33</v>
      </c>
      <c r="P1727" t="s">
        <v>34</v>
      </c>
      <c r="Q1727">
        <v>5</v>
      </c>
      <c r="R1727">
        <f>IF(ventas_libreria[[#This Row],[valoracion_cliente]]="","Sin valoración",ventas_libreria[[#This Row],[valoracion_cliente]])</f>
        <v>5</v>
      </c>
    </row>
    <row r="1728" spans="1:18" x14ac:dyDescent="0.25">
      <c r="A1728" t="s">
        <v>2004</v>
      </c>
      <c r="B1728" t="s">
        <v>104</v>
      </c>
      <c r="C1728" t="s">
        <v>105</v>
      </c>
      <c r="D1728" t="s">
        <v>106</v>
      </c>
      <c r="E1728" t="s">
        <v>107</v>
      </c>
      <c r="F1728">
        <f>ventas_libreria[[#This Row],[precio_eur]]/100</f>
        <v>13.41</v>
      </c>
      <c r="G1728">
        <v>1341</v>
      </c>
      <c r="H1728">
        <v>2</v>
      </c>
      <c r="I1728">
        <f>ventas_libreria[[#This Row],[precio]]*ventas_libreria[[#This Row],[cantidad]]</f>
        <v>26.82</v>
      </c>
      <c r="J1728">
        <v>12</v>
      </c>
      <c r="K1728" t="s">
        <v>62</v>
      </c>
      <c r="L1728" s="1">
        <v>45519</v>
      </c>
      <c r="M1728" t="s">
        <v>31</v>
      </c>
      <c r="N1728" t="s">
        <v>32</v>
      </c>
      <c r="O1728" t="s">
        <v>33</v>
      </c>
      <c r="P1728" t="s">
        <v>34</v>
      </c>
      <c r="Q1728">
        <v>4</v>
      </c>
      <c r="R1728">
        <f>IF(ventas_libreria[[#This Row],[valoracion_cliente]]="","Sin valoración",ventas_libreria[[#This Row],[valoracion_cliente]])</f>
        <v>4</v>
      </c>
    </row>
    <row r="1729" spans="1:18" x14ac:dyDescent="0.25">
      <c r="A1729" t="s">
        <v>2005</v>
      </c>
      <c r="B1729" t="s">
        <v>273</v>
      </c>
      <c r="C1729" t="s">
        <v>274</v>
      </c>
      <c r="D1729" t="s">
        <v>262</v>
      </c>
      <c r="E1729" t="s">
        <v>263</v>
      </c>
      <c r="F1729">
        <f>ventas_libreria[[#This Row],[precio_eur]]/100</f>
        <v>18.61</v>
      </c>
      <c r="G1729">
        <v>1861</v>
      </c>
      <c r="H1729">
        <v>1</v>
      </c>
      <c r="I1729">
        <f>ventas_libreria[[#This Row],[precio]]*ventas_libreria[[#This Row],[cantidad]]</f>
        <v>18.61</v>
      </c>
      <c r="J1729">
        <v>64</v>
      </c>
      <c r="K1729" t="s">
        <v>62</v>
      </c>
      <c r="L1729" s="1">
        <v>45785</v>
      </c>
      <c r="M1729" t="s">
        <v>31</v>
      </c>
      <c r="N1729" t="s">
        <v>22</v>
      </c>
      <c r="O1729" t="s">
        <v>98</v>
      </c>
      <c r="P1729" t="s">
        <v>56</v>
      </c>
      <c r="Q1729">
        <v>4</v>
      </c>
      <c r="R1729">
        <f>IF(ventas_libreria[[#This Row],[valoracion_cliente]]="","Sin valoración",ventas_libreria[[#This Row],[valoracion_cliente]])</f>
        <v>4</v>
      </c>
    </row>
    <row r="1730" spans="1:18" x14ac:dyDescent="0.25">
      <c r="A1730" t="s">
        <v>2006</v>
      </c>
      <c r="B1730" t="s">
        <v>146</v>
      </c>
      <c r="C1730" t="s">
        <v>147</v>
      </c>
      <c r="D1730" t="s">
        <v>148</v>
      </c>
      <c r="E1730" t="s">
        <v>149</v>
      </c>
      <c r="F1730">
        <f>ventas_libreria[[#This Row],[precio_eur]]/100</f>
        <v>1.59</v>
      </c>
      <c r="G1730">
        <v>159</v>
      </c>
      <c r="H1730">
        <v>1</v>
      </c>
      <c r="I1730">
        <f>ventas_libreria[[#This Row],[precio]]*ventas_libreria[[#This Row],[cantidad]]</f>
        <v>1.59</v>
      </c>
      <c r="J1730">
        <v>75</v>
      </c>
      <c r="K1730" t="s">
        <v>62</v>
      </c>
      <c r="L1730" s="1">
        <v>45926</v>
      </c>
      <c r="M1730" t="s">
        <v>21</v>
      </c>
      <c r="N1730" t="s">
        <v>32</v>
      </c>
      <c r="O1730" t="s">
        <v>33</v>
      </c>
      <c r="P1730" t="s">
        <v>50</v>
      </c>
      <c r="Q1730">
        <v>4</v>
      </c>
      <c r="R1730">
        <f>IF(ventas_libreria[[#This Row],[valoracion_cliente]]="","Sin valoración",ventas_libreria[[#This Row],[valoracion_cliente]])</f>
        <v>4</v>
      </c>
    </row>
    <row r="1731" spans="1:18" x14ac:dyDescent="0.25">
      <c r="A1731" t="s">
        <v>2007</v>
      </c>
      <c r="B1731" t="s">
        <v>208</v>
      </c>
      <c r="C1731" t="s">
        <v>209</v>
      </c>
      <c r="D1731" t="s">
        <v>106</v>
      </c>
      <c r="E1731" t="s">
        <v>107</v>
      </c>
      <c r="F1731">
        <f>ventas_libreria[[#This Row],[precio_eur]]/100</f>
        <v>15.65</v>
      </c>
      <c r="G1731">
        <v>1565</v>
      </c>
      <c r="H1731">
        <v>1</v>
      </c>
      <c r="I1731">
        <f>ventas_libreria[[#This Row],[precio]]*ventas_libreria[[#This Row],[cantidad]]</f>
        <v>15.65</v>
      </c>
      <c r="J1731">
        <v>20</v>
      </c>
      <c r="K1731" t="s">
        <v>30</v>
      </c>
      <c r="L1731" s="1">
        <v>45118</v>
      </c>
      <c r="M1731" t="s">
        <v>43</v>
      </c>
      <c r="N1731" t="s">
        <v>32</v>
      </c>
      <c r="O1731" t="s">
        <v>33</v>
      </c>
      <c r="P1731" t="s">
        <v>50</v>
      </c>
      <c r="Q1731">
        <v>5</v>
      </c>
      <c r="R1731">
        <f>IF(ventas_libreria[[#This Row],[valoracion_cliente]]="","Sin valoración",ventas_libreria[[#This Row],[valoracion_cliente]])</f>
        <v>5</v>
      </c>
    </row>
    <row r="1732" spans="1:18" x14ac:dyDescent="0.25">
      <c r="A1732" t="s">
        <v>2008</v>
      </c>
      <c r="B1732" t="s">
        <v>193</v>
      </c>
      <c r="C1732" t="s">
        <v>194</v>
      </c>
      <c r="D1732" t="s">
        <v>195</v>
      </c>
      <c r="E1732" t="s">
        <v>48</v>
      </c>
      <c r="F1732">
        <f>ventas_libreria[[#This Row],[precio_eur]]/100</f>
        <v>17.91</v>
      </c>
      <c r="G1732">
        <v>1791</v>
      </c>
      <c r="H1732">
        <v>1</v>
      </c>
      <c r="I1732">
        <f>ventas_libreria[[#This Row],[precio]]*ventas_libreria[[#This Row],[cantidad]]</f>
        <v>17.91</v>
      </c>
      <c r="J1732">
        <v>28</v>
      </c>
      <c r="K1732" t="s">
        <v>20</v>
      </c>
      <c r="L1732" s="1">
        <v>45601</v>
      </c>
      <c r="M1732" t="s">
        <v>31</v>
      </c>
      <c r="N1732" t="s">
        <v>22</v>
      </c>
      <c r="O1732" t="s">
        <v>23</v>
      </c>
      <c r="P1732" t="s">
        <v>24</v>
      </c>
      <c r="Q1732">
        <v>5</v>
      </c>
      <c r="R1732">
        <f>IF(ventas_libreria[[#This Row],[valoracion_cliente]]="","Sin valoración",ventas_libreria[[#This Row],[valoracion_cliente]])</f>
        <v>5</v>
      </c>
    </row>
    <row r="1733" spans="1:18" x14ac:dyDescent="0.25">
      <c r="A1733" t="s">
        <v>2009</v>
      </c>
      <c r="B1733" t="s">
        <v>260</v>
      </c>
      <c r="C1733" t="s">
        <v>261</v>
      </c>
      <c r="D1733" t="s">
        <v>262</v>
      </c>
      <c r="E1733" t="s">
        <v>263</v>
      </c>
      <c r="F1733">
        <f>ventas_libreria[[#This Row],[precio_eur]]/100</f>
        <v>19.71</v>
      </c>
      <c r="G1733">
        <v>1971</v>
      </c>
      <c r="H1733">
        <v>1</v>
      </c>
      <c r="I1733">
        <f>ventas_libreria[[#This Row],[precio]]*ventas_libreria[[#This Row],[cantidad]]</f>
        <v>19.71</v>
      </c>
      <c r="J1733">
        <v>42</v>
      </c>
      <c r="K1733" t="s">
        <v>20</v>
      </c>
      <c r="L1733" s="1">
        <v>45256</v>
      </c>
      <c r="M1733" t="s">
        <v>21</v>
      </c>
      <c r="N1733" t="s">
        <v>22</v>
      </c>
      <c r="O1733" t="s">
        <v>67</v>
      </c>
      <c r="P1733" t="s">
        <v>56</v>
      </c>
      <c r="Q1733">
        <v>5</v>
      </c>
      <c r="R1733">
        <f>IF(ventas_libreria[[#This Row],[valoracion_cliente]]="","Sin valoración",ventas_libreria[[#This Row],[valoracion_cliente]])</f>
        <v>5</v>
      </c>
    </row>
    <row r="1734" spans="1:18" x14ac:dyDescent="0.25">
      <c r="A1734" t="s">
        <v>2010</v>
      </c>
      <c r="B1734" t="s">
        <v>208</v>
      </c>
      <c r="C1734" t="s">
        <v>209</v>
      </c>
      <c r="D1734" t="s">
        <v>106</v>
      </c>
      <c r="E1734" t="s">
        <v>107</v>
      </c>
      <c r="F1734">
        <f>ventas_libreria[[#This Row],[precio_eur]]/100</f>
        <v>13.41</v>
      </c>
      <c r="G1734">
        <v>1341</v>
      </c>
      <c r="H1734">
        <v>1</v>
      </c>
      <c r="I1734">
        <f>ventas_libreria[[#This Row],[precio]]*ventas_libreria[[#This Row],[cantidad]]</f>
        <v>13.41</v>
      </c>
      <c r="J1734">
        <v>20</v>
      </c>
      <c r="K1734" t="s">
        <v>38</v>
      </c>
      <c r="L1734" s="1">
        <v>45121</v>
      </c>
      <c r="M1734" t="s">
        <v>43</v>
      </c>
      <c r="N1734" t="s">
        <v>32</v>
      </c>
      <c r="O1734" t="s">
        <v>33</v>
      </c>
      <c r="P1734" t="s">
        <v>84</v>
      </c>
      <c r="Q1734">
        <v>4</v>
      </c>
      <c r="R1734">
        <f>IF(ventas_libreria[[#This Row],[valoracion_cliente]]="","Sin valoración",ventas_libreria[[#This Row],[valoracion_cliente]])</f>
        <v>4</v>
      </c>
    </row>
    <row r="1735" spans="1:18" x14ac:dyDescent="0.25">
      <c r="A1735" t="s">
        <v>2011</v>
      </c>
      <c r="B1735" t="s">
        <v>365</v>
      </c>
      <c r="C1735" t="s">
        <v>366</v>
      </c>
      <c r="D1735" t="s">
        <v>367</v>
      </c>
      <c r="E1735" t="s">
        <v>19</v>
      </c>
      <c r="F1735">
        <f>ventas_libreria[[#This Row],[precio_eur]]/100</f>
        <v>1.89</v>
      </c>
      <c r="G1735">
        <v>189</v>
      </c>
      <c r="H1735">
        <v>1</v>
      </c>
      <c r="I1735">
        <f>ventas_libreria[[#This Row],[precio]]*ventas_libreria[[#This Row],[cantidad]]</f>
        <v>1.89</v>
      </c>
      <c r="J1735">
        <v>47</v>
      </c>
      <c r="K1735" t="s">
        <v>20</v>
      </c>
      <c r="L1735" s="1">
        <v>45152</v>
      </c>
      <c r="M1735" t="s">
        <v>21</v>
      </c>
      <c r="N1735" t="s">
        <v>22</v>
      </c>
      <c r="O1735" t="s">
        <v>67</v>
      </c>
      <c r="P1735" t="s">
        <v>34</v>
      </c>
      <c r="Q1735">
        <v>4</v>
      </c>
      <c r="R1735">
        <f>IF(ventas_libreria[[#This Row],[valoracion_cliente]]="","Sin valoración",ventas_libreria[[#This Row],[valoracion_cliente]])</f>
        <v>4</v>
      </c>
    </row>
    <row r="1736" spans="1:18" x14ac:dyDescent="0.25">
      <c r="A1736" t="s">
        <v>2012</v>
      </c>
      <c r="B1736" t="s">
        <v>353</v>
      </c>
      <c r="C1736" t="s">
        <v>354</v>
      </c>
      <c r="D1736" t="s">
        <v>226</v>
      </c>
      <c r="E1736" t="s">
        <v>116</v>
      </c>
      <c r="F1736">
        <f>ventas_libreria[[#This Row],[precio_eur]]/100</f>
        <v>1.69</v>
      </c>
      <c r="G1736">
        <v>169</v>
      </c>
      <c r="H1736">
        <v>2</v>
      </c>
      <c r="I1736">
        <f>ventas_libreria[[#This Row],[precio]]*ventas_libreria[[#This Row],[cantidad]]</f>
        <v>3.38</v>
      </c>
      <c r="J1736">
        <v>65</v>
      </c>
      <c r="K1736" t="s">
        <v>38</v>
      </c>
      <c r="L1736" s="1">
        <v>45131</v>
      </c>
      <c r="M1736" t="s">
        <v>31</v>
      </c>
      <c r="N1736" t="s">
        <v>22</v>
      </c>
      <c r="O1736" t="s">
        <v>132</v>
      </c>
      <c r="P1736" t="s">
        <v>50</v>
      </c>
      <c r="R1736" t="str">
        <f>IF(ventas_libreria[[#This Row],[valoracion_cliente]]="","Sin valoración",ventas_libreria[[#This Row],[valoracion_cliente]])</f>
        <v>Sin valoración</v>
      </c>
    </row>
    <row r="1737" spans="1:18" x14ac:dyDescent="0.25">
      <c r="A1737" t="s">
        <v>2013</v>
      </c>
      <c r="B1737" t="s">
        <v>327</v>
      </c>
      <c r="C1737" t="s">
        <v>328</v>
      </c>
      <c r="D1737" t="s">
        <v>288</v>
      </c>
      <c r="E1737" t="s">
        <v>289</v>
      </c>
      <c r="F1737">
        <f>ventas_libreria[[#This Row],[precio_eur]]/100</f>
        <v>18.32</v>
      </c>
      <c r="G1737">
        <v>1832</v>
      </c>
      <c r="H1737">
        <v>1</v>
      </c>
      <c r="I1737">
        <f>ventas_libreria[[#This Row],[precio]]*ventas_libreria[[#This Row],[cantidad]]</f>
        <v>18.32</v>
      </c>
      <c r="J1737">
        <v>62</v>
      </c>
      <c r="K1737" t="s">
        <v>20</v>
      </c>
      <c r="L1737" s="1">
        <v>45239</v>
      </c>
      <c r="M1737" t="s">
        <v>31</v>
      </c>
      <c r="N1737" t="s">
        <v>32</v>
      </c>
      <c r="O1737" t="s">
        <v>33</v>
      </c>
      <c r="P1737" t="s">
        <v>24</v>
      </c>
      <c r="Q1737">
        <v>3</v>
      </c>
      <c r="R1737">
        <f>IF(ventas_libreria[[#This Row],[valoracion_cliente]]="","Sin valoración",ventas_libreria[[#This Row],[valoracion_cliente]])</f>
        <v>3</v>
      </c>
    </row>
    <row r="1738" spans="1:18" x14ac:dyDescent="0.25">
      <c r="A1738" t="s">
        <v>2014</v>
      </c>
      <c r="B1738" t="s">
        <v>151</v>
      </c>
      <c r="C1738" t="s">
        <v>152</v>
      </c>
      <c r="D1738" t="s">
        <v>153</v>
      </c>
      <c r="E1738" t="s">
        <v>154</v>
      </c>
      <c r="F1738">
        <f>ventas_libreria[[#This Row],[precio_eur]]/100</f>
        <v>13.52</v>
      </c>
      <c r="G1738">
        <v>1352</v>
      </c>
      <c r="H1738">
        <v>2</v>
      </c>
      <c r="I1738">
        <f>ventas_libreria[[#This Row],[precio]]*ventas_libreria[[#This Row],[cantidad]]</f>
        <v>27.04</v>
      </c>
      <c r="J1738">
        <v>38</v>
      </c>
      <c r="K1738" t="s">
        <v>38</v>
      </c>
      <c r="L1738" s="1">
        <v>45514</v>
      </c>
      <c r="M1738" t="s">
        <v>43</v>
      </c>
      <c r="N1738" t="s">
        <v>32</v>
      </c>
      <c r="O1738" t="s">
        <v>33</v>
      </c>
      <c r="P1738" t="s">
        <v>24</v>
      </c>
      <c r="Q1738">
        <v>2</v>
      </c>
      <c r="R1738">
        <f>IF(ventas_libreria[[#This Row],[valoracion_cliente]]="","Sin valoración",ventas_libreria[[#This Row],[valoracion_cliente]])</f>
        <v>2</v>
      </c>
    </row>
    <row r="1739" spans="1:18" x14ac:dyDescent="0.25">
      <c r="A1739" t="s">
        <v>2015</v>
      </c>
      <c r="B1739" t="s">
        <v>36</v>
      </c>
      <c r="C1739" t="s">
        <v>37</v>
      </c>
      <c r="D1739" t="s">
        <v>28</v>
      </c>
      <c r="E1739" t="s">
        <v>29</v>
      </c>
      <c r="F1739">
        <f>ventas_libreria[[#This Row],[precio_eur]]/100</f>
        <v>1.89</v>
      </c>
      <c r="G1739">
        <v>189</v>
      </c>
      <c r="H1739">
        <v>1</v>
      </c>
      <c r="I1739">
        <f>ventas_libreria[[#This Row],[precio]]*ventas_libreria[[#This Row],[cantidad]]</f>
        <v>1.89</v>
      </c>
      <c r="J1739">
        <v>38</v>
      </c>
      <c r="K1739" t="s">
        <v>38</v>
      </c>
      <c r="L1739" s="1">
        <v>45779</v>
      </c>
      <c r="M1739" t="s">
        <v>31</v>
      </c>
      <c r="N1739" t="s">
        <v>22</v>
      </c>
      <c r="O1739" t="s">
        <v>23</v>
      </c>
      <c r="P1739" t="s">
        <v>84</v>
      </c>
      <c r="Q1739">
        <v>3</v>
      </c>
      <c r="R1739">
        <f>IF(ventas_libreria[[#This Row],[valoracion_cliente]]="","Sin valoración",ventas_libreria[[#This Row],[valoracion_cliente]])</f>
        <v>3</v>
      </c>
    </row>
    <row r="1740" spans="1:18" x14ac:dyDescent="0.25">
      <c r="A1740" t="s">
        <v>2016</v>
      </c>
      <c r="B1740" t="s">
        <v>228</v>
      </c>
      <c r="C1740" t="s">
        <v>229</v>
      </c>
      <c r="D1740" t="s">
        <v>206</v>
      </c>
      <c r="E1740" t="s">
        <v>116</v>
      </c>
      <c r="F1740">
        <f>ventas_libreria[[#This Row],[precio_eur]]/100</f>
        <v>1.89</v>
      </c>
      <c r="G1740">
        <v>189</v>
      </c>
      <c r="H1740">
        <v>3</v>
      </c>
      <c r="I1740">
        <f>ventas_libreria[[#This Row],[precio]]*ventas_libreria[[#This Row],[cantidad]]</f>
        <v>5.67</v>
      </c>
      <c r="J1740">
        <v>65</v>
      </c>
      <c r="K1740" t="s">
        <v>20</v>
      </c>
      <c r="L1740" s="1">
        <v>45606</v>
      </c>
      <c r="M1740" t="s">
        <v>21</v>
      </c>
      <c r="N1740" t="s">
        <v>32</v>
      </c>
      <c r="O1740" t="s">
        <v>33</v>
      </c>
      <c r="P1740" t="s">
        <v>50</v>
      </c>
      <c r="Q1740">
        <v>5</v>
      </c>
      <c r="R1740">
        <f>IF(ventas_libreria[[#This Row],[valoracion_cliente]]="","Sin valoración",ventas_libreria[[#This Row],[valoracion_cliente]])</f>
        <v>5</v>
      </c>
    </row>
    <row r="1741" spans="1:18" x14ac:dyDescent="0.25">
      <c r="A1741" t="s">
        <v>2017</v>
      </c>
      <c r="B1741" t="s">
        <v>156</v>
      </c>
      <c r="C1741" t="s">
        <v>157</v>
      </c>
      <c r="D1741" t="s">
        <v>158</v>
      </c>
      <c r="E1741" t="s">
        <v>149</v>
      </c>
      <c r="F1741">
        <f>ventas_libreria[[#This Row],[precio_eur]]/100</f>
        <v>1.89</v>
      </c>
      <c r="G1741">
        <v>189</v>
      </c>
      <c r="H1741">
        <v>2</v>
      </c>
      <c r="I1741">
        <f>ventas_libreria[[#This Row],[precio]]*ventas_libreria[[#This Row],[cantidad]]</f>
        <v>3.78</v>
      </c>
      <c r="J1741">
        <v>53</v>
      </c>
      <c r="K1741" t="s">
        <v>30</v>
      </c>
      <c r="L1741" s="1">
        <v>45551</v>
      </c>
      <c r="M1741" t="s">
        <v>43</v>
      </c>
      <c r="N1741" t="s">
        <v>32</v>
      </c>
      <c r="O1741" t="s">
        <v>33</v>
      </c>
      <c r="P1741" t="s">
        <v>50</v>
      </c>
      <c r="Q1741">
        <v>4</v>
      </c>
      <c r="R1741">
        <f>IF(ventas_libreria[[#This Row],[valoracion_cliente]]="","Sin valoración",ventas_libreria[[#This Row],[valoracion_cliente]])</f>
        <v>4</v>
      </c>
    </row>
    <row r="1742" spans="1:18" x14ac:dyDescent="0.25">
      <c r="A1742" t="s">
        <v>2018</v>
      </c>
      <c r="B1742" t="s">
        <v>208</v>
      </c>
      <c r="C1742" t="s">
        <v>209</v>
      </c>
      <c r="D1742" t="s">
        <v>106</v>
      </c>
      <c r="E1742" t="s">
        <v>107</v>
      </c>
      <c r="F1742">
        <f>ventas_libreria[[#This Row],[precio_eur]]/100</f>
        <v>1.49</v>
      </c>
      <c r="G1742">
        <v>149</v>
      </c>
      <c r="H1742">
        <v>1</v>
      </c>
      <c r="I1742">
        <f>ventas_libreria[[#This Row],[precio]]*ventas_libreria[[#This Row],[cantidad]]</f>
        <v>1.49</v>
      </c>
      <c r="J1742">
        <v>20</v>
      </c>
      <c r="K1742" t="s">
        <v>38</v>
      </c>
      <c r="L1742" s="1">
        <v>45154</v>
      </c>
      <c r="M1742" t="s">
        <v>31</v>
      </c>
      <c r="N1742" t="s">
        <v>22</v>
      </c>
      <c r="O1742" t="s">
        <v>23</v>
      </c>
      <c r="P1742" t="s">
        <v>56</v>
      </c>
      <c r="Q1742">
        <v>5</v>
      </c>
      <c r="R1742">
        <f>IF(ventas_libreria[[#This Row],[valoracion_cliente]]="","Sin valoración",ventas_libreria[[#This Row],[valoracion_cliente]])</f>
        <v>5</v>
      </c>
    </row>
    <row r="1743" spans="1:18" x14ac:dyDescent="0.25">
      <c r="A1743" t="s">
        <v>2019</v>
      </c>
      <c r="B1743" t="s">
        <v>121</v>
      </c>
      <c r="C1743" t="s">
        <v>122</v>
      </c>
      <c r="D1743" t="s">
        <v>123</v>
      </c>
      <c r="E1743" t="s">
        <v>48</v>
      </c>
      <c r="F1743">
        <f>ventas_libreria[[#This Row],[precio_eur]]/100</f>
        <v>1.69</v>
      </c>
      <c r="G1743">
        <v>169</v>
      </c>
      <c r="H1743">
        <v>1</v>
      </c>
      <c r="I1743">
        <f>ventas_libreria[[#This Row],[precio]]*ventas_libreria[[#This Row],[cantidad]]</f>
        <v>1.69</v>
      </c>
      <c r="J1743">
        <v>26</v>
      </c>
      <c r="K1743" t="s">
        <v>20</v>
      </c>
      <c r="L1743" s="1">
        <v>45627</v>
      </c>
      <c r="M1743" t="s">
        <v>21</v>
      </c>
      <c r="N1743" t="s">
        <v>22</v>
      </c>
      <c r="O1743" t="s">
        <v>98</v>
      </c>
      <c r="P1743" t="s">
        <v>56</v>
      </c>
      <c r="R1743" t="str">
        <f>IF(ventas_libreria[[#This Row],[valoracion_cliente]]="","Sin valoración",ventas_libreria[[#This Row],[valoracion_cliente]])</f>
        <v>Sin valoración</v>
      </c>
    </row>
    <row r="1744" spans="1:18" x14ac:dyDescent="0.25">
      <c r="A1744" t="s">
        <v>2020</v>
      </c>
      <c r="B1744" t="s">
        <v>541</v>
      </c>
      <c r="C1744" t="s">
        <v>542</v>
      </c>
      <c r="D1744" t="s">
        <v>131</v>
      </c>
      <c r="E1744" t="s">
        <v>107</v>
      </c>
      <c r="F1744">
        <f>ventas_libreria[[#This Row],[precio_eur]]/100</f>
        <v>1.59</v>
      </c>
      <c r="G1744">
        <v>159</v>
      </c>
      <c r="H1744">
        <v>3</v>
      </c>
      <c r="I1744">
        <f>ventas_libreria[[#This Row],[precio]]*ventas_libreria[[#This Row],[cantidad]]</f>
        <v>4.7700000000000005</v>
      </c>
      <c r="J1744">
        <v>22</v>
      </c>
      <c r="K1744" t="s">
        <v>62</v>
      </c>
      <c r="L1744" s="1">
        <v>45603</v>
      </c>
      <c r="M1744" t="s">
        <v>31</v>
      </c>
      <c r="N1744" t="s">
        <v>22</v>
      </c>
      <c r="O1744" t="s">
        <v>98</v>
      </c>
      <c r="P1744" t="s">
        <v>34</v>
      </c>
      <c r="Q1744">
        <v>5</v>
      </c>
      <c r="R1744">
        <f>IF(ventas_libreria[[#This Row],[valoracion_cliente]]="","Sin valoración",ventas_libreria[[#This Row],[valoracion_cliente]])</f>
        <v>5</v>
      </c>
    </row>
    <row r="1745" spans="1:18" x14ac:dyDescent="0.25">
      <c r="A1745" t="s">
        <v>2021</v>
      </c>
      <c r="B1745" t="s">
        <v>220</v>
      </c>
      <c r="C1745" t="s">
        <v>221</v>
      </c>
      <c r="D1745" t="s">
        <v>222</v>
      </c>
      <c r="E1745" t="s">
        <v>116</v>
      </c>
      <c r="F1745">
        <f>ventas_libreria[[#This Row],[precio_eur]]/100</f>
        <v>11.61</v>
      </c>
      <c r="G1745">
        <v>1161</v>
      </c>
      <c r="H1745">
        <v>2</v>
      </c>
      <c r="I1745">
        <f>ventas_libreria[[#This Row],[precio]]*ventas_libreria[[#This Row],[cantidad]]</f>
        <v>23.22</v>
      </c>
      <c r="J1745">
        <v>18</v>
      </c>
      <c r="K1745" t="s">
        <v>62</v>
      </c>
      <c r="L1745" s="1">
        <v>45494</v>
      </c>
      <c r="M1745" t="s">
        <v>31</v>
      </c>
      <c r="N1745" t="s">
        <v>22</v>
      </c>
      <c r="O1745" t="s">
        <v>23</v>
      </c>
      <c r="P1745" t="s">
        <v>50</v>
      </c>
      <c r="Q1745">
        <v>4</v>
      </c>
      <c r="R1745">
        <f>IF(ventas_libreria[[#This Row],[valoracion_cliente]]="","Sin valoración",ventas_libreria[[#This Row],[valoracion_cliente]])</f>
        <v>4</v>
      </c>
    </row>
    <row r="1746" spans="1:18" x14ac:dyDescent="0.25">
      <c r="A1746" t="s">
        <v>2022</v>
      </c>
      <c r="B1746" t="s">
        <v>186</v>
      </c>
      <c r="C1746" t="s">
        <v>187</v>
      </c>
      <c r="D1746" t="s">
        <v>188</v>
      </c>
      <c r="E1746" t="s">
        <v>189</v>
      </c>
      <c r="F1746">
        <f>ventas_libreria[[#This Row],[precio_eur]]/100</f>
        <v>20.89</v>
      </c>
      <c r="G1746">
        <v>2089</v>
      </c>
      <c r="H1746">
        <v>1</v>
      </c>
      <c r="I1746">
        <f>ventas_libreria[[#This Row],[precio]]*ventas_libreria[[#This Row],[cantidad]]</f>
        <v>20.89</v>
      </c>
      <c r="J1746">
        <v>75</v>
      </c>
      <c r="K1746" t="s">
        <v>38</v>
      </c>
      <c r="L1746" s="1">
        <v>45996</v>
      </c>
      <c r="M1746" t="s">
        <v>21</v>
      </c>
      <c r="N1746" t="s">
        <v>32</v>
      </c>
      <c r="O1746" t="s">
        <v>33</v>
      </c>
      <c r="P1746" t="s">
        <v>56</v>
      </c>
      <c r="Q1746">
        <v>5</v>
      </c>
      <c r="R1746">
        <f>IF(ventas_libreria[[#This Row],[valoracion_cliente]]="","Sin valoración",ventas_libreria[[#This Row],[valoracion_cliente]])</f>
        <v>5</v>
      </c>
    </row>
    <row r="1747" spans="1:18" x14ac:dyDescent="0.25">
      <c r="A1747" t="s">
        <v>2023</v>
      </c>
      <c r="B1747" t="s">
        <v>286</v>
      </c>
      <c r="C1747" t="s">
        <v>287</v>
      </c>
      <c r="D1747" t="s">
        <v>288</v>
      </c>
      <c r="E1747" t="s">
        <v>289</v>
      </c>
      <c r="F1747">
        <f>ventas_libreria[[#This Row],[precio_eur]]/100</f>
        <v>18.61</v>
      </c>
      <c r="G1747">
        <v>1861</v>
      </c>
      <c r="H1747">
        <v>1</v>
      </c>
      <c r="I1747">
        <f>ventas_libreria[[#This Row],[precio]]*ventas_libreria[[#This Row],[cantidad]]</f>
        <v>18.61</v>
      </c>
      <c r="J1747">
        <v>51</v>
      </c>
      <c r="K1747" t="s">
        <v>62</v>
      </c>
      <c r="L1747" s="1">
        <v>45203</v>
      </c>
      <c r="M1747" t="s">
        <v>43</v>
      </c>
      <c r="N1747" t="s">
        <v>32</v>
      </c>
      <c r="O1747" t="s">
        <v>33</v>
      </c>
      <c r="P1747" t="s">
        <v>56</v>
      </c>
      <c r="Q1747">
        <v>4</v>
      </c>
      <c r="R1747">
        <f>IF(ventas_libreria[[#This Row],[valoracion_cliente]]="","Sin valoración",ventas_libreria[[#This Row],[valoracion_cliente]])</f>
        <v>4</v>
      </c>
    </row>
    <row r="1748" spans="1:18" x14ac:dyDescent="0.25">
      <c r="A1748" t="s">
        <v>2024</v>
      </c>
      <c r="B1748" t="s">
        <v>45</v>
      </c>
      <c r="C1748" t="s">
        <v>46</v>
      </c>
      <c r="D1748" t="s">
        <v>47</v>
      </c>
      <c r="E1748" t="s">
        <v>48</v>
      </c>
      <c r="F1748">
        <f>ventas_libreria[[#This Row],[precio_eur]]/100</f>
        <v>21.89</v>
      </c>
      <c r="G1748">
        <v>2189</v>
      </c>
      <c r="H1748">
        <v>1</v>
      </c>
      <c r="I1748">
        <f>ventas_libreria[[#This Row],[precio]]*ventas_libreria[[#This Row],[cantidad]]</f>
        <v>21.89</v>
      </c>
      <c r="J1748">
        <v>70</v>
      </c>
      <c r="K1748" t="s">
        <v>62</v>
      </c>
      <c r="L1748" s="1">
        <v>44938</v>
      </c>
      <c r="M1748" t="s">
        <v>31</v>
      </c>
      <c r="N1748" t="s">
        <v>32</v>
      </c>
      <c r="O1748" t="s">
        <v>33</v>
      </c>
      <c r="P1748" t="s">
        <v>56</v>
      </c>
      <c r="Q1748">
        <v>4</v>
      </c>
      <c r="R1748">
        <f>IF(ventas_libreria[[#This Row],[valoracion_cliente]]="","Sin valoración",ventas_libreria[[#This Row],[valoracion_cliente]])</f>
        <v>4</v>
      </c>
    </row>
    <row r="1749" spans="1:18" x14ac:dyDescent="0.25">
      <c r="A1749" t="s">
        <v>2025</v>
      </c>
      <c r="B1749" t="s">
        <v>247</v>
      </c>
      <c r="C1749" t="s">
        <v>248</v>
      </c>
      <c r="D1749" t="s">
        <v>249</v>
      </c>
      <c r="E1749" t="s">
        <v>172</v>
      </c>
      <c r="F1749">
        <f>ventas_libreria[[#This Row],[precio_eur]]/100</f>
        <v>11.12</v>
      </c>
      <c r="G1749">
        <v>1112</v>
      </c>
      <c r="H1749">
        <v>2</v>
      </c>
      <c r="I1749">
        <f>ventas_libreria[[#This Row],[precio]]*ventas_libreria[[#This Row],[cantidad]]</f>
        <v>22.24</v>
      </c>
      <c r="J1749">
        <v>60</v>
      </c>
      <c r="K1749" t="s">
        <v>62</v>
      </c>
      <c r="L1749" s="1">
        <v>44938</v>
      </c>
      <c r="M1749" t="s">
        <v>21</v>
      </c>
      <c r="N1749" t="s">
        <v>32</v>
      </c>
      <c r="O1749" t="s">
        <v>33</v>
      </c>
      <c r="P1749" t="s">
        <v>84</v>
      </c>
      <c r="Q1749">
        <v>5</v>
      </c>
      <c r="R1749">
        <f>IF(ventas_libreria[[#This Row],[valoracion_cliente]]="","Sin valoración",ventas_libreria[[#This Row],[valoracion_cliente]])</f>
        <v>5</v>
      </c>
    </row>
    <row r="1750" spans="1:18" x14ac:dyDescent="0.25">
      <c r="A1750" t="s">
        <v>2026</v>
      </c>
      <c r="B1750" t="s">
        <v>224</v>
      </c>
      <c r="C1750" t="s">
        <v>225</v>
      </c>
      <c r="D1750" t="s">
        <v>226</v>
      </c>
      <c r="E1750" t="s">
        <v>116</v>
      </c>
      <c r="F1750">
        <f>ventas_libreria[[#This Row],[precio_eur]]/100</f>
        <v>26.14</v>
      </c>
      <c r="G1750">
        <v>2614</v>
      </c>
      <c r="H1750">
        <v>2</v>
      </c>
      <c r="I1750">
        <f>ventas_libreria[[#This Row],[precio]]*ventas_libreria[[#This Row],[cantidad]]</f>
        <v>52.28</v>
      </c>
      <c r="J1750">
        <v>67</v>
      </c>
      <c r="K1750" t="s">
        <v>20</v>
      </c>
      <c r="L1750" s="1">
        <v>45439</v>
      </c>
      <c r="M1750" t="s">
        <v>43</v>
      </c>
      <c r="N1750" t="s">
        <v>32</v>
      </c>
      <c r="O1750" t="s">
        <v>33</v>
      </c>
      <c r="P1750" t="s">
        <v>84</v>
      </c>
      <c r="Q1750">
        <v>5</v>
      </c>
      <c r="R1750">
        <f>IF(ventas_libreria[[#This Row],[valoracion_cliente]]="","Sin valoración",ventas_libreria[[#This Row],[valoracion_cliente]])</f>
        <v>5</v>
      </c>
    </row>
    <row r="1751" spans="1:18" x14ac:dyDescent="0.25">
      <c r="A1751" t="s">
        <v>2027</v>
      </c>
      <c r="B1751" t="s">
        <v>375</v>
      </c>
      <c r="C1751" t="s">
        <v>376</v>
      </c>
      <c r="D1751" t="s">
        <v>377</v>
      </c>
      <c r="E1751" t="s">
        <v>29</v>
      </c>
      <c r="F1751">
        <f>ventas_libreria[[#This Row],[precio_eur]]/100</f>
        <v>1.67</v>
      </c>
      <c r="G1751">
        <v>167</v>
      </c>
      <c r="H1751">
        <v>1</v>
      </c>
      <c r="I1751">
        <f>ventas_libreria[[#This Row],[precio]]*ventas_libreria[[#This Row],[cantidad]]</f>
        <v>1.67</v>
      </c>
      <c r="J1751">
        <v>17</v>
      </c>
      <c r="K1751" t="s">
        <v>30</v>
      </c>
      <c r="L1751" s="1">
        <v>45395</v>
      </c>
      <c r="M1751" t="s">
        <v>31</v>
      </c>
      <c r="N1751" t="s">
        <v>32</v>
      </c>
      <c r="O1751" t="s">
        <v>33</v>
      </c>
      <c r="P1751" t="s">
        <v>24</v>
      </c>
      <c r="Q1751">
        <v>5</v>
      </c>
      <c r="R1751">
        <f>IF(ventas_libreria[[#This Row],[valoracion_cliente]]="","Sin valoración",ventas_libreria[[#This Row],[valoracion_cliente]])</f>
        <v>5</v>
      </c>
    </row>
    <row r="1752" spans="1:18" x14ac:dyDescent="0.25">
      <c r="A1752" t="s">
        <v>2028</v>
      </c>
      <c r="B1752" t="s">
        <v>113</v>
      </c>
      <c r="C1752" t="s">
        <v>114</v>
      </c>
      <c r="D1752" t="s">
        <v>115</v>
      </c>
      <c r="E1752" t="s">
        <v>116</v>
      </c>
      <c r="F1752">
        <f>ventas_libreria[[#This Row],[precio_eur]]/100</f>
        <v>15.29</v>
      </c>
      <c r="G1752">
        <v>1529</v>
      </c>
      <c r="H1752">
        <v>1</v>
      </c>
      <c r="I1752">
        <f>ventas_libreria[[#This Row],[precio]]*ventas_libreria[[#This Row],[cantidad]]</f>
        <v>15.29</v>
      </c>
      <c r="J1752">
        <v>57</v>
      </c>
      <c r="K1752" t="s">
        <v>20</v>
      </c>
      <c r="L1752" s="1">
        <v>45653</v>
      </c>
      <c r="M1752" t="s">
        <v>43</v>
      </c>
      <c r="N1752" t="s">
        <v>32</v>
      </c>
      <c r="O1752" t="s">
        <v>33</v>
      </c>
      <c r="P1752" t="s">
        <v>84</v>
      </c>
      <c r="Q1752">
        <v>5</v>
      </c>
      <c r="R1752">
        <f>IF(ventas_libreria[[#This Row],[valoracion_cliente]]="","Sin valoración",ventas_libreria[[#This Row],[valoracion_cliente]])</f>
        <v>5</v>
      </c>
    </row>
    <row r="1753" spans="1:18" x14ac:dyDescent="0.25">
      <c r="A1753" t="s">
        <v>2029</v>
      </c>
      <c r="B1753" t="s">
        <v>129</v>
      </c>
      <c r="C1753" t="s">
        <v>130</v>
      </c>
      <c r="D1753" t="s">
        <v>131</v>
      </c>
      <c r="E1753" t="s">
        <v>107</v>
      </c>
      <c r="F1753">
        <f>ventas_libreria[[#This Row],[precio_eur]]/100</f>
        <v>1.59</v>
      </c>
      <c r="G1753">
        <v>159</v>
      </c>
      <c r="H1753">
        <v>1</v>
      </c>
      <c r="I1753">
        <f>ventas_libreria[[#This Row],[precio]]*ventas_libreria[[#This Row],[cantidad]]</f>
        <v>1.59</v>
      </c>
      <c r="J1753">
        <v>17</v>
      </c>
      <c r="K1753" t="s">
        <v>62</v>
      </c>
      <c r="L1753" s="1">
        <v>45624</v>
      </c>
      <c r="M1753" t="s">
        <v>21</v>
      </c>
      <c r="N1753" t="s">
        <v>22</v>
      </c>
      <c r="O1753" t="s">
        <v>67</v>
      </c>
      <c r="P1753" t="s">
        <v>56</v>
      </c>
      <c r="Q1753">
        <v>5</v>
      </c>
      <c r="R1753">
        <f>IF(ventas_libreria[[#This Row],[valoracion_cliente]]="","Sin valoración",ventas_libreria[[#This Row],[valoracion_cliente]])</f>
        <v>5</v>
      </c>
    </row>
    <row r="1754" spans="1:18" x14ac:dyDescent="0.25">
      <c r="A1754" t="s">
        <v>2030</v>
      </c>
      <c r="B1754" t="s">
        <v>58</v>
      </c>
      <c r="C1754" t="s">
        <v>59</v>
      </c>
      <c r="D1754" t="s">
        <v>60</v>
      </c>
      <c r="E1754" t="s">
        <v>61</v>
      </c>
      <c r="F1754">
        <f>ventas_libreria[[#This Row],[precio_eur]]/100</f>
        <v>10.32</v>
      </c>
      <c r="G1754">
        <v>1032</v>
      </c>
      <c r="H1754">
        <v>2</v>
      </c>
      <c r="I1754">
        <f>ventas_libreria[[#This Row],[precio]]*ventas_libreria[[#This Row],[cantidad]]</f>
        <v>20.64</v>
      </c>
      <c r="J1754">
        <v>49</v>
      </c>
      <c r="K1754" t="s">
        <v>30</v>
      </c>
      <c r="L1754" s="1">
        <v>45701</v>
      </c>
      <c r="M1754" t="s">
        <v>43</v>
      </c>
      <c r="N1754" t="s">
        <v>32</v>
      </c>
      <c r="O1754" t="s">
        <v>33</v>
      </c>
      <c r="P1754" t="s">
        <v>56</v>
      </c>
      <c r="Q1754">
        <v>4</v>
      </c>
      <c r="R1754">
        <f>IF(ventas_libreria[[#This Row],[valoracion_cliente]]="","Sin valoración",ventas_libreria[[#This Row],[valoracion_cliente]])</f>
        <v>4</v>
      </c>
    </row>
    <row r="1755" spans="1:18" x14ac:dyDescent="0.25">
      <c r="A1755" t="s">
        <v>2031</v>
      </c>
      <c r="B1755" t="s">
        <v>36</v>
      </c>
      <c r="C1755" t="s">
        <v>37</v>
      </c>
      <c r="D1755" t="s">
        <v>28</v>
      </c>
      <c r="E1755" t="s">
        <v>29</v>
      </c>
      <c r="F1755">
        <f>ventas_libreria[[#This Row],[precio_eur]]/100</f>
        <v>1.89</v>
      </c>
      <c r="G1755">
        <v>189</v>
      </c>
      <c r="H1755">
        <v>1</v>
      </c>
      <c r="I1755">
        <f>ventas_libreria[[#This Row],[precio]]*ventas_libreria[[#This Row],[cantidad]]</f>
        <v>1.89</v>
      </c>
      <c r="J1755">
        <v>27</v>
      </c>
      <c r="K1755" t="s">
        <v>20</v>
      </c>
      <c r="L1755" s="1">
        <v>45338</v>
      </c>
      <c r="M1755" t="s">
        <v>43</v>
      </c>
      <c r="N1755" t="s">
        <v>32</v>
      </c>
      <c r="O1755" t="s">
        <v>33</v>
      </c>
      <c r="P1755" t="s">
        <v>50</v>
      </c>
      <c r="Q1755">
        <v>4</v>
      </c>
      <c r="R1755">
        <f>IF(ventas_libreria[[#This Row],[valoracion_cliente]]="","Sin valoración",ventas_libreria[[#This Row],[valoracion_cliente]])</f>
        <v>4</v>
      </c>
    </row>
    <row r="1756" spans="1:18" x14ac:dyDescent="0.25">
      <c r="A1756" t="s">
        <v>2032</v>
      </c>
      <c r="B1756" t="s">
        <v>26</v>
      </c>
      <c r="C1756" t="s">
        <v>27</v>
      </c>
      <c r="D1756" t="s">
        <v>28</v>
      </c>
      <c r="E1756" t="s">
        <v>29</v>
      </c>
      <c r="F1756">
        <f>ventas_libreria[[#This Row],[precio_eur]]/100</f>
        <v>19.84</v>
      </c>
      <c r="G1756">
        <v>1984</v>
      </c>
      <c r="H1756">
        <v>4</v>
      </c>
      <c r="I1756">
        <f>ventas_libreria[[#This Row],[precio]]*ventas_libreria[[#This Row],[cantidad]]</f>
        <v>79.36</v>
      </c>
      <c r="J1756">
        <v>56</v>
      </c>
      <c r="K1756" t="s">
        <v>20</v>
      </c>
      <c r="L1756" s="1">
        <v>45617</v>
      </c>
      <c r="M1756" t="s">
        <v>43</v>
      </c>
      <c r="N1756" t="s">
        <v>32</v>
      </c>
      <c r="O1756" t="s">
        <v>33</v>
      </c>
      <c r="P1756" t="s">
        <v>34</v>
      </c>
      <c r="Q1756">
        <v>3</v>
      </c>
      <c r="R1756">
        <f>IF(ventas_libreria[[#This Row],[valoracion_cliente]]="","Sin valoración",ventas_libreria[[#This Row],[valoracion_cliente]])</f>
        <v>3</v>
      </c>
    </row>
    <row r="1757" spans="1:18" x14ac:dyDescent="0.25">
      <c r="A1757" t="s">
        <v>2033</v>
      </c>
      <c r="B1757" t="s">
        <v>530</v>
      </c>
      <c r="C1757" t="s">
        <v>531</v>
      </c>
      <c r="D1757" t="s">
        <v>195</v>
      </c>
      <c r="E1757" t="s">
        <v>48</v>
      </c>
      <c r="F1757">
        <f>ventas_libreria[[#This Row],[precio_eur]]/100</f>
        <v>17.91</v>
      </c>
      <c r="G1757">
        <v>1791</v>
      </c>
      <c r="H1757">
        <v>1</v>
      </c>
      <c r="I1757">
        <f>ventas_libreria[[#This Row],[precio]]*ventas_libreria[[#This Row],[cantidad]]</f>
        <v>17.91</v>
      </c>
      <c r="J1757">
        <v>20</v>
      </c>
      <c r="K1757" t="s">
        <v>30</v>
      </c>
      <c r="L1757" s="1">
        <v>45665</v>
      </c>
      <c r="M1757" t="s">
        <v>31</v>
      </c>
      <c r="N1757" t="s">
        <v>32</v>
      </c>
      <c r="O1757" t="s">
        <v>33</v>
      </c>
      <c r="P1757" t="s">
        <v>34</v>
      </c>
      <c r="Q1757">
        <v>4</v>
      </c>
      <c r="R1757">
        <f>IF(ventas_libreria[[#This Row],[valoracion_cliente]]="","Sin valoración",ventas_libreria[[#This Row],[valoracion_cliente]])</f>
        <v>4</v>
      </c>
    </row>
    <row r="1758" spans="1:18" x14ac:dyDescent="0.25">
      <c r="A1758" t="s">
        <v>2034</v>
      </c>
      <c r="B1758" t="s">
        <v>95</v>
      </c>
      <c r="C1758" t="s">
        <v>96</v>
      </c>
      <c r="D1758" t="s">
        <v>97</v>
      </c>
      <c r="E1758" t="s">
        <v>29</v>
      </c>
      <c r="F1758">
        <f>ventas_libreria[[#This Row],[precio_eur]]/100</f>
        <v>19.690000000000001</v>
      </c>
      <c r="G1758">
        <v>1969</v>
      </c>
      <c r="H1758">
        <v>1</v>
      </c>
      <c r="I1758">
        <f>ventas_libreria[[#This Row],[precio]]*ventas_libreria[[#This Row],[cantidad]]</f>
        <v>19.690000000000001</v>
      </c>
      <c r="J1758">
        <v>29</v>
      </c>
      <c r="K1758" t="s">
        <v>62</v>
      </c>
      <c r="L1758" s="1">
        <v>45750</v>
      </c>
      <c r="M1758" t="s">
        <v>21</v>
      </c>
      <c r="N1758" t="s">
        <v>32</v>
      </c>
      <c r="O1758" t="s">
        <v>33</v>
      </c>
      <c r="P1758" t="s">
        <v>56</v>
      </c>
      <c r="Q1758">
        <v>5</v>
      </c>
      <c r="R1758">
        <f>IF(ventas_libreria[[#This Row],[valoracion_cliente]]="","Sin valoración",ventas_libreria[[#This Row],[valoracion_cliente]])</f>
        <v>5</v>
      </c>
    </row>
    <row r="1759" spans="1:18" x14ac:dyDescent="0.25">
      <c r="A1759" t="s">
        <v>2035</v>
      </c>
      <c r="B1759" t="s">
        <v>530</v>
      </c>
      <c r="C1759" t="s">
        <v>531</v>
      </c>
      <c r="D1759" t="s">
        <v>195</v>
      </c>
      <c r="E1759" t="s">
        <v>48</v>
      </c>
      <c r="F1759">
        <f>ventas_libreria[[#This Row],[precio_eur]]/100</f>
        <v>1.99</v>
      </c>
      <c r="G1759">
        <v>199</v>
      </c>
      <c r="H1759">
        <v>1</v>
      </c>
      <c r="I1759">
        <f>ventas_libreria[[#This Row],[precio]]*ventas_libreria[[#This Row],[cantidad]]</f>
        <v>1.99</v>
      </c>
      <c r="J1759">
        <v>44</v>
      </c>
      <c r="K1759" t="s">
        <v>20</v>
      </c>
      <c r="L1759" s="1">
        <v>45428</v>
      </c>
      <c r="M1759" t="s">
        <v>21</v>
      </c>
      <c r="N1759" t="s">
        <v>22</v>
      </c>
      <c r="O1759" t="s">
        <v>49</v>
      </c>
      <c r="P1759" t="s">
        <v>56</v>
      </c>
      <c r="Q1759">
        <v>4</v>
      </c>
      <c r="R1759">
        <f>IF(ventas_libreria[[#This Row],[valoracion_cliente]]="","Sin valoración",ventas_libreria[[#This Row],[valoracion_cliente]])</f>
        <v>4</v>
      </c>
    </row>
    <row r="1760" spans="1:18" x14ac:dyDescent="0.25">
      <c r="A1760" t="s">
        <v>2036</v>
      </c>
      <c r="B1760" t="s">
        <v>260</v>
      </c>
      <c r="C1760" t="s">
        <v>261</v>
      </c>
      <c r="D1760" t="s">
        <v>262</v>
      </c>
      <c r="E1760" t="s">
        <v>263</v>
      </c>
      <c r="F1760">
        <f>ventas_libreria[[#This Row],[precio_eur]]/100</f>
        <v>2.19</v>
      </c>
      <c r="G1760">
        <v>219</v>
      </c>
      <c r="H1760">
        <v>1</v>
      </c>
      <c r="I1760">
        <f>ventas_libreria[[#This Row],[precio]]*ventas_libreria[[#This Row],[cantidad]]</f>
        <v>2.19</v>
      </c>
      <c r="J1760">
        <v>61</v>
      </c>
      <c r="K1760" t="s">
        <v>20</v>
      </c>
      <c r="L1760" s="1">
        <v>45292</v>
      </c>
      <c r="M1760" t="s">
        <v>43</v>
      </c>
      <c r="N1760" t="s">
        <v>32</v>
      </c>
      <c r="O1760" t="s">
        <v>33</v>
      </c>
      <c r="P1760" t="s">
        <v>24</v>
      </c>
      <c r="Q1760">
        <v>5</v>
      </c>
      <c r="R1760">
        <f>IF(ventas_libreria[[#This Row],[valoracion_cliente]]="","Sin valoración",ventas_libreria[[#This Row],[valoracion_cliente]])</f>
        <v>5</v>
      </c>
    </row>
    <row r="1761" spans="1:18" x14ac:dyDescent="0.25">
      <c r="A1761" t="s">
        <v>2037</v>
      </c>
      <c r="B1761" t="s">
        <v>156</v>
      </c>
      <c r="C1761" t="s">
        <v>157</v>
      </c>
      <c r="D1761" t="s">
        <v>158</v>
      </c>
      <c r="E1761" t="s">
        <v>149</v>
      </c>
      <c r="F1761">
        <f>ventas_libreria[[#This Row],[precio_eur]]/100</f>
        <v>20.79</v>
      </c>
      <c r="G1761">
        <v>2079</v>
      </c>
      <c r="H1761">
        <v>1</v>
      </c>
      <c r="I1761">
        <f>ventas_libreria[[#This Row],[precio]]*ventas_libreria[[#This Row],[cantidad]]</f>
        <v>20.79</v>
      </c>
      <c r="J1761">
        <v>60</v>
      </c>
      <c r="K1761" t="s">
        <v>62</v>
      </c>
      <c r="L1761" s="1">
        <v>45605</v>
      </c>
      <c r="M1761" t="s">
        <v>43</v>
      </c>
      <c r="N1761" t="s">
        <v>32</v>
      </c>
      <c r="O1761" t="s">
        <v>33</v>
      </c>
      <c r="P1761" t="s">
        <v>34</v>
      </c>
      <c r="Q1761">
        <v>4</v>
      </c>
      <c r="R1761">
        <f>IF(ventas_libreria[[#This Row],[valoracion_cliente]]="","Sin valoración",ventas_libreria[[#This Row],[valoracion_cliente]])</f>
        <v>4</v>
      </c>
    </row>
    <row r="1762" spans="1:18" x14ac:dyDescent="0.25">
      <c r="A1762" t="s">
        <v>2038</v>
      </c>
      <c r="B1762" t="s">
        <v>327</v>
      </c>
      <c r="C1762" t="s">
        <v>328</v>
      </c>
      <c r="D1762" t="s">
        <v>288</v>
      </c>
      <c r="E1762" t="s">
        <v>289</v>
      </c>
      <c r="F1762">
        <f>ventas_libreria[[#This Row],[precio_eur]]/100</f>
        <v>19.46</v>
      </c>
      <c r="G1762">
        <v>1946</v>
      </c>
      <c r="H1762">
        <v>1</v>
      </c>
      <c r="I1762">
        <f>ventas_libreria[[#This Row],[precio]]*ventas_libreria[[#This Row],[cantidad]]</f>
        <v>19.46</v>
      </c>
      <c r="J1762">
        <v>18</v>
      </c>
      <c r="K1762" t="s">
        <v>62</v>
      </c>
      <c r="L1762" s="1">
        <v>45745</v>
      </c>
      <c r="M1762" t="s">
        <v>31</v>
      </c>
      <c r="N1762" t="s">
        <v>22</v>
      </c>
      <c r="O1762" t="s">
        <v>98</v>
      </c>
      <c r="P1762" t="s">
        <v>50</v>
      </c>
      <c r="Q1762">
        <v>2</v>
      </c>
      <c r="R1762">
        <f>IF(ventas_libreria[[#This Row],[valoracion_cliente]]="","Sin valoración",ventas_libreria[[#This Row],[valoracion_cliente]])</f>
        <v>2</v>
      </c>
    </row>
    <row r="1763" spans="1:18" x14ac:dyDescent="0.25">
      <c r="A1763" t="s">
        <v>2039</v>
      </c>
      <c r="B1763" t="s">
        <v>602</v>
      </c>
      <c r="C1763" t="s">
        <v>603</v>
      </c>
      <c r="D1763" t="s">
        <v>217</v>
      </c>
      <c r="E1763" t="s">
        <v>55</v>
      </c>
      <c r="F1763">
        <f>ventas_libreria[[#This Row],[precio_eur]]/100</f>
        <v>18.79</v>
      </c>
      <c r="G1763">
        <v>1879</v>
      </c>
      <c r="H1763">
        <v>1</v>
      </c>
      <c r="I1763">
        <f>ventas_libreria[[#This Row],[precio]]*ventas_libreria[[#This Row],[cantidad]]</f>
        <v>18.79</v>
      </c>
      <c r="J1763">
        <v>33</v>
      </c>
      <c r="K1763" t="s">
        <v>30</v>
      </c>
      <c r="L1763" s="1">
        <v>45202</v>
      </c>
      <c r="M1763" t="s">
        <v>43</v>
      </c>
      <c r="N1763" t="s">
        <v>32</v>
      </c>
      <c r="O1763" t="s">
        <v>33</v>
      </c>
      <c r="P1763" t="s">
        <v>50</v>
      </c>
      <c r="Q1763">
        <v>4</v>
      </c>
      <c r="R1763">
        <f>IF(ventas_libreria[[#This Row],[valoracion_cliente]]="","Sin valoración",ventas_libreria[[#This Row],[valoracion_cliente]])</f>
        <v>4</v>
      </c>
    </row>
    <row r="1764" spans="1:18" x14ac:dyDescent="0.25">
      <c r="A1764" t="s">
        <v>2040</v>
      </c>
      <c r="B1764" t="s">
        <v>549</v>
      </c>
      <c r="C1764" t="s">
        <v>550</v>
      </c>
      <c r="D1764" t="s">
        <v>162</v>
      </c>
      <c r="E1764" t="s">
        <v>29</v>
      </c>
      <c r="F1764">
        <f>ventas_libreria[[#This Row],[precio_eur]]/100</f>
        <v>15.92</v>
      </c>
      <c r="G1764">
        <v>1592</v>
      </c>
      <c r="H1764">
        <v>4</v>
      </c>
      <c r="I1764">
        <f>ventas_libreria[[#This Row],[precio]]*ventas_libreria[[#This Row],[cantidad]]</f>
        <v>63.68</v>
      </c>
      <c r="J1764">
        <v>61</v>
      </c>
      <c r="K1764" t="s">
        <v>20</v>
      </c>
      <c r="L1764" s="1">
        <v>45338</v>
      </c>
      <c r="M1764" t="s">
        <v>21</v>
      </c>
      <c r="N1764" t="s">
        <v>22</v>
      </c>
      <c r="O1764" t="s">
        <v>67</v>
      </c>
      <c r="P1764" t="s">
        <v>56</v>
      </c>
      <c r="Q1764">
        <v>5</v>
      </c>
      <c r="R1764">
        <f>IF(ventas_libreria[[#This Row],[valoracion_cliente]]="","Sin valoración",ventas_libreria[[#This Row],[valoracion_cliente]])</f>
        <v>5</v>
      </c>
    </row>
    <row r="1765" spans="1:18" x14ac:dyDescent="0.25">
      <c r="A1765" t="s">
        <v>2041</v>
      </c>
      <c r="B1765" t="s">
        <v>169</v>
      </c>
      <c r="C1765" t="s">
        <v>170</v>
      </c>
      <c r="D1765" t="s">
        <v>171</v>
      </c>
      <c r="E1765" t="s">
        <v>172</v>
      </c>
      <c r="F1765">
        <f>ventas_libreria[[#This Row],[precio_eur]]/100</f>
        <v>18.32</v>
      </c>
      <c r="G1765">
        <v>1832</v>
      </c>
      <c r="H1765">
        <v>1</v>
      </c>
      <c r="I1765">
        <f>ventas_libreria[[#This Row],[precio]]*ventas_libreria[[#This Row],[cantidad]]</f>
        <v>18.32</v>
      </c>
      <c r="J1765">
        <v>37</v>
      </c>
      <c r="K1765" t="s">
        <v>38</v>
      </c>
      <c r="L1765" s="1">
        <v>45839</v>
      </c>
      <c r="M1765" t="s">
        <v>43</v>
      </c>
      <c r="N1765" t="s">
        <v>32</v>
      </c>
      <c r="O1765" t="s">
        <v>33</v>
      </c>
      <c r="P1765" t="s">
        <v>24</v>
      </c>
      <c r="Q1765">
        <v>4</v>
      </c>
      <c r="R1765">
        <f>IF(ventas_libreria[[#This Row],[valoracion_cliente]]="","Sin valoración",ventas_libreria[[#This Row],[valoracion_cliente]])</f>
        <v>4</v>
      </c>
    </row>
    <row r="1766" spans="1:18" x14ac:dyDescent="0.25">
      <c r="A1766" t="s">
        <v>2042</v>
      </c>
      <c r="B1766" t="s">
        <v>228</v>
      </c>
      <c r="C1766" t="s">
        <v>229</v>
      </c>
      <c r="D1766" t="s">
        <v>206</v>
      </c>
      <c r="E1766" t="s">
        <v>116</v>
      </c>
      <c r="F1766">
        <f>ventas_libreria[[#This Row],[precio_eur]]/100</f>
        <v>17.010000000000002</v>
      </c>
      <c r="G1766">
        <v>1701</v>
      </c>
      <c r="H1766">
        <v>2</v>
      </c>
      <c r="I1766">
        <f>ventas_libreria[[#This Row],[precio]]*ventas_libreria[[#This Row],[cantidad]]</f>
        <v>34.020000000000003</v>
      </c>
      <c r="J1766">
        <v>45</v>
      </c>
      <c r="K1766" t="s">
        <v>38</v>
      </c>
      <c r="L1766" s="1">
        <v>44941</v>
      </c>
      <c r="M1766" t="s">
        <v>43</v>
      </c>
      <c r="N1766" t="s">
        <v>32</v>
      </c>
      <c r="O1766" t="s">
        <v>33</v>
      </c>
      <c r="P1766" t="s">
        <v>50</v>
      </c>
      <c r="R1766" t="str">
        <f>IF(ventas_libreria[[#This Row],[valoracion_cliente]]="","Sin valoración",ventas_libreria[[#This Row],[valoracion_cliente]])</f>
        <v>Sin valoración</v>
      </c>
    </row>
    <row r="1767" spans="1:18" x14ac:dyDescent="0.25">
      <c r="A1767" t="s">
        <v>2043</v>
      </c>
      <c r="B1767" t="s">
        <v>508</v>
      </c>
      <c r="C1767" t="s">
        <v>509</v>
      </c>
      <c r="D1767" t="s">
        <v>199</v>
      </c>
      <c r="E1767" t="s">
        <v>55</v>
      </c>
      <c r="F1767">
        <f>ventas_libreria[[#This Row],[precio_eur]]/100</f>
        <v>19.84</v>
      </c>
      <c r="G1767">
        <v>1984</v>
      </c>
      <c r="H1767">
        <v>1</v>
      </c>
      <c r="I1767">
        <f>ventas_libreria[[#This Row],[precio]]*ventas_libreria[[#This Row],[cantidad]]</f>
        <v>19.84</v>
      </c>
      <c r="J1767">
        <v>74</v>
      </c>
      <c r="K1767" t="s">
        <v>38</v>
      </c>
      <c r="L1767" s="1">
        <v>45398</v>
      </c>
      <c r="M1767" t="s">
        <v>21</v>
      </c>
      <c r="N1767" t="s">
        <v>32</v>
      </c>
      <c r="O1767" t="s">
        <v>33</v>
      </c>
      <c r="P1767" t="s">
        <v>56</v>
      </c>
      <c r="Q1767">
        <v>3</v>
      </c>
      <c r="R1767">
        <f>IF(ventas_libreria[[#This Row],[valoracion_cliente]]="","Sin valoración",ventas_libreria[[#This Row],[valoracion_cliente]])</f>
        <v>3</v>
      </c>
    </row>
    <row r="1768" spans="1:18" x14ac:dyDescent="0.25">
      <c r="A1768" t="s">
        <v>2044</v>
      </c>
      <c r="B1768" t="s">
        <v>113</v>
      </c>
      <c r="C1768" t="s">
        <v>114</v>
      </c>
      <c r="D1768" t="s">
        <v>115</v>
      </c>
      <c r="E1768" t="s">
        <v>116</v>
      </c>
      <c r="F1768">
        <f>ventas_libreria[[#This Row],[precio_eur]]/100</f>
        <v>15.29</v>
      </c>
      <c r="G1768">
        <v>1529</v>
      </c>
      <c r="H1768">
        <v>2</v>
      </c>
      <c r="I1768">
        <f>ventas_libreria[[#This Row],[precio]]*ventas_libreria[[#This Row],[cantidad]]</f>
        <v>30.58</v>
      </c>
      <c r="J1768">
        <v>50</v>
      </c>
      <c r="K1768" t="s">
        <v>20</v>
      </c>
      <c r="L1768" s="1">
        <v>45714</v>
      </c>
      <c r="M1768" t="s">
        <v>21</v>
      </c>
      <c r="N1768" t="s">
        <v>22</v>
      </c>
      <c r="O1768" t="s">
        <v>98</v>
      </c>
      <c r="P1768" t="s">
        <v>84</v>
      </c>
      <c r="Q1768">
        <v>5</v>
      </c>
      <c r="R1768">
        <f>IF(ventas_libreria[[#This Row],[valoracion_cliente]]="","Sin valoración",ventas_libreria[[#This Row],[valoracion_cliente]])</f>
        <v>5</v>
      </c>
    </row>
    <row r="1769" spans="1:18" x14ac:dyDescent="0.25">
      <c r="A1769" t="s">
        <v>2045</v>
      </c>
      <c r="B1769" t="s">
        <v>52</v>
      </c>
      <c r="C1769" t="s">
        <v>53</v>
      </c>
      <c r="D1769" t="s">
        <v>54</v>
      </c>
      <c r="E1769" t="s">
        <v>55</v>
      </c>
      <c r="F1769">
        <f>ventas_libreria[[#This Row],[precio_eur]]/100</f>
        <v>1.25</v>
      </c>
      <c r="G1769">
        <v>125</v>
      </c>
      <c r="H1769">
        <v>1</v>
      </c>
      <c r="I1769">
        <f>ventas_libreria[[#This Row],[precio]]*ventas_libreria[[#This Row],[cantidad]]</f>
        <v>1.25</v>
      </c>
      <c r="J1769">
        <v>18</v>
      </c>
      <c r="K1769" t="s">
        <v>30</v>
      </c>
      <c r="L1769" s="1">
        <v>45358</v>
      </c>
      <c r="M1769" t="s">
        <v>43</v>
      </c>
      <c r="N1769" t="s">
        <v>32</v>
      </c>
      <c r="O1769" t="s">
        <v>33</v>
      </c>
      <c r="P1769" t="s">
        <v>24</v>
      </c>
      <c r="Q1769">
        <v>5</v>
      </c>
      <c r="R1769">
        <f>IF(ventas_libreria[[#This Row],[valoracion_cliente]]="","Sin valoración",ventas_libreria[[#This Row],[valoracion_cliente]])</f>
        <v>5</v>
      </c>
    </row>
    <row r="1770" spans="1:18" x14ac:dyDescent="0.25">
      <c r="A1770" t="s">
        <v>2046</v>
      </c>
      <c r="B1770" t="s">
        <v>36</v>
      </c>
      <c r="C1770" t="s">
        <v>37</v>
      </c>
      <c r="D1770" t="s">
        <v>28</v>
      </c>
      <c r="E1770" t="s">
        <v>29</v>
      </c>
      <c r="F1770">
        <f>ventas_libreria[[#This Row],[precio_eur]]/100</f>
        <v>1.89</v>
      </c>
      <c r="G1770">
        <v>189</v>
      </c>
      <c r="H1770">
        <v>1</v>
      </c>
      <c r="I1770">
        <f>ventas_libreria[[#This Row],[precio]]*ventas_libreria[[#This Row],[cantidad]]</f>
        <v>1.89</v>
      </c>
      <c r="J1770">
        <v>32</v>
      </c>
      <c r="K1770" t="s">
        <v>38</v>
      </c>
      <c r="L1770" s="1">
        <v>45591</v>
      </c>
      <c r="M1770" t="s">
        <v>43</v>
      </c>
      <c r="N1770" t="s">
        <v>32</v>
      </c>
      <c r="O1770" t="s">
        <v>33</v>
      </c>
      <c r="P1770" t="s">
        <v>56</v>
      </c>
      <c r="Q1770">
        <v>5</v>
      </c>
      <c r="R1770">
        <f>IF(ventas_libreria[[#This Row],[valoracion_cliente]]="","Sin valoración",ventas_libreria[[#This Row],[valoracion_cliente]])</f>
        <v>5</v>
      </c>
    </row>
    <row r="1771" spans="1:18" x14ac:dyDescent="0.25">
      <c r="A1771" t="s">
        <v>2047</v>
      </c>
      <c r="B1771" t="s">
        <v>365</v>
      </c>
      <c r="C1771" t="s">
        <v>366</v>
      </c>
      <c r="D1771" t="s">
        <v>367</v>
      </c>
      <c r="E1771" t="s">
        <v>19</v>
      </c>
      <c r="F1771">
        <f>ventas_libreria[[#This Row],[precio_eur]]/100</f>
        <v>19.84</v>
      </c>
      <c r="G1771">
        <v>1984</v>
      </c>
      <c r="H1771">
        <v>1</v>
      </c>
      <c r="I1771">
        <f>ventas_libreria[[#This Row],[precio]]*ventas_libreria[[#This Row],[cantidad]]</f>
        <v>19.84</v>
      </c>
      <c r="J1771">
        <v>36</v>
      </c>
      <c r="K1771" t="s">
        <v>30</v>
      </c>
      <c r="L1771" s="1">
        <v>45185</v>
      </c>
      <c r="M1771" t="s">
        <v>31</v>
      </c>
      <c r="N1771" t="s">
        <v>22</v>
      </c>
      <c r="O1771" t="s">
        <v>49</v>
      </c>
      <c r="P1771" t="s">
        <v>24</v>
      </c>
      <c r="Q1771">
        <v>5</v>
      </c>
      <c r="R1771">
        <f>IF(ventas_libreria[[#This Row],[valoracion_cliente]]="","Sin valoración",ventas_libreria[[#This Row],[valoracion_cliente]])</f>
        <v>5</v>
      </c>
    </row>
    <row r="1772" spans="1:18" x14ac:dyDescent="0.25">
      <c r="A1772" t="s">
        <v>2048</v>
      </c>
      <c r="B1772" t="s">
        <v>40</v>
      </c>
      <c r="C1772" t="s">
        <v>41</v>
      </c>
      <c r="D1772" t="s">
        <v>42</v>
      </c>
      <c r="E1772" t="s">
        <v>19</v>
      </c>
      <c r="F1772">
        <f>ventas_libreria[[#This Row],[precio_eur]]/100</f>
        <v>1.29</v>
      </c>
      <c r="G1772">
        <v>129</v>
      </c>
      <c r="H1772">
        <v>1</v>
      </c>
      <c r="I1772">
        <f>ventas_libreria[[#This Row],[precio]]*ventas_libreria[[#This Row],[cantidad]]</f>
        <v>1.29</v>
      </c>
      <c r="J1772">
        <v>27</v>
      </c>
      <c r="K1772" t="s">
        <v>62</v>
      </c>
      <c r="L1772" s="1">
        <v>45405</v>
      </c>
      <c r="M1772" t="s">
        <v>21</v>
      </c>
      <c r="N1772" t="s">
        <v>32</v>
      </c>
      <c r="O1772" t="s">
        <v>33</v>
      </c>
      <c r="P1772" t="s">
        <v>24</v>
      </c>
      <c r="Q1772">
        <v>5</v>
      </c>
      <c r="R1772">
        <f>IF(ventas_libreria[[#This Row],[valoracion_cliente]]="","Sin valoración",ventas_libreria[[#This Row],[valoracion_cliente]])</f>
        <v>5</v>
      </c>
    </row>
    <row r="1773" spans="1:18" x14ac:dyDescent="0.25">
      <c r="A1773" t="s">
        <v>2049</v>
      </c>
      <c r="B1773" t="s">
        <v>243</v>
      </c>
      <c r="C1773" t="s">
        <v>244</v>
      </c>
      <c r="D1773" t="s">
        <v>245</v>
      </c>
      <c r="E1773" t="s">
        <v>48</v>
      </c>
      <c r="F1773">
        <f>ventas_libreria[[#This Row],[precio_eur]]/100</f>
        <v>2.19</v>
      </c>
      <c r="G1773">
        <v>219</v>
      </c>
      <c r="H1773">
        <v>1</v>
      </c>
      <c r="I1773">
        <f>ventas_libreria[[#This Row],[precio]]*ventas_libreria[[#This Row],[cantidad]]</f>
        <v>2.19</v>
      </c>
      <c r="J1773">
        <v>30</v>
      </c>
      <c r="K1773" t="s">
        <v>30</v>
      </c>
      <c r="L1773" s="1">
        <v>45023</v>
      </c>
      <c r="M1773" t="s">
        <v>21</v>
      </c>
      <c r="N1773" t="s">
        <v>22</v>
      </c>
      <c r="O1773" t="s">
        <v>98</v>
      </c>
      <c r="P1773" t="s">
        <v>34</v>
      </c>
      <c r="Q1773">
        <v>4</v>
      </c>
      <c r="R1773">
        <f>IF(ventas_libreria[[#This Row],[valoracion_cliente]]="","Sin valoración",ventas_libreria[[#This Row],[valoracion_cliente]])</f>
        <v>4</v>
      </c>
    </row>
    <row r="1774" spans="1:18" x14ac:dyDescent="0.25">
      <c r="A1774" t="s">
        <v>2050</v>
      </c>
      <c r="B1774" t="s">
        <v>353</v>
      </c>
      <c r="C1774" t="s">
        <v>354</v>
      </c>
      <c r="D1774" t="s">
        <v>226</v>
      </c>
      <c r="E1774" t="s">
        <v>116</v>
      </c>
      <c r="F1774">
        <f>ventas_libreria[[#This Row],[precio_eur]]/100</f>
        <v>13.52</v>
      </c>
      <c r="G1774">
        <v>1352</v>
      </c>
      <c r="H1774">
        <v>1</v>
      </c>
      <c r="I1774">
        <f>ventas_libreria[[#This Row],[precio]]*ventas_libreria[[#This Row],[cantidad]]</f>
        <v>13.52</v>
      </c>
      <c r="J1774">
        <v>24</v>
      </c>
      <c r="K1774" t="s">
        <v>30</v>
      </c>
      <c r="L1774" s="1">
        <v>45168</v>
      </c>
      <c r="M1774" t="s">
        <v>43</v>
      </c>
      <c r="N1774" t="s">
        <v>32</v>
      </c>
      <c r="O1774" t="s">
        <v>33</v>
      </c>
      <c r="P1774" t="s">
        <v>50</v>
      </c>
      <c r="Q1774">
        <v>2</v>
      </c>
      <c r="R1774">
        <f>IF(ventas_libreria[[#This Row],[valoracion_cliente]]="","Sin valoración",ventas_libreria[[#This Row],[valoracion_cliente]])</f>
        <v>2</v>
      </c>
    </row>
    <row r="1775" spans="1:18" x14ac:dyDescent="0.25">
      <c r="A1775" t="s">
        <v>2051</v>
      </c>
      <c r="B1775" t="s">
        <v>276</v>
      </c>
      <c r="C1775" t="s">
        <v>277</v>
      </c>
      <c r="D1775" t="s">
        <v>278</v>
      </c>
      <c r="E1775" t="s">
        <v>189</v>
      </c>
      <c r="F1775">
        <f>ventas_libreria[[#This Row],[precio_eur]]/100</f>
        <v>14.32</v>
      </c>
      <c r="G1775">
        <v>1432</v>
      </c>
      <c r="H1775">
        <v>3</v>
      </c>
      <c r="I1775">
        <f>ventas_libreria[[#This Row],[precio]]*ventas_libreria[[#This Row],[cantidad]]</f>
        <v>42.96</v>
      </c>
      <c r="J1775">
        <v>31</v>
      </c>
      <c r="K1775" t="s">
        <v>62</v>
      </c>
      <c r="L1775" s="1">
        <v>45812</v>
      </c>
      <c r="M1775" t="s">
        <v>31</v>
      </c>
      <c r="N1775" t="s">
        <v>22</v>
      </c>
      <c r="O1775" t="s">
        <v>67</v>
      </c>
      <c r="P1775" t="s">
        <v>34</v>
      </c>
      <c r="Q1775">
        <v>5</v>
      </c>
      <c r="R1775">
        <f>IF(ventas_libreria[[#This Row],[valoracion_cliente]]="","Sin valoración",ventas_libreria[[#This Row],[valoracion_cliente]])</f>
        <v>5</v>
      </c>
    </row>
    <row r="1776" spans="1:18" x14ac:dyDescent="0.25">
      <c r="A1776" t="s">
        <v>2052</v>
      </c>
      <c r="B1776" t="s">
        <v>64</v>
      </c>
      <c r="C1776" t="s">
        <v>65</v>
      </c>
      <c r="D1776" t="s">
        <v>66</v>
      </c>
      <c r="E1776" t="s">
        <v>29</v>
      </c>
      <c r="F1776">
        <f>ventas_libreria[[#This Row],[precio_eur]]/100</f>
        <v>1.32</v>
      </c>
      <c r="G1776">
        <v>132</v>
      </c>
      <c r="H1776">
        <v>2</v>
      </c>
      <c r="I1776">
        <f>ventas_libreria[[#This Row],[precio]]*ventas_libreria[[#This Row],[cantidad]]</f>
        <v>2.64</v>
      </c>
      <c r="J1776">
        <v>52</v>
      </c>
      <c r="K1776" t="s">
        <v>62</v>
      </c>
      <c r="L1776" s="1">
        <v>44996</v>
      </c>
      <c r="M1776" t="s">
        <v>31</v>
      </c>
      <c r="N1776" t="s">
        <v>32</v>
      </c>
      <c r="O1776" t="s">
        <v>33</v>
      </c>
      <c r="P1776" t="s">
        <v>34</v>
      </c>
      <c r="Q1776">
        <v>1</v>
      </c>
      <c r="R1776">
        <f>IF(ventas_libreria[[#This Row],[valoracion_cliente]]="","Sin valoración",ventas_libreria[[#This Row],[valoracion_cliente]])</f>
        <v>1</v>
      </c>
    </row>
    <row r="1777" spans="1:18" x14ac:dyDescent="0.25">
      <c r="A1777" t="s">
        <v>2053</v>
      </c>
      <c r="B1777" t="s">
        <v>141</v>
      </c>
      <c r="C1777" t="s">
        <v>142</v>
      </c>
      <c r="D1777" t="s">
        <v>143</v>
      </c>
      <c r="E1777" t="s">
        <v>116</v>
      </c>
      <c r="F1777">
        <f>ventas_libreria[[#This Row],[precio_eur]]/100</f>
        <v>16.39</v>
      </c>
      <c r="G1777">
        <v>1639</v>
      </c>
      <c r="H1777">
        <v>1</v>
      </c>
      <c r="I1777">
        <f>ventas_libreria[[#This Row],[precio]]*ventas_libreria[[#This Row],[cantidad]]</f>
        <v>16.39</v>
      </c>
      <c r="J1777">
        <v>48</v>
      </c>
      <c r="K1777" t="s">
        <v>30</v>
      </c>
      <c r="L1777" s="1">
        <v>45183</v>
      </c>
      <c r="M1777" t="s">
        <v>43</v>
      </c>
      <c r="N1777" t="s">
        <v>32</v>
      </c>
      <c r="O1777" t="s">
        <v>33</v>
      </c>
      <c r="P1777" t="s">
        <v>56</v>
      </c>
      <c r="Q1777">
        <v>4</v>
      </c>
      <c r="R1777">
        <f>IF(ventas_libreria[[#This Row],[valoracion_cliente]]="","Sin valoración",ventas_libreria[[#This Row],[valoracion_cliente]])</f>
        <v>4</v>
      </c>
    </row>
    <row r="1778" spans="1:18" x14ac:dyDescent="0.25">
      <c r="A1778" t="s">
        <v>2054</v>
      </c>
      <c r="B1778" t="s">
        <v>671</v>
      </c>
      <c r="C1778" t="s">
        <v>672</v>
      </c>
      <c r="D1778" t="s">
        <v>673</v>
      </c>
      <c r="E1778" t="s">
        <v>116</v>
      </c>
      <c r="F1778">
        <f>ventas_libreria[[#This Row],[precio_eur]]/100</f>
        <v>13.55</v>
      </c>
      <c r="G1778">
        <v>1355</v>
      </c>
      <c r="H1778">
        <v>1</v>
      </c>
      <c r="I1778">
        <f>ventas_libreria[[#This Row],[precio]]*ventas_libreria[[#This Row],[cantidad]]</f>
        <v>13.55</v>
      </c>
      <c r="J1778">
        <v>52</v>
      </c>
      <c r="K1778" t="s">
        <v>20</v>
      </c>
      <c r="L1778" s="1">
        <v>45355</v>
      </c>
      <c r="M1778" t="s">
        <v>31</v>
      </c>
      <c r="N1778" t="s">
        <v>22</v>
      </c>
      <c r="O1778" t="s">
        <v>23</v>
      </c>
      <c r="P1778" t="s">
        <v>24</v>
      </c>
      <c r="Q1778">
        <v>5</v>
      </c>
      <c r="R1778">
        <f>IF(ventas_libreria[[#This Row],[valoracion_cliente]]="","Sin valoración",ventas_libreria[[#This Row],[valoracion_cliente]])</f>
        <v>5</v>
      </c>
    </row>
    <row r="1779" spans="1:18" x14ac:dyDescent="0.25">
      <c r="A1779" t="s">
        <v>2055</v>
      </c>
      <c r="B1779" t="s">
        <v>307</v>
      </c>
      <c r="C1779" t="s">
        <v>308</v>
      </c>
      <c r="D1779" t="s">
        <v>88</v>
      </c>
      <c r="E1779" t="s">
        <v>77</v>
      </c>
      <c r="F1779">
        <f>ventas_libreria[[#This Row],[precio_eur]]/100</f>
        <v>1.0900000000000001</v>
      </c>
      <c r="G1779">
        <v>109</v>
      </c>
      <c r="H1779">
        <v>1</v>
      </c>
      <c r="I1779">
        <f>ventas_libreria[[#This Row],[precio]]*ventas_libreria[[#This Row],[cantidad]]</f>
        <v>1.0900000000000001</v>
      </c>
      <c r="J1779">
        <v>7</v>
      </c>
      <c r="K1779" t="s">
        <v>38</v>
      </c>
      <c r="L1779" s="1">
        <v>45867</v>
      </c>
      <c r="M1779" t="s">
        <v>43</v>
      </c>
      <c r="N1779" t="s">
        <v>32</v>
      </c>
      <c r="O1779" t="s">
        <v>33</v>
      </c>
      <c r="P1779" t="s">
        <v>24</v>
      </c>
      <c r="Q1779">
        <v>5</v>
      </c>
      <c r="R1779">
        <f>IF(ventas_libreria[[#This Row],[valoracion_cliente]]="","Sin valoración",ventas_libreria[[#This Row],[valoracion_cliente]])</f>
        <v>5</v>
      </c>
    </row>
    <row r="1780" spans="1:18" x14ac:dyDescent="0.25">
      <c r="A1780" t="s">
        <v>2056</v>
      </c>
      <c r="B1780" t="s">
        <v>26</v>
      </c>
      <c r="C1780" t="s">
        <v>27</v>
      </c>
      <c r="D1780" t="s">
        <v>28</v>
      </c>
      <c r="E1780" t="s">
        <v>29</v>
      </c>
      <c r="F1780">
        <f>ventas_libreria[[#This Row],[precio_eur]]/100</f>
        <v>1.89</v>
      </c>
      <c r="G1780">
        <v>189</v>
      </c>
      <c r="H1780">
        <v>1</v>
      </c>
      <c r="I1780">
        <f>ventas_libreria[[#This Row],[precio]]*ventas_libreria[[#This Row],[cantidad]]</f>
        <v>1.89</v>
      </c>
      <c r="J1780">
        <v>39</v>
      </c>
      <c r="K1780" t="s">
        <v>20</v>
      </c>
      <c r="L1780" s="1">
        <v>45189</v>
      </c>
      <c r="M1780" t="s">
        <v>31</v>
      </c>
      <c r="N1780" t="s">
        <v>22</v>
      </c>
      <c r="O1780" t="s">
        <v>132</v>
      </c>
      <c r="P1780" t="s">
        <v>34</v>
      </c>
      <c r="Q1780">
        <v>4</v>
      </c>
      <c r="R1780">
        <f>IF(ventas_libreria[[#This Row],[valoracion_cliente]]="","Sin valoración",ventas_libreria[[#This Row],[valoracion_cliente]])</f>
        <v>4</v>
      </c>
    </row>
    <row r="1781" spans="1:18" x14ac:dyDescent="0.25">
      <c r="A1781" t="s">
        <v>2057</v>
      </c>
      <c r="B1781" t="s">
        <v>186</v>
      </c>
      <c r="C1781" t="s">
        <v>187</v>
      </c>
      <c r="D1781" t="s">
        <v>188</v>
      </c>
      <c r="E1781" t="s">
        <v>189</v>
      </c>
      <c r="F1781">
        <f>ventas_libreria[[#This Row],[precio_eur]]/100</f>
        <v>1.99</v>
      </c>
      <c r="G1781">
        <v>199</v>
      </c>
      <c r="H1781">
        <v>1</v>
      </c>
      <c r="I1781">
        <f>ventas_libreria[[#This Row],[precio]]*ventas_libreria[[#This Row],[cantidad]]</f>
        <v>1.99</v>
      </c>
      <c r="J1781">
        <v>19</v>
      </c>
      <c r="K1781" t="s">
        <v>38</v>
      </c>
      <c r="L1781" s="1">
        <v>45219</v>
      </c>
      <c r="M1781" t="s">
        <v>21</v>
      </c>
      <c r="N1781" t="s">
        <v>32</v>
      </c>
      <c r="O1781" t="s">
        <v>33</v>
      </c>
      <c r="P1781" t="s">
        <v>56</v>
      </c>
      <c r="Q1781">
        <v>4</v>
      </c>
      <c r="R1781">
        <f>IF(ventas_libreria[[#This Row],[valoracion_cliente]]="","Sin valoración",ventas_libreria[[#This Row],[valoracion_cliente]])</f>
        <v>4</v>
      </c>
    </row>
    <row r="1782" spans="1:18" x14ac:dyDescent="0.25">
      <c r="A1782" t="s">
        <v>2058</v>
      </c>
      <c r="B1782" t="s">
        <v>348</v>
      </c>
      <c r="C1782" t="s">
        <v>349</v>
      </c>
      <c r="D1782" t="s">
        <v>350</v>
      </c>
      <c r="E1782" t="s">
        <v>116</v>
      </c>
      <c r="F1782">
        <f>ventas_libreria[[#This Row],[precio_eur]]/100</f>
        <v>17.91</v>
      </c>
      <c r="G1782">
        <v>1791</v>
      </c>
      <c r="H1782">
        <v>2</v>
      </c>
      <c r="I1782">
        <f>ventas_libreria[[#This Row],[precio]]*ventas_libreria[[#This Row],[cantidad]]</f>
        <v>35.82</v>
      </c>
      <c r="J1782">
        <v>71</v>
      </c>
      <c r="K1782" t="s">
        <v>38</v>
      </c>
      <c r="L1782" s="1">
        <v>45169</v>
      </c>
      <c r="M1782" t="s">
        <v>43</v>
      </c>
      <c r="N1782" t="s">
        <v>32</v>
      </c>
      <c r="O1782" t="s">
        <v>33</v>
      </c>
      <c r="P1782" t="s">
        <v>84</v>
      </c>
      <c r="Q1782">
        <v>5</v>
      </c>
      <c r="R1782">
        <f>IF(ventas_libreria[[#This Row],[valoracion_cliente]]="","Sin valoración",ventas_libreria[[#This Row],[valoracion_cliente]])</f>
        <v>5</v>
      </c>
    </row>
    <row r="1783" spans="1:18" x14ac:dyDescent="0.25">
      <c r="A1783" t="s">
        <v>2059</v>
      </c>
      <c r="B1783" t="s">
        <v>549</v>
      </c>
      <c r="C1783" t="s">
        <v>550</v>
      </c>
      <c r="D1783" t="s">
        <v>162</v>
      </c>
      <c r="E1783" t="s">
        <v>29</v>
      </c>
      <c r="F1783">
        <f>ventas_libreria[[#This Row],[precio_eur]]/100</f>
        <v>1.99</v>
      </c>
      <c r="G1783">
        <v>199</v>
      </c>
      <c r="H1783">
        <v>1</v>
      </c>
      <c r="I1783">
        <f>ventas_libreria[[#This Row],[precio]]*ventas_libreria[[#This Row],[cantidad]]</f>
        <v>1.99</v>
      </c>
      <c r="J1783">
        <v>34</v>
      </c>
      <c r="K1783" t="s">
        <v>62</v>
      </c>
      <c r="L1783" s="1">
        <v>45708</v>
      </c>
      <c r="M1783" t="s">
        <v>31</v>
      </c>
      <c r="N1783" t="s">
        <v>22</v>
      </c>
      <c r="O1783" t="s">
        <v>132</v>
      </c>
      <c r="P1783" t="s">
        <v>56</v>
      </c>
      <c r="Q1783">
        <v>3</v>
      </c>
      <c r="R1783">
        <f>IF(ventas_libreria[[#This Row],[valoracion_cliente]]="","Sin valoración",ventas_libreria[[#This Row],[valoracion_cliente]])</f>
        <v>3</v>
      </c>
    </row>
    <row r="1784" spans="1:18" x14ac:dyDescent="0.25">
      <c r="A1784" t="s">
        <v>2060</v>
      </c>
      <c r="B1784" t="s">
        <v>671</v>
      </c>
      <c r="C1784" t="s">
        <v>672</v>
      </c>
      <c r="D1784" t="s">
        <v>673</v>
      </c>
      <c r="E1784" t="s">
        <v>116</v>
      </c>
      <c r="F1784">
        <f>ventas_libreria[[#This Row],[precio_eur]]/100</f>
        <v>1.29</v>
      </c>
      <c r="G1784">
        <v>129</v>
      </c>
      <c r="H1784">
        <v>1</v>
      </c>
      <c r="I1784">
        <f>ventas_libreria[[#This Row],[precio]]*ventas_libreria[[#This Row],[cantidad]]</f>
        <v>1.29</v>
      </c>
      <c r="J1784">
        <v>37</v>
      </c>
      <c r="K1784" t="s">
        <v>62</v>
      </c>
      <c r="L1784" s="1">
        <v>45021</v>
      </c>
      <c r="M1784" t="s">
        <v>21</v>
      </c>
      <c r="N1784" t="s">
        <v>22</v>
      </c>
      <c r="O1784" t="s">
        <v>67</v>
      </c>
      <c r="P1784" t="s">
        <v>24</v>
      </c>
      <c r="Q1784">
        <v>4</v>
      </c>
      <c r="R1784">
        <f>IF(ventas_libreria[[#This Row],[valoracion_cliente]]="","Sin valoración",ventas_libreria[[#This Row],[valoracion_cliente]])</f>
        <v>4</v>
      </c>
    </row>
    <row r="1785" spans="1:18" x14ac:dyDescent="0.25">
      <c r="A1785" t="s">
        <v>2061</v>
      </c>
      <c r="B1785" t="s">
        <v>45</v>
      </c>
      <c r="C1785" t="s">
        <v>46</v>
      </c>
      <c r="D1785" t="s">
        <v>47</v>
      </c>
      <c r="E1785" t="s">
        <v>48</v>
      </c>
      <c r="F1785">
        <f>ventas_libreria[[#This Row],[precio_eur]]/100</f>
        <v>15.92</v>
      </c>
      <c r="G1785">
        <v>1592</v>
      </c>
      <c r="H1785">
        <v>1</v>
      </c>
      <c r="I1785">
        <f>ventas_libreria[[#This Row],[precio]]*ventas_libreria[[#This Row],[cantidad]]</f>
        <v>15.92</v>
      </c>
      <c r="J1785">
        <v>21</v>
      </c>
      <c r="K1785" t="s">
        <v>62</v>
      </c>
      <c r="L1785" s="1">
        <v>45143</v>
      </c>
      <c r="M1785" t="s">
        <v>21</v>
      </c>
      <c r="N1785" t="s">
        <v>22</v>
      </c>
      <c r="O1785" t="s">
        <v>98</v>
      </c>
      <c r="P1785" t="s">
        <v>24</v>
      </c>
      <c r="Q1785">
        <v>4</v>
      </c>
      <c r="R1785">
        <f>IF(ventas_libreria[[#This Row],[valoracion_cliente]]="","Sin valoración",ventas_libreria[[#This Row],[valoracion_cliente]])</f>
        <v>4</v>
      </c>
    </row>
    <row r="1786" spans="1:18" x14ac:dyDescent="0.25">
      <c r="A1786" t="s">
        <v>2062</v>
      </c>
      <c r="B1786" t="s">
        <v>254</v>
      </c>
      <c r="C1786" t="s">
        <v>255</v>
      </c>
      <c r="D1786" t="s">
        <v>139</v>
      </c>
      <c r="E1786" t="s">
        <v>116</v>
      </c>
      <c r="F1786">
        <f>ventas_libreria[[#This Row],[precio_eur]]/100</f>
        <v>1.49</v>
      </c>
      <c r="G1786">
        <v>149</v>
      </c>
      <c r="H1786">
        <v>1</v>
      </c>
      <c r="I1786">
        <f>ventas_libreria[[#This Row],[precio]]*ventas_libreria[[#This Row],[cantidad]]</f>
        <v>1.49</v>
      </c>
      <c r="J1786">
        <v>56</v>
      </c>
      <c r="K1786" t="s">
        <v>62</v>
      </c>
      <c r="L1786" s="1">
        <v>46009</v>
      </c>
      <c r="M1786" t="s">
        <v>21</v>
      </c>
      <c r="N1786" t="s">
        <v>22</v>
      </c>
      <c r="O1786" t="s">
        <v>67</v>
      </c>
      <c r="P1786" t="s">
        <v>84</v>
      </c>
      <c r="Q1786">
        <v>4</v>
      </c>
      <c r="R1786">
        <f>IF(ventas_libreria[[#This Row],[valoracion_cliente]]="","Sin valoración",ventas_libreria[[#This Row],[valoracion_cliente]])</f>
        <v>4</v>
      </c>
    </row>
    <row r="1787" spans="1:18" x14ac:dyDescent="0.25">
      <c r="A1787" t="s">
        <v>2063</v>
      </c>
      <c r="B1787" t="s">
        <v>211</v>
      </c>
      <c r="C1787" t="s">
        <v>212</v>
      </c>
      <c r="D1787" t="s">
        <v>131</v>
      </c>
      <c r="E1787" t="s">
        <v>107</v>
      </c>
      <c r="F1787">
        <f>ventas_libreria[[#This Row],[precio_eur]]/100</f>
        <v>1.69</v>
      </c>
      <c r="G1787">
        <v>169</v>
      </c>
      <c r="H1787">
        <v>2</v>
      </c>
      <c r="I1787">
        <f>ventas_libreria[[#This Row],[precio]]*ventas_libreria[[#This Row],[cantidad]]</f>
        <v>3.38</v>
      </c>
      <c r="J1787">
        <v>12</v>
      </c>
      <c r="K1787" t="s">
        <v>30</v>
      </c>
      <c r="L1787" s="1">
        <v>45009</v>
      </c>
      <c r="M1787" t="s">
        <v>21</v>
      </c>
      <c r="N1787" t="s">
        <v>22</v>
      </c>
      <c r="O1787" t="s">
        <v>49</v>
      </c>
      <c r="P1787" t="s">
        <v>24</v>
      </c>
      <c r="R1787" t="str">
        <f>IF(ventas_libreria[[#This Row],[valoracion_cliente]]="","Sin valoración",ventas_libreria[[#This Row],[valoracion_cliente]])</f>
        <v>Sin valoración</v>
      </c>
    </row>
    <row r="1788" spans="1:18" x14ac:dyDescent="0.25">
      <c r="A1788" t="s">
        <v>2064</v>
      </c>
      <c r="B1788" t="s">
        <v>118</v>
      </c>
      <c r="C1788" t="s">
        <v>119</v>
      </c>
      <c r="D1788" t="s">
        <v>47</v>
      </c>
      <c r="E1788" t="s">
        <v>48</v>
      </c>
      <c r="F1788">
        <f>ventas_libreria[[#This Row],[precio_eur]]/100</f>
        <v>1.59</v>
      </c>
      <c r="G1788">
        <v>159</v>
      </c>
      <c r="H1788">
        <v>1</v>
      </c>
      <c r="I1788">
        <f>ventas_libreria[[#This Row],[precio]]*ventas_libreria[[#This Row],[cantidad]]</f>
        <v>1.59</v>
      </c>
      <c r="J1788">
        <v>65</v>
      </c>
      <c r="K1788" t="s">
        <v>30</v>
      </c>
      <c r="L1788" s="1">
        <v>45326</v>
      </c>
      <c r="M1788" t="s">
        <v>21</v>
      </c>
      <c r="N1788" t="s">
        <v>32</v>
      </c>
      <c r="O1788" t="s">
        <v>33</v>
      </c>
      <c r="P1788" t="s">
        <v>24</v>
      </c>
      <c r="Q1788">
        <v>4</v>
      </c>
      <c r="R1788">
        <f>IF(ventas_libreria[[#This Row],[valoracion_cliente]]="","Sin valoración",ventas_libreria[[#This Row],[valoracion_cliente]])</f>
        <v>4</v>
      </c>
    </row>
    <row r="1789" spans="1:18" x14ac:dyDescent="0.25">
      <c r="A1789" t="s">
        <v>2065</v>
      </c>
      <c r="B1789" t="s">
        <v>338</v>
      </c>
      <c r="C1789" t="s">
        <v>339</v>
      </c>
      <c r="D1789" t="s">
        <v>167</v>
      </c>
      <c r="E1789" t="s">
        <v>61</v>
      </c>
      <c r="F1789">
        <f>ventas_libreria[[#This Row],[precio_eur]]/100</f>
        <v>19.46</v>
      </c>
      <c r="G1789">
        <v>1946</v>
      </c>
      <c r="H1789">
        <v>2</v>
      </c>
      <c r="I1789">
        <f>ventas_libreria[[#This Row],[precio]]*ventas_libreria[[#This Row],[cantidad]]</f>
        <v>38.92</v>
      </c>
      <c r="J1789">
        <v>51</v>
      </c>
      <c r="K1789" t="s">
        <v>30</v>
      </c>
      <c r="L1789" s="1">
        <v>45605</v>
      </c>
      <c r="M1789" t="s">
        <v>43</v>
      </c>
      <c r="N1789" t="s">
        <v>32</v>
      </c>
      <c r="O1789" t="s">
        <v>33</v>
      </c>
      <c r="P1789" t="s">
        <v>34</v>
      </c>
      <c r="Q1789">
        <v>5</v>
      </c>
      <c r="R1789">
        <f>IF(ventas_libreria[[#This Row],[valoracion_cliente]]="","Sin valoración",ventas_libreria[[#This Row],[valoracion_cliente]])</f>
        <v>5</v>
      </c>
    </row>
    <row r="1790" spans="1:18" x14ac:dyDescent="0.25">
      <c r="A1790" t="s">
        <v>2066</v>
      </c>
      <c r="B1790" t="s">
        <v>118</v>
      </c>
      <c r="C1790" t="s">
        <v>119</v>
      </c>
      <c r="D1790" t="s">
        <v>47</v>
      </c>
      <c r="E1790" t="s">
        <v>48</v>
      </c>
      <c r="F1790">
        <f>ventas_libreria[[#This Row],[precio_eur]]/100</f>
        <v>12.72</v>
      </c>
      <c r="G1790">
        <v>1272</v>
      </c>
      <c r="H1790">
        <v>3</v>
      </c>
      <c r="I1790">
        <f>ventas_libreria[[#This Row],[precio]]*ventas_libreria[[#This Row],[cantidad]]</f>
        <v>38.160000000000004</v>
      </c>
      <c r="J1790">
        <v>63</v>
      </c>
      <c r="K1790" t="s">
        <v>20</v>
      </c>
      <c r="L1790" s="1">
        <v>45330</v>
      </c>
      <c r="M1790" t="s">
        <v>43</v>
      </c>
      <c r="N1790" t="s">
        <v>32</v>
      </c>
      <c r="O1790" t="s">
        <v>33</v>
      </c>
      <c r="P1790" t="s">
        <v>56</v>
      </c>
      <c r="Q1790">
        <v>3</v>
      </c>
      <c r="R1790">
        <f>IF(ventas_libreria[[#This Row],[valoracion_cliente]]="","Sin valoración",ventas_libreria[[#This Row],[valoracion_cliente]])</f>
        <v>3</v>
      </c>
    </row>
    <row r="1791" spans="1:18" x14ac:dyDescent="0.25">
      <c r="A1791" t="s">
        <v>2067</v>
      </c>
      <c r="B1791" t="s">
        <v>243</v>
      </c>
      <c r="C1791" t="s">
        <v>244</v>
      </c>
      <c r="D1791" t="s">
        <v>245</v>
      </c>
      <c r="E1791" t="s">
        <v>48</v>
      </c>
      <c r="F1791">
        <f>ventas_libreria[[#This Row],[precio_eur]]/100</f>
        <v>2.19</v>
      </c>
      <c r="G1791">
        <v>219</v>
      </c>
      <c r="H1791">
        <v>2</v>
      </c>
      <c r="I1791">
        <f>ventas_libreria[[#This Row],[precio]]*ventas_libreria[[#This Row],[cantidad]]</f>
        <v>4.38</v>
      </c>
      <c r="J1791">
        <v>33</v>
      </c>
      <c r="K1791" t="s">
        <v>30</v>
      </c>
      <c r="L1791" s="1">
        <v>45358</v>
      </c>
      <c r="M1791" t="s">
        <v>21</v>
      </c>
      <c r="N1791" t="s">
        <v>22</v>
      </c>
      <c r="O1791" t="s">
        <v>49</v>
      </c>
      <c r="P1791" t="s">
        <v>56</v>
      </c>
      <c r="Q1791">
        <v>5</v>
      </c>
      <c r="R1791">
        <f>IF(ventas_libreria[[#This Row],[valoracion_cliente]]="","Sin valoración",ventas_libreria[[#This Row],[valoracion_cliente]])</f>
        <v>5</v>
      </c>
    </row>
    <row r="1792" spans="1:18" x14ac:dyDescent="0.25">
      <c r="A1792" t="s">
        <v>2068</v>
      </c>
      <c r="B1792" t="s">
        <v>243</v>
      </c>
      <c r="C1792" t="s">
        <v>244</v>
      </c>
      <c r="D1792" t="s">
        <v>245</v>
      </c>
      <c r="E1792" t="s">
        <v>48</v>
      </c>
      <c r="F1792">
        <f>ventas_libreria[[#This Row],[precio_eur]]/100</f>
        <v>2.19</v>
      </c>
      <c r="G1792">
        <v>219</v>
      </c>
      <c r="H1792">
        <v>1</v>
      </c>
      <c r="I1792">
        <f>ventas_libreria[[#This Row],[precio]]*ventas_libreria[[#This Row],[cantidad]]</f>
        <v>2.19</v>
      </c>
      <c r="J1792">
        <v>28</v>
      </c>
      <c r="K1792" t="s">
        <v>38</v>
      </c>
      <c r="L1792" s="1">
        <v>45496</v>
      </c>
      <c r="M1792" t="s">
        <v>43</v>
      </c>
      <c r="N1792" t="s">
        <v>32</v>
      </c>
      <c r="O1792" t="s">
        <v>33</v>
      </c>
      <c r="P1792" t="s">
        <v>50</v>
      </c>
      <c r="Q1792">
        <v>5</v>
      </c>
      <c r="R1792">
        <f>IF(ventas_libreria[[#This Row],[valoracion_cliente]]="","Sin valoración",ventas_libreria[[#This Row],[valoracion_cliente]])</f>
        <v>5</v>
      </c>
    </row>
    <row r="1793" spans="1:18" x14ac:dyDescent="0.25">
      <c r="A1793" t="s">
        <v>2069</v>
      </c>
      <c r="B1793" t="s">
        <v>307</v>
      </c>
      <c r="C1793" t="s">
        <v>308</v>
      </c>
      <c r="D1793" t="s">
        <v>88</v>
      </c>
      <c r="E1793" t="s">
        <v>77</v>
      </c>
      <c r="F1793">
        <f>ventas_libreria[[#This Row],[precio_eur]]/100</f>
        <v>1.0900000000000001</v>
      </c>
      <c r="G1793">
        <v>109</v>
      </c>
      <c r="H1793">
        <v>1</v>
      </c>
      <c r="I1793">
        <f>ventas_libreria[[#This Row],[precio]]*ventas_libreria[[#This Row],[cantidad]]</f>
        <v>1.0900000000000001</v>
      </c>
      <c r="J1793">
        <v>8</v>
      </c>
      <c r="K1793" t="s">
        <v>20</v>
      </c>
      <c r="L1793" s="1">
        <v>45693</v>
      </c>
      <c r="M1793" t="s">
        <v>21</v>
      </c>
      <c r="N1793" t="s">
        <v>32</v>
      </c>
      <c r="O1793" t="s">
        <v>33</v>
      </c>
      <c r="P1793" t="s">
        <v>24</v>
      </c>
      <c r="Q1793">
        <v>5</v>
      </c>
      <c r="R1793">
        <f>IF(ventas_libreria[[#This Row],[valoracion_cliente]]="","Sin valoración",ventas_libreria[[#This Row],[valoracion_cliente]])</f>
        <v>5</v>
      </c>
    </row>
    <row r="1794" spans="1:18" x14ac:dyDescent="0.25">
      <c r="A1794" t="s">
        <v>2070</v>
      </c>
      <c r="B1794" t="s">
        <v>165</v>
      </c>
      <c r="C1794" t="s">
        <v>166</v>
      </c>
      <c r="D1794" t="s">
        <v>167</v>
      </c>
      <c r="E1794" t="s">
        <v>61</v>
      </c>
      <c r="F1794">
        <f>ventas_libreria[[#This Row],[precio_eur]]/100</f>
        <v>1.49</v>
      </c>
      <c r="G1794">
        <v>149</v>
      </c>
      <c r="H1794">
        <v>1</v>
      </c>
      <c r="I1794">
        <f>ventas_libreria[[#This Row],[precio]]*ventas_libreria[[#This Row],[cantidad]]</f>
        <v>1.49</v>
      </c>
      <c r="J1794">
        <v>40</v>
      </c>
      <c r="K1794" t="s">
        <v>30</v>
      </c>
      <c r="L1794" s="1">
        <v>45862</v>
      </c>
      <c r="M1794" t="s">
        <v>31</v>
      </c>
      <c r="N1794" t="s">
        <v>32</v>
      </c>
      <c r="O1794" t="s">
        <v>33</v>
      </c>
      <c r="P1794" t="s">
        <v>50</v>
      </c>
      <c r="Q1794">
        <v>4</v>
      </c>
      <c r="R1794">
        <f>IF(ventas_libreria[[#This Row],[valoracion_cliente]]="","Sin valoración",ventas_libreria[[#This Row],[valoracion_cliente]])</f>
        <v>4</v>
      </c>
    </row>
    <row r="1795" spans="1:18" x14ac:dyDescent="0.25">
      <c r="A1795" t="s">
        <v>2071</v>
      </c>
      <c r="B1795" t="s">
        <v>466</v>
      </c>
      <c r="C1795" t="s">
        <v>467</v>
      </c>
      <c r="D1795" t="s">
        <v>468</v>
      </c>
      <c r="E1795" t="s">
        <v>154</v>
      </c>
      <c r="F1795">
        <f>ventas_libreria[[#This Row],[precio_eur]]/100</f>
        <v>17.010000000000002</v>
      </c>
      <c r="G1795">
        <v>1701</v>
      </c>
      <c r="H1795">
        <v>1</v>
      </c>
      <c r="I1795">
        <f>ventas_libreria[[#This Row],[precio]]*ventas_libreria[[#This Row],[cantidad]]</f>
        <v>17.010000000000002</v>
      </c>
      <c r="J1795">
        <v>24</v>
      </c>
      <c r="K1795" t="s">
        <v>38</v>
      </c>
      <c r="L1795" s="1">
        <v>45764</v>
      </c>
      <c r="M1795" t="s">
        <v>43</v>
      </c>
      <c r="N1795" t="s">
        <v>32</v>
      </c>
      <c r="O1795" t="s">
        <v>33</v>
      </c>
      <c r="P1795" t="s">
        <v>56</v>
      </c>
      <c r="Q1795">
        <v>5</v>
      </c>
      <c r="R1795">
        <f>IF(ventas_libreria[[#This Row],[valoracion_cliente]]="","Sin valoración",ventas_libreria[[#This Row],[valoracion_cliente]])</f>
        <v>5</v>
      </c>
    </row>
    <row r="1796" spans="1:18" x14ac:dyDescent="0.25">
      <c r="A1796" t="s">
        <v>2072</v>
      </c>
      <c r="B1796" t="s">
        <v>181</v>
      </c>
      <c r="C1796" t="s">
        <v>182</v>
      </c>
      <c r="D1796" t="s">
        <v>183</v>
      </c>
      <c r="E1796" t="s">
        <v>116</v>
      </c>
      <c r="F1796">
        <f>ventas_libreria[[#This Row],[precio_eur]]/100</f>
        <v>11.12</v>
      </c>
      <c r="G1796">
        <v>1112</v>
      </c>
      <c r="H1796">
        <v>2</v>
      </c>
      <c r="I1796">
        <f>ventas_libreria[[#This Row],[precio]]*ventas_libreria[[#This Row],[cantidad]]</f>
        <v>22.24</v>
      </c>
      <c r="J1796">
        <v>69</v>
      </c>
      <c r="K1796" t="s">
        <v>30</v>
      </c>
      <c r="L1796" s="1">
        <v>45433</v>
      </c>
      <c r="M1796" t="s">
        <v>21</v>
      </c>
      <c r="N1796" t="s">
        <v>32</v>
      </c>
      <c r="O1796" t="s">
        <v>33</v>
      </c>
      <c r="P1796" t="s">
        <v>34</v>
      </c>
      <c r="Q1796">
        <v>5</v>
      </c>
      <c r="R1796">
        <f>IF(ventas_libreria[[#This Row],[valoracion_cliente]]="","Sin valoración",ventas_libreria[[#This Row],[valoracion_cliente]])</f>
        <v>5</v>
      </c>
    </row>
    <row r="1797" spans="1:18" x14ac:dyDescent="0.25">
      <c r="A1797" t="s">
        <v>2073</v>
      </c>
      <c r="B1797" t="s">
        <v>109</v>
      </c>
      <c r="C1797" t="s">
        <v>110</v>
      </c>
      <c r="D1797" t="s">
        <v>111</v>
      </c>
      <c r="E1797" t="s">
        <v>55</v>
      </c>
      <c r="F1797">
        <f>ventas_libreria[[#This Row],[precio_eur]]/100</f>
        <v>1.99</v>
      </c>
      <c r="G1797">
        <v>199</v>
      </c>
      <c r="H1797">
        <v>1</v>
      </c>
      <c r="I1797">
        <f>ventas_libreria[[#This Row],[precio]]*ventas_libreria[[#This Row],[cantidad]]</f>
        <v>1.99</v>
      </c>
      <c r="J1797">
        <v>47</v>
      </c>
      <c r="K1797" t="s">
        <v>62</v>
      </c>
      <c r="L1797" s="1">
        <v>45973</v>
      </c>
      <c r="M1797" t="s">
        <v>31</v>
      </c>
      <c r="N1797" t="s">
        <v>32</v>
      </c>
      <c r="O1797" t="s">
        <v>33</v>
      </c>
      <c r="P1797" t="s">
        <v>84</v>
      </c>
      <c r="Q1797">
        <v>3</v>
      </c>
      <c r="R1797">
        <f>IF(ventas_libreria[[#This Row],[valoracion_cliente]]="","Sin valoración",ventas_libreria[[#This Row],[valoracion_cliente]])</f>
        <v>3</v>
      </c>
    </row>
    <row r="1798" spans="1:18" x14ac:dyDescent="0.25">
      <c r="A1798" t="s">
        <v>2074</v>
      </c>
      <c r="B1798" t="s">
        <v>118</v>
      </c>
      <c r="C1798" t="s">
        <v>119</v>
      </c>
      <c r="D1798" t="s">
        <v>47</v>
      </c>
      <c r="E1798" t="s">
        <v>48</v>
      </c>
      <c r="F1798">
        <f>ventas_libreria[[#This Row],[precio_eur]]/100</f>
        <v>14.31</v>
      </c>
      <c r="G1798">
        <v>1431</v>
      </c>
      <c r="H1798">
        <v>4</v>
      </c>
      <c r="I1798">
        <f>ventas_libreria[[#This Row],[precio]]*ventas_libreria[[#This Row],[cantidad]]</f>
        <v>57.24</v>
      </c>
      <c r="J1798">
        <v>37</v>
      </c>
      <c r="K1798" t="s">
        <v>20</v>
      </c>
      <c r="L1798" s="1">
        <v>45567</v>
      </c>
      <c r="M1798" t="s">
        <v>43</v>
      </c>
      <c r="N1798" t="s">
        <v>32</v>
      </c>
      <c r="O1798" t="s">
        <v>33</v>
      </c>
      <c r="P1798" t="s">
        <v>34</v>
      </c>
      <c r="Q1798">
        <v>3</v>
      </c>
      <c r="R1798">
        <f>IF(ventas_libreria[[#This Row],[valoracion_cliente]]="","Sin valoración",ventas_libreria[[#This Row],[valoracion_cliente]])</f>
        <v>3</v>
      </c>
    </row>
    <row r="1799" spans="1:18" x14ac:dyDescent="0.25">
      <c r="A1799" t="s">
        <v>2075</v>
      </c>
      <c r="B1799" t="s">
        <v>353</v>
      </c>
      <c r="C1799" t="s">
        <v>354</v>
      </c>
      <c r="D1799" t="s">
        <v>226</v>
      </c>
      <c r="E1799" t="s">
        <v>116</v>
      </c>
      <c r="F1799">
        <f>ventas_libreria[[#This Row],[precio_eur]]/100</f>
        <v>13.52</v>
      </c>
      <c r="G1799">
        <v>1352</v>
      </c>
      <c r="H1799">
        <v>1</v>
      </c>
      <c r="I1799">
        <f>ventas_libreria[[#This Row],[precio]]*ventas_libreria[[#This Row],[cantidad]]</f>
        <v>13.52</v>
      </c>
      <c r="J1799">
        <v>42</v>
      </c>
      <c r="K1799" t="s">
        <v>30</v>
      </c>
      <c r="L1799" s="1">
        <v>45217</v>
      </c>
      <c r="M1799" t="s">
        <v>43</v>
      </c>
      <c r="N1799" t="s">
        <v>32</v>
      </c>
      <c r="O1799" t="s">
        <v>33</v>
      </c>
      <c r="P1799" t="s">
        <v>56</v>
      </c>
      <c r="Q1799">
        <v>4</v>
      </c>
      <c r="R1799">
        <f>IF(ventas_libreria[[#This Row],[valoracion_cliente]]="","Sin valoración",ventas_libreria[[#This Row],[valoracion_cliente]])</f>
        <v>4</v>
      </c>
    </row>
    <row r="1800" spans="1:18" x14ac:dyDescent="0.25">
      <c r="A1800" t="s">
        <v>2076</v>
      </c>
      <c r="B1800" t="s">
        <v>508</v>
      </c>
      <c r="C1800" t="s">
        <v>509</v>
      </c>
      <c r="D1800" t="s">
        <v>199</v>
      </c>
      <c r="E1800" t="s">
        <v>55</v>
      </c>
      <c r="F1800">
        <f>ventas_libreria[[#This Row],[precio_eur]]/100</f>
        <v>16.059999999999999</v>
      </c>
      <c r="G1800">
        <v>1606</v>
      </c>
      <c r="H1800">
        <v>2</v>
      </c>
      <c r="I1800">
        <f>ventas_libreria[[#This Row],[precio]]*ventas_libreria[[#This Row],[cantidad]]</f>
        <v>32.119999999999997</v>
      </c>
      <c r="J1800">
        <v>65</v>
      </c>
      <c r="K1800" t="s">
        <v>62</v>
      </c>
      <c r="L1800" s="1">
        <v>45935</v>
      </c>
      <c r="M1800" t="s">
        <v>21</v>
      </c>
      <c r="N1800" t="s">
        <v>32</v>
      </c>
      <c r="O1800" t="s">
        <v>33</v>
      </c>
      <c r="P1800" t="s">
        <v>50</v>
      </c>
      <c r="Q1800">
        <v>3</v>
      </c>
      <c r="R1800">
        <f>IF(ventas_libreria[[#This Row],[valoracion_cliente]]="","Sin valoración",ventas_libreria[[#This Row],[valoracion_cliente]])</f>
        <v>3</v>
      </c>
    </row>
    <row r="1801" spans="1:18" x14ac:dyDescent="0.25">
      <c r="A1801" t="s">
        <v>2077</v>
      </c>
      <c r="B1801" t="s">
        <v>413</v>
      </c>
      <c r="C1801" t="s">
        <v>414</v>
      </c>
      <c r="D1801" t="s">
        <v>270</v>
      </c>
      <c r="E1801" t="s">
        <v>415</v>
      </c>
      <c r="F1801">
        <f>ventas_libreria[[#This Row],[precio_eur]]/100</f>
        <v>8.42</v>
      </c>
      <c r="G1801">
        <v>842</v>
      </c>
      <c r="H1801">
        <v>1</v>
      </c>
      <c r="I1801">
        <f>ventas_libreria[[#This Row],[precio]]*ventas_libreria[[#This Row],[cantidad]]</f>
        <v>8.42</v>
      </c>
      <c r="J1801">
        <v>63</v>
      </c>
      <c r="K1801" t="s">
        <v>20</v>
      </c>
      <c r="L1801" s="1">
        <v>45556</v>
      </c>
      <c r="M1801" t="s">
        <v>43</v>
      </c>
      <c r="N1801" t="s">
        <v>32</v>
      </c>
      <c r="O1801" t="s">
        <v>33</v>
      </c>
      <c r="P1801" t="s">
        <v>34</v>
      </c>
      <c r="Q1801">
        <v>4</v>
      </c>
      <c r="R1801">
        <f>IF(ventas_libreria[[#This Row],[valoracion_cliente]]="","Sin valoración",ventas_libreria[[#This Row],[valoracion_cliente]])</f>
        <v>4</v>
      </c>
    </row>
    <row r="1802" spans="1:18" x14ac:dyDescent="0.25">
      <c r="A1802" t="s">
        <v>2078</v>
      </c>
      <c r="B1802" t="s">
        <v>129</v>
      </c>
      <c r="C1802" t="s">
        <v>130</v>
      </c>
      <c r="D1802" t="s">
        <v>131</v>
      </c>
      <c r="E1802" t="s">
        <v>107</v>
      </c>
      <c r="F1802">
        <f>ventas_libreria[[#This Row],[precio_eur]]/100</f>
        <v>14.31</v>
      </c>
      <c r="G1802">
        <v>1431</v>
      </c>
      <c r="H1802">
        <v>1</v>
      </c>
      <c r="I1802">
        <f>ventas_libreria[[#This Row],[precio]]*ventas_libreria[[#This Row],[cantidad]]</f>
        <v>14.31</v>
      </c>
      <c r="J1802">
        <v>17</v>
      </c>
      <c r="K1802" t="s">
        <v>62</v>
      </c>
      <c r="L1802" s="1">
        <v>45668</v>
      </c>
      <c r="M1802" t="s">
        <v>21</v>
      </c>
      <c r="N1802" t="s">
        <v>22</v>
      </c>
      <c r="O1802" t="s">
        <v>23</v>
      </c>
      <c r="P1802" t="s">
        <v>34</v>
      </c>
      <c r="Q1802">
        <v>5</v>
      </c>
      <c r="R1802">
        <f>IF(ventas_libreria[[#This Row],[valoracion_cliente]]="","Sin valoración",ventas_libreria[[#This Row],[valoracion_cliente]])</f>
        <v>5</v>
      </c>
    </row>
    <row r="1803" spans="1:18" x14ac:dyDescent="0.25">
      <c r="A1803" t="s">
        <v>2079</v>
      </c>
      <c r="B1803" t="s">
        <v>109</v>
      </c>
      <c r="C1803" t="s">
        <v>110</v>
      </c>
      <c r="D1803" t="s">
        <v>111</v>
      </c>
      <c r="E1803" t="s">
        <v>55</v>
      </c>
      <c r="F1803">
        <f>ventas_libreria[[#This Row],[precio_eur]]/100</f>
        <v>1.99</v>
      </c>
      <c r="G1803">
        <v>199</v>
      </c>
      <c r="H1803">
        <v>1</v>
      </c>
      <c r="I1803">
        <f>ventas_libreria[[#This Row],[precio]]*ventas_libreria[[#This Row],[cantidad]]</f>
        <v>1.99</v>
      </c>
      <c r="J1803">
        <v>57</v>
      </c>
      <c r="K1803" t="s">
        <v>20</v>
      </c>
      <c r="L1803" s="1">
        <v>45979</v>
      </c>
      <c r="M1803" t="s">
        <v>43</v>
      </c>
      <c r="N1803" t="s">
        <v>32</v>
      </c>
      <c r="O1803" t="s">
        <v>33</v>
      </c>
      <c r="P1803" t="s">
        <v>84</v>
      </c>
      <c r="Q1803">
        <v>4</v>
      </c>
      <c r="R1803">
        <f>IF(ventas_libreria[[#This Row],[valoracion_cliente]]="","Sin valoración",ventas_libreria[[#This Row],[valoracion_cliente]])</f>
        <v>4</v>
      </c>
    </row>
    <row r="1804" spans="1:18" x14ac:dyDescent="0.25">
      <c r="A1804" t="s">
        <v>2080</v>
      </c>
      <c r="B1804" t="s">
        <v>95</v>
      </c>
      <c r="C1804" t="s">
        <v>96</v>
      </c>
      <c r="D1804" t="s">
        <v>97</v>
      </c>
      <c r="E1804" t="s">
        <v>29</v>
      </c>
      <c r="F1804">
        <f>ventas_libreria[[#This Row],[precio_eur]]/100</f>
        <v>15.21</v>
      </c>
      <c r="G1804">
        <v>1521</v>
      </c>
      <c r="H1804">
        <v>1</v>
      </c>
      <c r="I1804">
        <f>ventas_libreria[[#This Row],[precio]]*ventas_libreria[[#This Row],[cantidad]]</f>
        <v>15.21</v>
      </c>
      <c r="J1804">
        <v>31</v>
      </c>
      <c r="K1804" t="s">
        <v>62</v>
      </c>
      <c r="L1804" s="1">
        <v>46009</v>
      </c>
      <c r="M1804" t="s">
        <v>21</v>
      </c>
      <c r="N1804" t="s">
        <v>32</v>
      </c>
      <c r="O1804" t="s">
        <v>33</v>
      </c>
      <c r="P1804" t="s">
        <v>56</v>
      </c>
      <c r="Q1804">
        <v>5</v>
      </c>
      <c r="R1804">
        <f>IF(ventas_libreria[[#This Row],[valoracion_cliente]]="","Sin valoración",ventas_libreria[[#This Row],[valoracion_cliente]])</f>
        <v>5</v>
      </c>
    </row>
    <row r="1805" spans="1:18" x14ac:dyDescent="0.25">
      <c r="A1805" t="s">
        <v>2081</v>
      </c>
      <c r="B1805" t="s">
        <v>64</v>
      </c>
      <c r="C1805" t="s">
        <v>65</v>
      </c>
      <c r="D1805" t="s">
        <v>66</v>
      </c>
      <c r="E1805" t="s">
        <v>29</v>
      </c>
      <c r="F1805">
        <f>ventas_libreria[[#This Row],[precio_eur]]/100</f>
        <v>1.32</v>
      </c>
      <c r="G1805">
        <v>132</v>
      </c>
      <c r="H1805">
        <v>1</v>
      </c>
      <c r="I1805">
        <f>ventas_libreria[[#This Row],[precio]]*ventas_libreria[[#This Row],[cantidad]]</f>
        <v>1.32</v>
      </c>
      <c r="J1805">
        <v>75</v>
      </c>
      <c r="K1805" t="s">
        <v>20</v>
      </c>
      <c r="L1805" s="1">
        <v>45354</v>
      </c>
      <c r="M1805" t="s">
        <v>21</v>
      </c>
      <c r="N1805" t="s">
        <v>32</v>
      </c>
      <c r="O1805" t="s">
        <v>33</v>
      </c>
      <c r="P1805" t="s">
        <v>34</v>
      </c>
      <c r="R1805" t="str">
        <f>IF(ventas_libreria[[#This Row],[valoracion_cliente]]="","Sin valoración",ventas_libreria[[#This Row],[valoracion_cliente]])</f>
        <v>Sin valoración</v>
      </c>
    </row>
    <row r="1806" spans="1:18" x14ac:dyDescent="0.25">
      <c r="A1806" t="s">
        <v>2082</v>
      </c>
      <c r="B1806" t="s">
        <v>121</v>
      </c>
      <c r="C1806" t="s">
        <v>122</v>
      </c>
      <c r="D1806" t="s">
        <v>123</v>
      </c>
      <c r="E1806" t="s">
        <v>48</v>
      </c>
      <c r="F1806">
        <f>ventas_libreria[[#This Row],[precio_eur]]/100</f>
        <v>18.59</v>
      </c>
      <c r="G1806">
        <v>1859</v>
      </c>
      <c r="H1806">
        <v>1</v>
      </c>
      <c r="I1806">
        <f>ventas_libreria[[#This Row],[precio]]*ventas_libreria[[#This Row],[cantidad]]</f>
        <v>18.59</v>
      </c>
      <c r="J1806">
        <v>22</v>
      </c>
      <c r="K1806" t="s">
        <v>62</v>
      </c>
      <c r="L1806" s="1">
        <v>45569</v>
      </c>
      <c r="M1806" t="s">
        <v>21</v>
      </c>
      <c r="N1806" t="s">
        <v>32</v>
      </c>
      <c r="O1806" t="s">
        <v>33</v>
      </c>
      <c r="P1806" t="s">
        <v>24</v>
      </c>
      <c r="Q1806">
        <v>4</v>
      </c>
      <c r="R1806">
        <f>IF(ventas_libreria[[#This Row],[valoracion_cliente]]="","Sin valoración",ventas_libreria[[#This Row],[valoracion_cliente]])</f>
        <v>4</v>
      </c>
    </row>
    <row r="1807" spans="1:18" x14ac:dyDescent="0.25">
      <c r="A1807" t="s">
        <v>2083</v>
      </c>
      <c r="B1807" t="s">
        <v>193</v>
      </c>
      <c r="C1807" t="s">
        <v>194</v>
      </c>
      <c r="D1807" t="s">
        <v>195</v>
      </c>
      <c r="E1807" t="s">
        <v>48</v>
      </c>
      <c r="F1807">
        <f>ventas_libreria[[#This Row],[precio_eur]]/100</f>
        <v>17.91</v>
      </c>
      <c r="G1807">
        <v>1791</v>
      </c>
      <c r="H1807">
        <v>1</v>
      </c>
      <c r="I1807">
        <f>ventas_libreria[[#This Row],[precio]]*ventas_libreria[[#This Row],[cantidad]]</f>
        <v>17.91</v>
      </c>
      <c r="J1807">
        <v>24</v>
      </c>
      <c r="K1807" t="s">
        <v>38</v>
      </c>
      <c r="L1807" s="1">
        <v>45594</v>
      </c>
      <c r="M1807" t="s">
        <v>43</v>
      </c>
      <c r="N1807" t="s">
        <v>32</v>
      </c>
      <c r="O1807" t="s">
        <v>33</v>
      </c>
      <c r="P1807" t="s">
        <v>24</v>
      </c>
      <c r="Q1807">
        <v>4</v>
      </c>
      <c r="R1807">
        <f>IF(ventas_libreria[[#This Row],[valoracion_cliente]]="","Sin valoración",ventas_libreria[[#This Row],[valoracion_cliente]])</f>
        <v>4</v>
      </c>
    </row>
    <row r="1808" spans="1:18" x14ac:dyDescent="0.25">
      <c r="A1808" t="s">
        <v>2084</v>
      </c>
      <c r="B1808" t="s">
        <v>318</v>
      </c>
      <c r="C1808" t="s">
        <v>319</v>
      </c>
      <c r="D1808" t="s">
        <v>167</v>
      </c>
      <c r="E1808" t="s">
        <v>61</v>
      </c>
      <c r="F1808">
        <f>ventas_libreria[[#This Row],[precio_eur]]/100</f>
        <v>1.89</v>
      </c>
      <c r="G1808">
        <v>189</v>
      </c>
      <c r="H1808">
        <v>1</v>
      </c>
      <c r="I1808">
        <f>ventas_libreria[[#This Row],[precio]]*ventas_libreria[[#This Row],[cantidad]]</f>
        <v>1.89</v>
      </c>
      <c r="J1808">
        <v>64</v>
      </c>
      <c r="K1808" t="s">
        <v>62</v>
      </c>
      <c r="L1808" s="1">
        <v>45802</v>
      </c>
      <c r="M1808" t="s">
        <v>43</v>
      </c>
      <c r="N1808" t="s">
        <v>32</v>
      </c>
      <c r="O1808" t="s">
        <v>33</v>
      </c>
      <c r="P1808" t="s">
        <v>34</v>
      </c>
      <c r="Q1808">
        <v>3</v>
      </c>
      <c r="R1808">
        <f>IF(ventas_libreria[[#This Row],[valoracion_cliente]]="","Sin valoración",ventas_libreria[[#This Row],[valoracion_cliente]])</f>
        <v>3</v>
      </c>
    </row>
    <row r="1809" spans="1:18" x14ac:dyDescent="0.25">
      <c r="A1809" t="s">
        <v>2085</v>
      </c>
      <c r="B1809" t="s">
        <v>296</v>
      </c>
      <c r="C1809" t="s">
        <v>297</v>
      </c>
      <c r="D1809" t="s">
        <v>298</v>
      </c>
      <c r="E1809" t="s">
        <v>154</v>
      </c>
      <c r="F1809">
        <f>ventas_libreria[[#This Row],[precio_eur]]/100</f>
        <v>16.11</v>
      </c>
      <c r="G1809">
        <v>1611</v>
      </c>
      <c r="H1809">
        <v>1</v>
      </c>
      <c r="I1809">
        <f>ventas_libreria[[#This Row],[precio]]*ventas_libreria[[#This Row],[cantidad]]</f>
        <v>16.11</v>
      </c>
      <c r="J1809">
        <v>74</v>
      </c>
      <c r="K1809" t="s">
        <v>38</v>
      </c>
      <c r="L1809" s="1">
        <v>45314</v>
      </c>
      <c r="M1809" t="s">
        <v>43</v>
      </c>
      <c r="N1809" t="s">
        <v>32</v>
      </c>
      <c r="O1809" t="s">
        <v>33</v>
      </c>
      <c r="P1809" t="s">
        <v>56</v>
      </c>
      <c r="Q1809">
        <v>2</v>
      </c>
      <c r="R1809">
        <f>IF(ventas_libreria[[#This Row],[valoracion_cliente]]="","Sin valoración",ventas_libreria[[#This Row],[valoracion_cliente]])</f>
        <v>2</v>
      </c>
    </row>
    <row r="1810" spans="1:18" x14ac:dyDescent="0.25">
      <c r="A1810" t="s">
        <v>2086</v>
      </c>
      <c r="B1810" t="s">
        <v>403</v>
      </c>
      <c r="C1810" t="s">
        <v>404</v>
      </c>
      <c r="D1810" t="s">
        <v>123</v>
      </c>
      <c r="E1810" t="s">
        <v>48</v>
      </c>
      <c r="F1810">
        <f>ventas_libreria[[#This Row],[precio_eur]]/100</f>
        <v>2.99</v>
      </c>
      <c r="G1810">
        <v>299</v>
      </c>
      <c r="H1810">
        <v>1</v>
      </c>
      <c r="I1810">
        <f>ventas_libreria[[#This Row],[precio]]*ventas_libreria[[#This Row],[cantidad]]</f>
        <v>2.99</v>
      </c>
      <c r="J1810">
        <v>18</v>
      </c>
      <c r="K1810" t="s">
        <v>20</v>
      </c>
      <c r="L1810" s="1">
        <v>45113</v>
      </c>
      <c r="M1810" t="s">
        <v>21</v>
      </c>
      <c r="N1810" t="s">
        <v>22</v>
      </c>
      <c r="O1810" t="s">
        <v>67</v>
      </c>
      <c r="P1810" t="s">
        <v>56</v>
      </c>
      <c r="Q1810">
        <v>4</v>
      </c>
      <c r="R1810">
        <f>IF(ventas_libreria[[#This Row],[valoracion_cliente]]="","Sin valoración",ventas_libreria[[#This Row],[valoracion_cliente]])</f>
        <v>4</v>
      </c>
    </row>
    <row r="1811" spans="1:18" x14ac:dyDescent="0.25">
      <c r="A1811" t="s">
        <v>2087</v>
      </c>
      <c r="B1811" t="s">
        <v>602</v>
      </c>
      <c r="C1811" t="s">
        <v>603</v>
      </c>
      <c r="D1811" t="s">
        <v>217</v>
      </c>
      <c r="E1811" t="s">
        <v>55</v>
      </c>
      <c r="F1811">
        <f>ventas_libreria[[#This Row],[precio_eur]]/100</f>
        <v>15.21</v>
      </c>
      <c r="G1811">
        <v>1521</v>
      </c>
      <c r="H1811">
        <v>2</v>
      </c>
      <c r="I1811">
        <f>ventas_libreria[[#This Row],[precio]]*ventas_libreria[[#This Row],[cantidad]]</f>
        <v>30.42</v>
      </c>
      <c r="J1811">
        <v>16</v>
      </c>
      <c r="K1811" t="s">
        <v>38</v>
      </c>
      <c r="L1811" s="1">
        <v>45699</v>
      </c>
      <c r="M1811" t="s">
        <v>43</v>
      </c>
      <c r="N1811" t="s">
        <v>32</v>
      </c>
      <c r="O1811" t="s">
        <v>33</v>
      </c>
      <c r="P1811" t="s">
        <v>24</v>
      </c>
      <c r="Q1811">
        <v>3</v>
      </c>
      <c r="R1811">
        <f>IF(ventas_libreria[[#This Row],[valoracion_cliente]]="","Sin valoración",ventas_libreria[[#This Row],[valoracion_cliente]])</f>
        <v>3</v>
      </c>
    </row>
    <row r="1812" spans="1:18" x14ac:dyDescent="0.25">
      <c r="A1812" t="s">
        <v>2088</v>
      </c>
      <c r="B1812" t="s">
        <v>109</v>
      </c>
      <c r="C1812" t="s">
        <v>110</v>
      </c>
      <c r="D1812" t="s">
        <v>111</v>
      </c>
      <c r="E1812" t="s">
        <v>55</v>
      </c>
      <c r="F1812">
        <f>ventas_libreria[[#This Row],[precio_eur]]/100</f>
        <v>1.99</v>
      </c>
      <c r="G1812">
        <v>199</v>
      </c>
      <c r="H1812">
        <v>2</v>
      </c>
      <c r="I1812">
        <f>ventas_libreria[[#This Row],[precio]]*ventas_libreria[[#This Row],[cantidad]]</f>
        <v>3.98</v>
      </c>
      <c r="J1812">
        <v>22</v>
      </c>
      <c r="K1812" t="s">
        <v>38</v>
      </c>
      <c r="L1812" s="1">
        <v>45869</v>
      </c>
      <c r="M1812" t="s">
        <v>31</v>
      </c>
      <c r="N1812" t="s">
        <v>32</v>
      </c>
      <c r="O1812" t="s">
        <v>33</v>
      </c>
      <c r="P1812" t="s">
        <v>34</v>
      </c>
      <c r="Q1812">
        <v>4</v>
      </c>
      <c r="R1812">
        <f>IF(ventas_libreria[[#This Row],[valoracion_cliente]]="","Sin valoración",ventas_libreria[[#This Row],[valoracion_cliente]])</f>
        <v>4</v>
      </c>
    </row>
    <row r="1813" spans="1:18" x14ac:dyDescent="0.25">
      <c r="A1813" t="s">
        <v>2089</v>
      </c>
      <c r="B1813" t="s">
        <v>91</v>
      </c>
      <c r="C1813" t="s">
        <v>92</v>
      </c>
      <c r="D1813" t="s">
        <v>93</v>
      </c>
      <c r="E1813" t="s">
        <v>72</v>
      </c>
      <c r="F1813">
        <f>ventas_libreria[[#This Row],[precio_eur]]/100</f>
        <v>1.39</v>
      </c>
      <c r="G1813">
        <v>139</v>
      </c>
      <c r="H1813">
        <v>2</v>
      </c>
      <c r="I1813">
        <f>ventas_libreria[[#This Row],[precio]]*ventas_libreria[[#This Row],[cantidad]]</f>
        <v>2.78</v>
      </c>
      <c r="J1813">
        <v>70</v>
      </c>
      <c r="K1813" t="s">
        <v>20</v>
      </c>
      <c r="L1813" s="1">
        <v>45492</v>
      </c>
      <c r="M1813" t="s">
        <v>43</v>
      </c>
      <c r="N1813" t="s">
        <v>32</v>
      </c>
      <c r="O1813" t="s">
        <v>33</v>
      </c>
      <c r="P1813" t="s">
        <v>84</v>
      </c>
      <c r="Q1813">
        <v>5</v>
      </c>
      <c r="R1813">
        <f>IF(ventas_libreria[[#This Row],[valoracion_cliente]]="","Sin valoración",ventas_libreria[[#This Row],[valoracion_cliente]])</f>
        <v>5</v>
      </c>
    </row>
    <row r="1814" spans="1:18" x14ac:dyDescent="0.25">
      <c r="A1814" t="s">
        <v>2090</v>
      </c>
      <c r="B1814" t="s">
        <v>224</v>
      </c>
      <c r="C1814" t="s">
        <v>225</v>
      </c>
      <c r="D1814" t="s">
        <v>226</v>
      </c>
      <c r="E1814" t="s">
        <v>116</v>
      </c>
      <c r="F1814">
        <f>ventas_libreria[[#This Row],[precio_eur]]/100</f>
        <v>27.39</v>
      </c>
      <c r="G1814">
        <v>2739</v>
      </c>
      <c r="H1814">
        <v>1</v>
      </c>
      <c r="I1814">
        <f>ventas_libreria[[#This Row],[precio]]*ventas_libreria[[#This Row],[cantidad]]</f>
        <v>27.39</v>
      </c>
      <c r="J1814">
        <v>73</v>
      </c>
      <c r="K1814" t="s">
        <v>38</v>
      </c>
      <c r="L1814" s="1">
        <v>46015</v>
      </c>
      <c r="M1814" t="s">
        <v>31</v>
      </c>
      <c r="N1814" t="s">
        <v>32</v>
      </c>
      <c r="O1814" t="s">
        <v>33</v>
      </c>
      <c r="P1814" t="s">
        <v>50</v>
      </c>
      <c r="R1814" t="str">
        <f>IF(ventas_libreria[[#This Row],[valoracion_cliente]]="","Sin valoración",ventas_libreria[[#This Row],[valoracion_cliente]])</f>
        <v>Sin valoración</v>
      </c>
    </row>
    <row r="1815" spans="1:18" x14ac:dyDescent="0.25">
      <c r="A1815" t="s">
        <v>2091</v>
      </c>
      <c r="B1815" t="s">
        <v>291</v>
      </c>
      <c r="C1815" t="s">
        <v>292</v>
      </c>
      <c r="D1815" t="s">
        <v>76</v>
      </c>
      <c r="E1815" t="s">
        <v>77</v>
      </c>
      <c r="F1815">
        <f>ventas_libreria[[#This Row],[precio_eur]]/100</f>
        <v>8.42</v>
      </c>
      <c r="G1815">
        <v>842</v>
      </c>
      <c r="H1815">
        <v>1</v>
      </c>
      <c r="I1815">
        <f>ventas_libreria[[#This Row],[precio]]*ventas_libreria[[#This Row],[cantidad]]</f>
        <v>8.42</v>
      </c>
      <c r="J1815">
        <v>11</v>
      </c>
      <c r="K1815" t="s">
        <v>62</v>
      </c>
      <c r="L1815" s="1">
        <v>45895</v>
      </c>
      <c r="M1815" t="s">
        <v>21</v>
      </c>
      <c r="N1815" t="s">
        <v>32</v>
      </c>
      <c r="O1815" t="s">
        <v>33</v>
      </c>
      <c r="P1815" t="s">
        <v>56</v>
      </c>
      <c r="Q1815">
        <v>5</v>
      </c>
      <c r="R1815">
        <f>IF(ventas_libreria[[#This Row],[valoracion_cliente]]="","Sin valoración",ventas_libreria[[#This Row],[valoracion_cliente]])</f>
        <v>5</v>
      </c>
    </row>
    <row r="1816" spans="1:18" x14ac:dyDescent="0.25">
      <c r="A1816" t="s">
        <v>2092</v>
      </c>
      <c r="B1816" t="s">
        <v>156</v>
      </c>
      <c r="C1816" t="s">
        <v>157</v>
      </c>
      <c r="D1816" t="s">
        <v>158</v>
      </c>
      <c r="E1816" t="s">
        <v>149</v>
      </c>
      <c r="F1816">
        <f>ventas_libreria[[#This Row],[precio_eur]]/100</f>
        <v>19.84</v>
      </c>
      <c r="G1816">
        <v>1984</v>
      </c>
      <c r="H1816">
        <v>1</v>
      </c>
      <c r="I1816">
        <f>ventas_libreria[[#This Row],[precio]]*ventas_libreria[[#This Row],[cantidad]]</f>
        <v>19.84</v>
      </c>
      <c r="J1816">
        <v>40</v>
      </c>
      <c r="K1816" t="s">
        <v>38</v>
      </c>
      <c r="L1816" s="1">
        <v>45656</v>
      </c>
      <c r="M1816" t="s">
        <v>43</v>
      </c>
      <c r="N1816" t="s">
        <v>32</v>
      </c>
      <c r="O1816" t="s">
        <v>33</v>
      </c>
      <c r="P1816" t="s">
        <v>24</v>
      </c>
      <c r="Q1816">
        <v>5</v>
      </c>
      <c r="R1816">
        <f>IF(ventas_libreria[[#This Row],[valoracion_cliente]]="","Sin valoración",ventas_libreria[[#This Row],[valoracion_cliente]])</f>
        <v>5</v>
      </c>
    </row>
    <row r="1817" spans="1:18" x14ac:dyDescent="0.25">
      <c r="A1817" t="s">
        <v>2093</v>
      </c>
      <c r="B1817" t="s">
        <v>74</v>
      </c>
      <c r="C1817" t="s">
        <v>75</v>
      </c>
      <c r="D1817" t="s">
        <v>76</v>
      </c>
      <c r="E1817" t="s">
        <v>77</v>
      </c>
      <c r="F1817">
        <f>ventas_libreria[[#This Row],[precio_eur]]/100</f>
        <v>17.489999999999998</v>
      </c>
      <c r="G1817">
        <v>1749</v>
      </c>
      <c r="H1817">
        <v>1</v>
      </c>
      <c r="I1817">
        <f>ventas_libreria[[#This Row],[precio]]*ventas_libreria[[#This Row],[cantidad]]</f>
        <v>17.489999999999998</v>
      </c>
      <c r="J1817">
        <v>12</v>
      </c>
      <c r="K1817" t="s">
        <v>30</v>
      </c>
      <c r="L1817" s="1">
        <v>45741</v>
      </c>
      <c r="M1817" t="s">
        <v>43</v>
      </c>
      <c r="N1817" t="s">
        <v>32</v>
      </c>
      <c r="O1817" t="s">
        <v>33</v>
      </c>
      <c r="P1817" t="s">
        <v>84</v>
      </c>
      <c r="Q1817">
        <v>5</v>
      </c>
      <c r="R1817">
        <f>IF(ventas_libreria[[#This Row],[valoracion_cliente]]="","Sin valoración",ventas_libreria[[#This Row],[valoracion_cliente]])</f>
        <v>5</v>
      </c>
    </row>
    <row r="1818" spans="1:18" x14ac:dyDescent="0.25">
      <c r="A1818" t="s">
        <v>2094</v>
      </c>
      <c r="B1818" t="s">
        <v>286</v>
      </c>
      <c r="C1818" t="s">
        <v>287</v>
      </c>
      <c r="D1818" t="s">
        <v>288</v>
      </c>
      <c r="E1818" t="s">
        <v>289</v>
      </c>
      <c r="F1818">
        <f>ventas_libreria[[#This Row],[precio_eur]]/100</f>
        <v>2.2999999999999998</v>
      </c>
      <c r="G1818">
        <v>230</v>
      </c>
      <c r="H1818">
        <v>1</v>
      </c>
      <c r="I1818">
        <f>ventas_libreria[[#This Row],[precio]]*ventas_libreria[[#This Row],[cantidad]]</f>
        <v>2.2999999999999998</v>
      </c>
      <c r="J1818">
        <v>72</v>
      </c>
      <c r="K1818" t="s">
        <v>62</v>
      </c>
      <c r="L1818" s="1">
        <v>45991</v>
      </c>
      <c r="M1818" t="s">
        <v>31</v>
      </c>
      <c r="N1818" t="s">
        <v>22</v>
      </c>
      <c r="O1818" t="s">
        <v>132</v>
      </c>
      <c r="P1818" t="s">
        <v>34</v>
      </c>
      <c r="Q1818">
        <v>4</v>
      </c>
      <c r="R1818">
        <f>IF(ventas_libreria[[#This Row],[valoracion_cliente]]="","Sin valoración",ventas_libreria[[#This Row],[valoracion_cliente]])</f>
        <v>4</v>
      </c>
    </row>
    <row r="1819" spans="1:18" x14ac:dyDescent="0.25">
      <c r="A1819" t="s">
        <v>2095</v>
      </c>
      <c r="B1819" t="s">
        <v>201</v>
      </c>
      <c r="C1819" t="s">
        <v>202</v>
      </c>
      <c r="D1819" t="s">
        <v>47</v>
      </c>
      <c r="E1819" t="s">
        <v>107</v>
      </c>
      <c r="F1819">
        <f>ventas_libreria[[#This Row],[precio_eur]]/100</f>
        <v>1.39</v>
      </c>
      <c r="G1819">
        <v>139</v>
      </c>
      <c r="H1819">
        <v>1</v>
      </c>
      <c r="I1819">
        <f>ventas_libreria[[#This Row],[precio]]*ventas_libreria[[#This Row],[cantidad]]</f>
        <v>1.39</v>
      </c>
      <c r="J1819">
        <v>17</v>
      </c>
      <c r="K1819" t="s">
        <v>20</v>
      </c>
      <c r="L1819" s="1">
        <v>44928</v>
      </c>
      <c r="M1819" t="s">
        <v>43</v>
      </c>
      <c r="N1819" t="s">
        <v>32</v>
      </c>
      <c r="O1819" t="s">
        <v>33</v>
      </c>
      <c r="P1819" t="s">
        <v>34</v>
      </c>
      <c r="Q1819">
        <v>4</v>
      </c>
      <c r="R1819">
        <f>IF(ventas_libreria[[#This Row],[valoracion_cliente]]="","Sin valoración",ventas_libreria[[#This Row],[valoracion_cliente]])</f>
        <v>4</v>
      </c>
    </row>
    <row r="1820" spans="1:18" x14ac:dyDescent="0.25">
      <c r="A1820" t="s">
        <v>2096</v>
      </c>
      <c r="B1820" t="s">
        <v>273</v>
      </c>
      <c r="C1820" t="s">
        <v>274</v>
      </c>
      <c r="D1820" t="s">
        <v>262</v>
      </c>
      <c r="E1820" t="s">
        <v>263</v>
      </c>
      <c r="F1820">
        <f>ventas_libreria[[#This Row],[precio_eur]]/100</f>
        <v>19.71</v>
      </c>
      <c r="G1820">
        <v>1971</v>
      </c>
      <c r="H1820">
        <v>1</v>
      </c>
      <c r="I1820">
        <f>ventas_libreria[[#This Row],[precio]]*ventas_libreria[[#This Row],[cantidad]]</f>
        <v>19.71</v>
      </c>
      <c r="J1820">
        <v>21</v>
      </c>
      <c r="K1820" t="s">
        <v>30</v>
      </c>
      <c r="L1820" s="1">
        <v>45379</v>
      </c>
      <c r="M1820" t="s">
        <v>21</v>
      </c>
      <c r="N1820" t="s">
        <v>32</v>
      </c>
      <c r="O1820" t="s">
        <v>33</v>
      </c>
      <c r="P1820" t="s">
        <v>34</v>
      </c>
      <c r="Q1820">
        <v>4</v>
      </c>
      <c r="R1820">
        <f>IF(ventas_libreria[[#This Row],[valoracion_cliente]]="","Sin valoración",ventas_libreria[[#This Row],[valoracion_cliente]])</f>
        <v>4</v>
      </c>
    </row>
    <row r="1821" spans="1:18" x14ac:dyDescent="0.25">
      <c r="A1821" t="s">
        <v>2097</v>
      </c>
      <c r="B1821" t="s">
        <v>86</v>
      </c>
      <c r="C1821" t="s">
        <v>87</v>
      </c>
      <c r="D1821" t="s">
        <v>88</v>
      </c>
      <c r="E1821" t="s">
        <v>77</v>
      </c>
      <c r="F1821">
        <f>ventas_libreria[[#This Row],[precio_eur]]/100</f>
        <v>1.19</v>
      </c>
      <c r="G1821">
        <v>119</v>
      </c>
      <c r="H1821">
        <v>1</v>
      </c>
      <c r="I1821">
        <f>ventas_libreria[[#This Row],[precio]]*ventas_libreria[[#This Row],[cantidad]]</f>
        <v>1.19</v>
      </c>
      <c r="J1821">
        <v>6</v>
      </c>
      <c r="K1821" t="s">
        <v>62</v>
      </c>
      <c r="L1821" s="1">
        <v>45481</v>
      </c>
      <c r="M1821" t="s">
        <v>43</v>
      </c>
      <c r="N1821" t="s">
        <v>32</v>
      </c>
      <c r="O1821" t="s">
        <v>33</v>
      </c>
      <c r="P1821" t="s">
        <v>24</v>
      </c>
      <c r="R1821" t="str">
        <f>IF(ventas_libreria[[#This Row],[valoracion_cliente]]="","Sin valoración",ventas_libreria[[#This Row],[valoracion_cliente]])</f>
        <v>Sin valoración</v>
      </c>
    </row>
    <row r="1822" spans="1:18" x14ac:dyDescent="0.25">
      <c r="A1822" t="s">
        <v>2098</v>
      </c>
      <c r="B1822" t="s">
        <v>151</v>
      </c>
      <c r="C1822" t="s">
        <v>152</v>
      </c>
      <c r="D1822" t="s">
        <v>153</v>
      </c>
      <c r="E1822" t="s">
        <v>154</v>
      </c>
      <c r="F1822">
        <f>ventas_libreria[[#This Row],[precio_eur]]/100</f>
        <v>17.75</v>
      </c>
      <c r="G1822">
        <v>1775</v>
      </c>
      <c r="H1822">
        <v>1</v>
      </c>
      <c r="I1822">
        <f>ventas_libreria[[#This Row],[precio]]*ventas_libreria[[#This Row],[cantidad]]</f>
        <v>17.75</v>
      </c>
      <c r="J1822">
        <v>37</v>
      </c>
      <c r="K1822" t="s">
        <v>30</v>
      </c>
      <c r="L1822" s="1">
        <v>45312</v>
      </c>
      <c r="M1822" t="s">
        <v>21</v>
      </c>
      <c r="N1822" t="s">
        <v>32</v>
      </c>
      <c r="O1822" t="s">
        <v>33</v>
      </c>
      <c r="P1822" t="s">
        <v>84</v>
      </c>
      <c r="Q1822">
        <v>3</v>
      </c>
      <c r="R1822">
        <f>IF(ventas_libreria[[#This Row],[valoracion_cliente]]="","Sin valoración",ventas_libreria[[#This Row],[valoracion_cliente]])</f>
        <v>3</v>
      </c>
    </row>
    <row r="1823" spans="1:18" x14ac:dyDescent="0.25">
      <c r="A1823" t="s">
        <v>2099</v>
      </c>
      <c r="B1823" t="s">
        <v>260</v>
      </c>
      <c r="C1823" t="s">
        <v>261</v>
      </c>
      <c r="D1823" t="s">
        <v>262</v>
      </c>
      <c r="E1823" t="s">
        <v>263</v>
      </c>
      <c r="F1823">
        <f>ventas_libreria[[#This Row],[precio_eur]]/100</f>
        <v>18.61</v>
      </c>
      <c r="G1823">
        <v>1861</v>
      </c>
      <c r="H1823">
        <v>1</v>
      </c>
      <c r="I1823">
        <f>ventas_libreria[[#This Row],[precio]]*ventas_libreria[[#This Row],[cantidad]]</f>
        <v>18.61</v>
      </c>
      <c r="J1823">
        <v>23</v>
      </c>
      <c r="K1823" t="s">
        <v>38</v>
      </c>
      <c r="L1823" s="1">
        <v>45948</v>
      </c>
      <c r="M1823" t="s">
        <v>43</v>
      </c>
      <c r="N1823" t="s">
        <v>32</v>
      </c>
      <c r="O1823" t="s">
        <v>33</v>
      </c>
      <c r="P1823" t="s">
        <v>56</v>
      </c>
      <c r="Q1823">
        <v>4</v>
      </c>
      <c r="R1823">
        <f>IF(ventas_libreria[[#This Row],[valoracion_cliente]]="","Sin valoración",ventas_libreria[[#This Row],[valoracion_cliente]])</f>
        <v>4</v>
      </c>
    </row>
    <row r="1824" spans="1:18" x14ac:dyDescent="0.25">
      <c r="A1824" t="s">
        <v>2100</v>
      </c>
      <c r="B1824" t="s">
        <v>156</v>
      </c>
      <c r="C1824" t="s">
        <v>157</v>
      </c>
      <c r="D1824" t="s">
        <v>158</v>
      </c>
      <c r="E1824" t="s">
        <v>149</v>
      </c>
      <c r="F1824">
        <f>ventas_libreria[[#This Row],[precio_eur]]/100</f>
        <v>16.059999999999999</v>
      </c>
      <c r="G1824">
        <v>1606</v>
      </c>
      <c r="H1824">
        <v>1</v>
      </c>
      <c r="I1824">
        <f>ventas_libreria[[#This Row],[precio]]*ventas_libreria[[#This Row],[cantidad]]</f>
        <v>16.059999999999999</v>
      </c>
      <c r="J1824">
        <v>55</v>
      </c>
      <c r="K1824" t="s">
        <v>30</v>
      </c>
      <c r="L1824" s="1">
        <v>45640</v>
      </c>
      <c r="M1824" t="s">
        <v>43</v>
      </c>
      <c r="N1824" t="s">
        <v>32</v>
      </c>
      <c r="O1824" t="s">
        <v>33</v>
      </c>
      <c r="P1824" t="s">
        <v>50</v>
      </c>
      <c r="R1824" t="str">
        <f>IF(ventas_libreria[[#This Row],[valoracion_cliente]]="","Sin valoración",ventas_libreria[[#This Row],[valoracion_cliente]])</f>
        <v>Sin valoración</v>
      </c>
    </row>
    <row r="1825" spans="1:18" x14ac:dyDescent="0.25">
      <c r="A1825" t="s">
        <v>2101</v>
      </c>
      <c r="B1825" t="s">
        <v>64</v>
      </c>
      <c r="C1825" t="s">
        <v>65</v>
      </c>
      <c r="D1825" t="s">
        <v>66</v>
      </c>
      <c r="E1825" t="s">
        <v>29</v>
      </c>
      <c r="F1825">
        <f>ventas_libreria[[#This Row],[precio_eur]]/100</f>
        <v>18.149999999999999</v>
      </c>
      <c r="G1825">
        <v>1815</v>
      </c>
      <c r="H1825">
        <v>2</v>
      </c>
      <c r="I1825">
        <f>ventas_libreria[[#This Row],[precio]]*ventas_libreria[[#This Row],[cantidad]]</f>
        <v>36.299999999999997</v>
      </c>
      <c r="J1825">
        <v>51</v>
      </c>
      <c r="K1825" t="s">
        <v>62</v>
      </c>
      <c r="L1825" s="1">
        <v>45659</v>
      </c>
      <c r="M1825" t="s">
        <v>43</v>
      </c>
      <c r="N1825" t="s">
        <v>32</v>
      </c>
      <c r="O1825" t="s">
        <v>33</v>
      </c>
      <c r="P1825" t="s">
        <v>24</v>
      </c>
      <c r="Q1825">
        <v>1</v>
      </c>
      <c r="R1825">
        <f>IF(ventas_libreria[[#This Row],[valoracion_cliente]]="","Sin valoración",ventas_libreria[[#This Row],[valoracion_cliente]])</f>
        <v>1</v>
      </c>
    </row>
    <row r="1826" spans="1:18" x14ac:dyDescent="0.25">
      <c r="A1826" t="s">
        <v>2102</v>
      </c>
      <c r="B1826" t="s">
        <v>121</v>
      </c>
      <c r="C1826" t="s">
        <v>122</v>
      </c>
      <c r="D1826" t="s">
        <v>123</v>
      </c>
      <c r="E1826" t="s">
        <v>48</v>
      </c>
      <c r="F1826">
        <f>ventas_libreria[[#This Row],[precio_eur]]/100</f>
        <v>17.75</v>
      </c>
      <c r="G1826">
        <v>1775</v>
      </c>
      <c r="H1826">
        <v>1</v>
      </c>
      <c r="I1826">
        <f>ventas_libreria[[#This Row],[precio]]*ventas_libreria[[#This Row],[cantidad]]</f>
        <v>17.75</v>
      </c>
      <c r="J1826">
        <v>33</v>
      </c>
      <c r="K1826" t="s">
        <v>62</v>
      </c>
      <c r="L1826" s="1">
        <v>45378</v>
      </c>
      <c r="M1826" t="s">
        <v>21</v>
      </c>
      <c r="N1826" t="s">
        <v>32</v>
      </c>
      <c r="O1826" t="s">
        <v>33</v>
      </c>
      <c r="P1826" t="s">
        <v>56</v>
      </c>
      <c r="Q1826">
        <v>5</v>
      </c>
      <c r="R1826">
        <f>IF(ventas_libreria[[#This Row],[valoracion_cliente]]="","Sin valoración",ventas_libreria[[#This Row],[valoracion_cliente]])</f>
        <v>5</v>
      </c>
    </row>
    <row r="1827" spans="1:18" x14ac:dyDescent="0.25">
      <c r="A1827" t="s">
        <v>2103</v>
      </c>
      <c r="B1827" t="s">
        <v>362</v>
      </c>
      <c r="C1827" t="s">
        <v>363</v>
      </c>
      <c r="D1827" t="s">
        <v>249</v>
      </c>
      <c r="E1827" t="s">
        <v>172</v>
      </c>
      <c r="F1827">
        <f>ventas_libreria[[#This Row],[precio_eur]]/100</f>
        <v>12.16</v>
      </c>
      <c r="G1827">
        <v>1216</v>
      </c>
      <c r="H1827">
        <v>1</v>
      </c>
      <c r="I1827">
        <f>ventas_libreria[[#This Row],[precio]]*ventas_libreria[[#This Row],[cantidad]]</f>
        <v>12.16</v>
      </c>
      <c r="J1827">
        <v>30</v>
      </c>
      <c r="K1827" t="s">
        <v>62</v>
      </c>
      <c r="L1827" s="1">
        <v>45036</v>
      </c>
      <c r="M1827" t="s">
        <v>43</v>
      </c>
      <c r="N1827" t="s">
        <v>32</v>
      </c>
      <c r="O1827" t="s">
        <v>33</v>
      </c>
      <c r="P1827" t="s">
        <v>24</v>
      </c>
      <c r="Q1827">
        <v>2</v>
      </c>
      <c r="R1827">
        <f>IF(ventas_libreria[[#This Row],[valoracion_cliente]]="","Sin valoración",ventas_libreria[[#This Row],[valoracion_cliente]])</f>
        <v>2</v>
      </c>
    </row>
    <row r="1828" spans="1:18" x14ac:dyDescent="0.25">
      <c r="A1828" t="s">
        <v>2104</v>
      </c>
      <c r="B1828" t="s">
        <v>418</v>
      </c>
      <c r="C1828" t="s">
        <v>419</v>
      </c>
      <c r="D1828" t="s">
        <v>420</v>
      </c>
      <c r="E1828" t="s">
        <v>149</v>
      </c>
      <c r="F1828">
        <f>ventas_libreria[[#This Row],[precio_eur]]/100</f>
        <v>14.36</v>
      </c>
      <c r="G1828">
        <v>1436</v>
      </c>
      <c r="H1828">
        <v>1</v>
      </c>
      <c r="I1828">
        <f>ventas_libreria[[#This Row],[precio]]*ventas_libreria[[#This Row],[cantidad]]</f>
        <v>14.36</v>
      </c>
      <c r="J1828">
        <v>42</v>
      </c>
      <c r="K1828" t="s">
        <v>62</v>
      </c>
      <c r="L1828" s="1">
        <v>45550</v>
      </c>
      <c r="M1828" t="s">
        <v>43</v>
      </c>
      <c r="N1828" t="s">
        <v>32</v>
      </c>
      <c r="O1828" t="s">
        <v>33</v>
      </c>
      <c r="P1828" t="s">
        <v>34</v>
      </c>
      <c r="Q1828">
        <v>4</v>
      </c>
      <c r="R1828">
        <f>IF(ventas_libreria[[#This Row],[valoracion_cliente]]="","Sin valoración",ventas_libreria[[#This Row],[valoracion_cliente]])</f>
        <v>4</v>
      </c>
    </row>
    <row r="1829" spans="1:18" x14ac:dyDescent="0.25">
      <c r="A1829" t="s">
        <v>2105</v>
      </c>
      <c r="B1829" t="s">
        <v>268</v>
      </c>
      <c r="C1829" t="s">
        <v>269</v>
      </c>
      <c r="D1829" t="s">
        <v>270</v>
      </c>
      <c r="E1829" t="s">
        <v>83</v>
      </c>
      <c r="F1829">
        <f>ventas_libreria[[#This Row],[precio_eur]]/100</f>
        <v>11.45</v>
      </c>
      <c r="G1829">
        <v>1145</v>
      </c>
      <c r="H1829">
        <v>1</v>
      </c>
      <c r="I1829">
        <f>ventas_libreria[[#This Row],[precio]]*ventas_libreria[[#This Row],[cantidad]]</f>
        <v>11.45</v>
      </c>
      <c r="J1829">
        <v>40</v>
      </c>
      <c r="K1829" t="s">
        <v>62</v>
      </c>
      <c r="L1829" s="1">
        <v>45081</v>
      </c>
      <c r="M1829" t="s">
        <v>31</v>
      </c>
      <c r="N1829" t="s">
        <v>22</v>
      </c>
      <c r="O1829" t="s">
        <v>23</v>
      </c>
      <c r="P1829" t="s">
        <v>50</v>
      </c>
      <c r="Q1829">
        <v>4</v>
      </c>
      <c r="R1829">
        <f>IF(ventas_libreria[[#This Row],[valoracion_cliente]]="","Sin valoración",ventas_libreria[[#This Row],[valoracion_cliente]])</f>
        <v>4</v>
      </c>
    </row>
    <row r="1830" spans="1:18" x14ac:dyDescent="0.25">
      <c r="A1830" t="s">
        <v>2106</v>
      </c>
      <c r="B1830" t="s">
        <v>276</v>
      </c>
      <c r="C1830" t="s">
        <v>277</v>
      </c>
      <c r="D1830" t="s">
        <v>278</v>
      </c>
      <c r="E1830" t="s">
        <v>189</v>
      </c>
      <c r="F1830">
        <f>ventas_libreria[[#This Row],[precio_eur]]/100</f>
        <v>18.79</v>
      </c>
      <c r="G1830">
        <v>1879</v>
      </c>
      <c r="H1830">
        <v>2</v>
      </c>
      <c r="I1830">
        <f>ventas_libreria[[#This Row],[precio]]*ventas_libreria[[#This Row],[cantidad]]</f>
        <v>37.58</v>
      </c>
      <c r="J1830">
        <v>26</v>
      </c>
      <c r="K1830" t="s">
        <v>38</v>
      </c>
      <c r="L1830" s="1">
        <v>45134</v>
      </c>
      <c r="M1830" t="s">
        <v>31</v>
      </c>
      <c r="N1830" t="s">
        <v>22</v>
      </c>
      <c r="O1830" t="s">
        <v>132</v>
      </c>
      <c r="P1830" t="s">
        <v>84</v>
      </c>
      <c r="Q1830">
        <v>5</v>
      </c>
      <c r="R1830">
        <f>IF(ventas_libreria[[#This Row],[valoracion_cliente]]="","Sin valoración",ventas_libreria[[#This Row],[valoracion_cliente]])</f>
        <v>5</v>
      </c>
    </row>
    <row r="1831" spans="1:18" x14ac:dyDescent="0.25">
      <c r="A1831" t="s">
        <v>2107</v>
      </c>
      <c r="B1831" t="s">
        <v>286</v>
      </c>
      <c r="C1831" t="s">
        <v>287</v>
      </c>
      <c r="D1831" t="s">
        <v>288</v>
      </c>
      <c r="E1831" t="s">
        <v>289</v>
      </c>
      <c r="F1831">
        <f>ventas_libreria[[#This Row],[precio_eur]]/100</f>
        <v>2.19</v>
      </c>
      <c r="G1831">
        <v>219</v>
      </c>
      <c r="H1831">
        <v>1</v>
      </c>
      <c r="I1831">
        <f>ventas_libreria[[#This Row],[precio]]*ventas_libreria[[#This Row],[cantidad]]</f>
        <v>2.19</v>
      </c>
      <c r="J1831">
        <v>44</v>
      </c>
      <c r="K1831" t="s">
        <v>20</v>
      </c>
      <c r="L1831" s="1">
        <v>44977</v>
      </c>
      <c r="M1831" t="s">
        <v>31</v>
      </c>
      <c r="N1831" t="s">
        <v>32</v>
      </c>
      <c r="O1831" t="s">
        <v>33</v>
      </c>
      <c r="P1831" t="s">
        <v>34</v>
      </c>
      <c r="Q1831">
        <v>3</v>
      </c>
      <c r="R1831">
        <f>IF(ventas_libreria[[#This Row],[valoracion_cliente]]="","Sin valoración",ventas_libreria[[#This Row],[valoracion_cliente]])</f>
        <v>3</v>
      </c>
    </row>
    <row r="1832" spans="1:18" x14ac:dyDescent="0.25">
      <c r="A1832" t="s">
        <v>2108</v>
      </c>
      <c r="B1832" t="s">
        <v>141</v>
      </c>
      <c r="C1832" t="s">
        <v>142</v>
      </c>
      <c r="D1832" t="s">
        <v>143</v>
      </c>
      <c r="E1832" t="s">
        <v>116</v>
      </c>
      <c r="F1832">
        <f>ventas_libreria[[#This Row],[precio_eur]]/100</f>
        <v>1.49</v>
      </c>
      <c r="G1832">
        <v>149</v>
      </c>
      <c r="H1832">
        <v>1</v>
      </c>
      <c r="I1832">
        <f>ventas_libreria[[#This Row],[precio]]*ventas_libreria[[#This Row],[cantidad]]</f>
        <v>1.49</v>
      </c>
      <c r="J1832">
        <v>73</v>
      </c>
      <c r="K1832" t="s">
        <v>20</v>
      </c>
      <c r="L1832" s="1">
        <v>45713</v>
      </c>
      <c r="M1832" t="s">
        <v>43</v>
      </c>
      <c r="N1832" t="s">
        <v>32</v>
      </c>
      <c r="O1832" t="s">
        <v>33</v>
      </c>
      <c r="P1832" t="s">
        <v>24</v>
      </c>
      <c r="Q1832">
        <v>4</v>
      </c>
      <c r="R1832">
        <f>IF(ventas_libreria[[#This Row],[valoracion_cliente]]="","Sin valoración",ventas_libreria[[#This Row],[valoracion_cliente]])</f>
        <v>4</v>
      </c>
    </row>
    <row r="1833" spans="1:18" x14ac:dyDescent="0.25">
      <c r="A1833" t="s">
        <v>2109</v>
      </c>
      <c r="B1833" t="s">
        <v>446</v>
      </c>
      <c r="C1833" t="s">
        <v>447</v>
      </c>
      <c r="D1833" t="s">
        <v>262</v>
      </c>
      <c r="E1833" t="s">
        <v>263</v>
      </c>
      <c r="F1833">
        <f>ventas_libreria[[#This Row],[precio_eur]]/100</f>
        <v>21.89</v>
      </c>
      <c r="G1833">
        <v>2189</v>
      </c>
      <c r="H1833">
        <v>1</v>
      </c>
      <c r="I1833">
        <f>ventas_libreria[[#This Row],[precio]]*ventas_libreria[[#This Row],[cantidad]]</f>
        <v>21.89</v>
      </c>
      <c r="J1833">
        <v>32</v>
      </c>
      <c r="K1833" t="s">
        <v>20</v>
      </c>
      <c r="L1833" s="1">
        <v>45617</v>
      </c>
      <c r="M1833" t="s">
        <v>43</v>
      </c>
      <c r="N1833" t="s">
        <v>32</v>
      </c>
      <c r="O1833" t="s">
        <v>33</v>
      </c>
      <c r="P1833" t="s">
        <v>84</v>
      </c>
      <c r="Q1833">
        <v>5</v>
      </c>
      <c r="R1833">
        <f>IF(ventas_libreria[[#This Row],[valoracion_cliente]]="","Sin valoración",ventas_libreria[[#This Row],[valoracion_cliente]])</f>
        <v>5</v>
      </c>
    </row>
    <row r="1834" spans="1:18" x14ac:dyDescent="0.25">
      <c r="A1834" t="s">
        <v>2110</v>
      </c>
      <c r="B1834" t="s">
        <v>461</v>
      </c>
      <c r="C1834" t="s">
        <v>462</v>
      </c>
      <c r="D1834" t="s">
        <v>143</v>
      </c>
      <c r="E1834" t="s">
        <v>116</v>
      </c>
      <c r="F1834">
        <f>ventas_libreria[[#This Row],[precio_eur]]/100</f>
        <v>12.51</v>
      </c>
      <c r="G1834">
        <v>1251</v>
      </c>
      <c r="H1834">
        <v>2</v>
      </c>
      <c r="I1834">
        <f>ventas_libreria[[#This Row],[precio]]*ventas_libreria[[#This Row],[cantidad]]</f>
        <v>25.02</v>
      </c>
      <c r="J1834">
        <v>51</v>
      </c>
      <c r="K1834" t="s">
        <v>38</v>
      </c>
      <c r="L1834" s="1">
        <v>45654</v>
      </c>
      <c r="M1834" t="s">
        <v>31</v>
      </c>
      <c r="N1834" t="s">
        <v>32</v>
      </c>
      <c r="O1834" t="s">
        <v>33</v>
      </c>
      <c r="P1834" t="s">
        <v>50</v>
      </c>
      <c r="Q1834">
        <v>5</v>
      </c>
      <c r="R1834">
        <f>IF(ventas_libreria[[#This Row],[valoracion_cliente]]="","Sin valoración",ventas_libreria[[#This Row],[valoracion_cliente]])</f>
        <v>5</v>
      </c>
    </row>
    <row r="1835" spans="1:18" x14ac:dyDescent="0.25">
      <c r="A1835" t="s">
        <v>2111</v>
      </c>
      <c r="B1835" t="s">
        <v>197</v>
      </c>
      <c r="C1835" t="s">
        <v>198</v>
      </c>
      <c r="D1835" t="s">
        <v>199</v>
      </c>
      <c r="E1835" t="s">
        <v>55</v>
      </c>
      <c r="F1835">
        <f>ventas_libreria[[#This Row],[precio_eur]]/100</f>
        <v>14.88</v>
      </c>
      <c r="G1835">
        <v>1488</v>
      </c>
      <c r="H1835">
        <v>1</v>
      </c>
      <c r="I1835">
        <f>ventas_libreria[[#This Row],[precio]]*ventas_libreria[[#This Row],[cantidad]]</f>
        <v>14.88</v>
      </c>
      <c r="J1835">
        <v>75</v>
      </c>
      <c r="K1835" t="s">
        <v>62</v>
      </c>
      <c r="L1835" s="1">
        <v>45709</v>
      </c>
      <c r="M1835" t="s">
        <v>43</v>
      </c>
      <c r="N1835" t="s">
        <v>32</v>
      </c>
      <c r="O1835" t="s">
        <v>33</v>
      </c>
      <c r="P1835" t="s">
        <v>24</v>
      </c>
      <c r="Q1835">
        <v>5</v>
      </c>
      <c r="R1835">
        <f>IF(ventas_libreria[[#This Row],[valoracion_cliente]]="","Sin valoración",ventas_libreria[[#This Row],[valoracion_cliente]])</f>
        <v>5</v>
      </c>
    </row>
    <row r="1836" spans="1:18" x14ac:dyDescent="0.25">
      <c r="A1836" t="s">
        <v>2112</v>
      </c>
      <c r="B1836" t="s">
        <v>375</v>
      </c>
      <c r="C1836" t="s">
        <v>376</v>
      </c>
      <c r="D1836" t="s">
        <v>377</v>
      </c>
      <c r="E1836" t="s">
        <v>29</v>
      </c>
      <c r="F1836">
        <f>ventas_libreria[[#This Row],[precio_eur]]/100</f>
        <v>1.59</v>
      </c>
      <c r="G1836">
        <v>159</v>
      </c>
      <c r="H1836">
        <v>2</v>
      </c>
      <c r="I1836">
        <f>ventas_libreria[[#This Row],[precio]]*ventas_libreria[[#This Row],[cantidad]]</f>
        <v>3.18</v>
      </c>
      <c r="J1836">
        <v>24</v>
      </c>
      <c r="K1836" t="s">
        <v>20</v>
      </c>
      <c r="L1836" s="1">
        <v>45178</v>
      </c>
      <c r="M1836" t="s">
        <v>31</v>
      </c>
      <c r="N1836" t="s">
        <v>22</v>
      </c>
      <c r="O1836" t="s">
        <v>23</v>
      </c>
      <c r="P1836" t="s">
        <v>24</v>
      </c>
      <c r="Q1836">
        <v>4</v>
      </c>
      <c r="R1836">
        <f>IF(ventas_libreria[[#This Row],[valoracion_cliente]]="","Sin valoración",ventas_libreria[[#This Row],[valoracion_cliente]])</f>
        <v>4</v>
      </c>
    </row>
    <row r="1837" spans="1:18" x14ac:dyDescent="0.25">
      <c r="A1837" t="s">
        <v>2113</v>
      </c>
      <c r="B1837" t="s">
        <v>91</v>
      </c>
      <c r="C1837" t="s">
        <v>92</v>
      </c>
      <c r="D1837" t="s">
        <v>93</v>
      </c>
      <c r="E1837" t="s">
        <v>72</v>
      </c>
      <c r="F1837">
        <f>ventas_libreria[[#This Row],[precio_eur]]/100</f>
        <v>11.81</v>
      </c>
      <c r="G1837">
        <v>1181</v>
      </c>
      <c r="H1837">
        <v>1</v>
      </c>
      <c r="I1837">
        <f>ventas_libreria[[#This Row],[precio]]*ventas_libreria[[#This Row],[cantidad]]</f>
        <v>11.81</v>
      </c>
      <c r="J1837">
        <v>64</v>
      </c>
      <c r="K1837" t="s">
        <v>38</v>
      </c>
      <c r="L1837" s="1">
        <v>45928</v>
      </c>
      <c r="M1837" t="s">
        <v>21</v>
      </c>
      <c r="N1837" t="s">
        <v>32</v>
      </c>
      <c r="O1837" t="s">
        <v>33</v>
      </c>
      <c r="P1837" t="s">
        <v>84</v>
      </c>
      <c r="Q1837">
        <v>3</v>
      </c>
      <c r="R1837">
        <f>IF(ventas_libreria[[#This Row],[valoracion_cliente]]="","Sin valoración",ventas_libreria[[#This Row],[valoracion_cliente]])</f>
        <v>3</v>
      </c>
    </row>
    <row r="1838" spans="1:18" x14ac:dyDescent="0.25">
      <c r="A1838" t="s">
        <v>2114</v>
      </c>
      <c r="B1838" t="s">
        <v>125</v>
      </c>
      <c r="C1838" t="s">
        <v>126</v>
      </c>
      <c r="D1838" t="s">
        <v>127</v>
      </c>
      <c r="E1838" t="s">
        <v>29</v>
      </c>
      <c r="F1838">
        <f>ventas_libreria[[#This Row],[precio_eur]]/100</f>
        <v>1.79</v>
      </c>
      <c r="G1838">
        <v>179</v>
      </c>
      <c r="H1838">
        <v>1</v>
      </c>
      <c r="I1838">
        <f>ventas_libreria[[#This Row],[precio]]*ventas_libreria[[#This Row],[cantidad]]</f>
        <v>1.79</v>
      </c>
      <c r="J1838">
        <v>33</v>
      </c>
      <c r="K1838" t="s">
        <v>30</v>
      </c>
      <c r="L1838" s="1">
        <v>45008</v>
      </c>
      <c r="M1838" t="s">
        <v>31</v>
      </c>
      <c r="N1838" t="s">
        <v>22</v>
      </c>
      <c r="O1838" t="s">
        <v>67</v>
      </c>
      <c r="P1838" t="s">
        <v>24</v>
      </c>
      <c r="Q1838">
        <v>5</v>
      </c>
      <c r="R1838">
        <f>IF(ventas_libreria[[#This Row],[valoracion_cliente]]="","Sin valoración",ventas_libreria[[#This Row],[valoracion_cliente]])</f>
        <v>5</v>
      </c>
    </row>
    <row r="1839" spans="1:18" x14ac:dyDescent="0.25">
      <c r="A1839" t="s">
        <v>2115</v>
      </c>
      <c r="B1839" t="s">
        <v>243</v>
      </c>
      <c r="C1839" t="s">
        <v>244</v>
      </c>
      <c r="D1839" t="s">
        <v>245</v>
      </c>
      <c r="E1839" t="s">
        <v>48</v>
      </c>
      <c r="F1839">
        <f>ventas_libreria[[#This Row],[precio_eur]]/100</f>
        <v>2.19</v>
      </c>
      <c r="G1839">
        <v>219</v>
      </c>
      <c r="H1839">
        <v>1</v>
      </c>
      <c r="I1839">
        <f>ventas_libreria[[#This Row],[precio]]*ventas_libreria[[#This Row],[cantidad]]</f>
        <v>2.19</v>
      </c>
      <c r="J1839">
        <v>23</v>
      </c>
      <c r="K1839" t="s">
        <v>30</v>
      </c>
      <c r="L1839" s="1">
        <v>44929</v>
      </c>
      <c r="M1839" t="s">
        <v>31</v>
      </c>
      <c r="N1839" t="s">
        <v>22</v>
      </c>
      <c r="O1839" t="s">
        <v>23</v>
      </c>
      <c r="P1839" t="s">
        <v>24</v>
      </c>
      <c r="Q1839">
        <v>4</v>
      </c>
      <c r="R1839">
        <f>IF(ventas_libreria[[#This Row],[valoracion_cliente]]="","Sin valoración",ventas_libreria[[#This Row],[valoracion_cliente]])</f>
        <v>4</v>
      </c>
    </row>
    <row r="1840" spans="1:18" x14ac:dyDescent="0.25">
      <c r="A1840" t="s">
        <v>2116</v>
      </c>
      <c r="B1840" t="s">
        <v>247</v>
      </c>
      <c r="C1840" t="s">
        <v>248</v>
      </c>
      <c r="D1840" t="s">
        <v>249</v>
      </c>
      <c r="E1840" t="s">
        <v>172</v>
      </c>
      <c r="F1840">
        <f>ventas_libreria[[#This Row],[precio_eur]]/100</f>
        <v>1.46</v>
      </c>
      <c r="G1840">
        <v>146</v>
      </c>
      <c r="H1840">
        <v>2</v>
      </c>
      <c r="I1840">
        <f>ventas_libreria[[#This Row],[precio]]*ventas_libreria[[#This Row],[cantidad]]</f>
        <v>2.92</v>
      </c>
      <c r="J1840">
        <v>64</v>
      </c>
      <c r="K1840" t="s">
        <v>38</v>
      </c>
      <c r="L1840" s="1">
        <v>45479</v>
      </c>
      <c r="M1840" t="s">
        <v>43</v>
      </c>
      <c r="N1840" t="s">
        <v>32</v>
      </c>
      <c r="O1840" t="s">
        <v>33</v>
      </c>
      <c r="P1840" t="s">
        <v>56</v>
      </c>
      <c r="Q1840">
        <v>2</v>
      </c>
      <c r="R1840">
        <f>IF(ventas_libreria[[#This Row],[valoracion_cliente]]="","Sin valoración",ventas_libreria[[#This Row],[valoracion_cliente]])</f>
        <v>2</v>
      </c>
    </row>
    <row r="1841" spans="1:18" x14ac:dyDescent="0.25">
      <c r="A1841" t="s">
        <v>2117</v>
      </c>
      <c r="B1841" t="s">
        <v>671</v>
      </c>
      <c r="C1841" t="s">
        <v>672</v>
      </c>
      <c r="D1841" t="s">
        <v>673</v>
      </c>
      <c r="E1841" t="s">
        <v>116</v>
      </c>
      <c r="F1841">
        <f>ventas_libreria[[#This Row],[precio_eur]]/100</f>
        <v>1.29</v>
      </c>
      <c r="G1841">
        <v>129</v>
      </c>
      <c r="H1841">
        <v>1</v>
      </c>
      <c r="I1841">
        <f>ventas_libreria[[#This Row],[precio]]*ventas_libreria[[#This Row],[cantidad]]</f>
        <v>1.29</v>
      </c>
      <c r="J1841">
        <v>66</v>
      </c>
      <c r="K1841" t="s">
        <v>38</v>
      </c>
      <c r="L1841" s="1">
        <v>45638</v>
      </c>
      <c r="M1841" t="s">
        <v>31</v>
      </c>
      <c r="N1841" t="s">
        <v>22</v>
      </c>
      <c r="O1841" t="s">
        <v>23</v>
      </c>
      <c r="P1841" t="s">
        <v>84</v>
      </c>
      <c r="Q1841">
        <v>1</v>
      </c>
      <c r="R1841">
        <f>IF(ventas_libreria[[#This Row],[valoracion_cliente]]="","Sin valoración",ventas_libreria[[#This Row],[valoracion_cliente]])</f>
        <v>1</v>
      </c>
    </row>
    <row r="1842" spans="1:18" x14ac:dyDescent="0.25">
      <c r="A1842" t="s">
        <v>2118</v>
      </c>
      <c r="B1842" t="s">
        <v>52</v>
      </c>
      <c r="C1842" t="s">
        <v>53</v>
      </c>
      <c r="D1842" t="s">
        <v>54</v>
      </c>
      <c r="E1842" t="s">
        <v>55</v>
      </c>
      <c r="F1842">
        <f>ventas_libreria[[#This Row],[precio_eur]]/100</f>
        <v>13.75</v>
      </c>
      <c r="G1842">
        <v>1375</v>
      </c>
      <c r="H1842">
        <v>1</v>
      </c>
      <c r="I1842">
        <f>ventas_libreria[[#This Row],[precio]]*ventas_libreria[[#This Row],[cantidad]]</f>
        <v>13.75</v>
      </c>
      <c r="J1842">
        <v>27</v>
      </c>
      <c r="K1842" t="s">
        <v>38</v>
      </c>
      <c r="L1842" s="1">
        <v>45157</v>
      </c>
      <c r="M1842" t="s">
        <v>21</v>
      </c>
      <c r="N1842" t="s">
        <v>32</v>
      </c>
      <c r="O1842" t="s">
        <v>33</v>
      </c>
      <c r="P1842" t="s">
        <v>84</v>
      </c>
      <c r="Q1842">
        <v>4</v>
      </c>
      <c r="R1842">
        <f>IF(ventas_libreria[[#This Row],[valoracion_cliente]]="","Sin valoración",ventas_libreria[[#This Row],[valoracion_cliente]])</f>
        <v>4</v>
      </c>
    </row>
    <row r="1843" spans="1:18" x14ac:dyDescent="0.25">
      <c r="A1843" t="s">
        <v>2119</v>
      </c>
      <c r="B1843" t="s">
        <v>549</v>
      </c>
      <c r="C1843" t="s">
        <v>550</v>
      </c>
      <c r="D1843" t="s">
        <v>162</v>
      </c>
      <c r="E1843" t="s">
        <v>29</v>
      </c>
      <c r="F1843">
        <f>ventas_libreria[[#This Row],[precio_eur]]/100</f>
        <v>20.89</v>
      </c>
      <c r="G1843">
        <v>2089</v>
      </c>
      <c r="H1843">
        <v>1</v>
      </c>
      <c r="I1843">
        <f>ventas_libreria[[#This Row],[precio]]*ventas_libreria[[#This Row],[cantidad]]</f>
        <v>20.89</v>
      </c>
      <c r="J1843">
        <v>73</v>
      </c>
      <c r="K1843" t="s">
        <v>38</v>
      </c>
      <c r="L1843" s="1">
        <v>45662</v>
      </c>
      <c r="M1843" t="s">
        <v>31</v>
      </c>
      <c r="N1843" t="s">
        <v>22</v>
      </c>
      <c r="O1843" t="s">
        <v>132</v>
      </c>
      <c r="P1843" t="s">
        <v>56</v>
      </c>
      <c r="Q1843">
        <v>3</v>
      </c>
      <c r="R1843">
        <f>IF(ventas_libreria[[#This Row],[valoracion_cliente]]="","Sin valoración",ventas_libreria[[#This Row],[valoracion_cliente]])</f>
        <v>3</v>
      </c>
    </row>
    <row r="1844" spans="1:18" x14ac:dyDescent="0.25">
      <c r="A1844" t="s">
        <v>2120</v>
      </c>
      <c r="B1844" t="s">
        <v>307</v>
      </c>
      <c r="C1844" t="s">
        <v>308</v>
      </c>
      <c r="D1844" t="s">
        <v>88</v>
      </c>
      <c r="E1844" t="s">
        <v>77</v>
      </c>
      <c r="F1844">
        <f>ventas_libreria[[#This Row],[precio_eur]]/100</f>
        <v>11.45</v>
      </c>
      <c r="G1844">
        <v>1145</v>
      </c>
      <c r="H1844">
        <v>1</v>
      </c>
      <c r="I1844">
        <f>ventas_libreria[[#This Row],[precio]]*ventas_libreria[[#This Row],[cantidad]]</f>
        <v>11.45</v>
      </c>
      <c r="J1844">
        <v>5</v>
      </c>
      <c r="K1844" t="s">
        <v>62</v>
      </c>
      <c r="L1844" s="1">
        <v>44974</v>
      </c>
      <c r="M1844" t="s">
        <v>43</v>
      </c>
      <c r="N1844" t="s">
        <v>32</v>
      </c>
      <c r="O1844" t="s">
        <v>33</v>
      </c>
      <c r="P1844" t="s">
        <v>50</v>
      </c>
      <c r="Q1844">
        <v>4</v>
      </c>
      <c r="R1844">
        <f>IF(ventas_libreria[[#This Row],[valoracion_cliente]]="","Sin valoración",ventas_libreria[[#This Row],[valoracion_cliente]])</f>
        <v>4</v>
      </c>
    </row>
    <row r="1845" spans="1:18" x14ac:dyDescent="0.25">
      <c r="A1845" t="s">
        <v>2121</v>
      </c>
      <c r="B1845" t="s">
        <v>95</v>
      </c>
      <c r="C1845" t="s">
        <v>96</v>
      </c>
      <c r="D1845" t="s">
        <v>97</v>
      </c>
      <c r="E1845" t="s">
        <v>29</v>
      </c>
      <c r="F1845">
        <f>ventas_libreria[[#This Row],[precio_eur]]/100</f>
        <v>16.11</v>
      </c>
      <c r="G1845">
        <v>1611</v>
      </c>
      <c r="H1845">
        <v>1</v>
      </c>
      <c r="I1845">
        <f>ventas_libreria[[#This Row],[precio]]*ventas_libreria[[#This Row],[cantidad]]</f>
        <v>16.11</v>
      </c>
      <c r="J1845">
        <v>45</v>
      </c>
      <c r="K1845" t="s">
        <v>30</v>
      </c>
      <c r="L1845" s="1">
        <v>44959</v>
      </c>
      <c r="M1845" t="s">
        <v>43</v>
      </c>
      <c r="N1845" t="s">
        <v>32</v>
      </c>
      <c r="O1845" t="s">
        <v>33</v>
      </c>
      <c r="P1845" t="s">
        <v>24</v>
      </c>
      <c r="Q1845">
        <v>1</v>
      </c>
      <c r="R1845">
        <f>IF(ventas_libreria[[#This Row],[valoracion_cliente]]="","Sin valoración",ventas_libreria[[#This Row],[valoracion_cliente]])</f>
        <v>1</v>
      </c>
    </row>
    <row r="1846" spans="1:18" x14ac:dyDescent="0.25">
      <c r="A1846" t="s">
        <v>2122</v>
      </c>
      <c r="B1846" t="s">
        <v>100</v>
      </c>
      <c r="C1846" t="s">
        <v>101</v>
      </c>
      <c r="D1846" t="s">
        <v>102</v>
      </c>
      <c r="E1846" t="s">
        <v>61</v>
      </c>
      <c r="F1846">
        <f>ventas_libreria[[#This Row],[precio_eur]]/100</f>
        <v>1.19</v>
      </c>
      <c r="G1846">
        <v>119</v>
      </c>
      <c r="H1846">
        <v>2</v>
      </c>
      <c r="I1846">
        <f>ventas_libreria[[#This Row],[precio]]*ventas_libreria[[#This Row],[cantidad]]</f>
        <v>2.38</v>
      </c>
      <c r="J1846">
        <v>74</v>
      </c>
      <c r="K1846" t="s">
        <v>20</v>
      </c>
      <c r="L1846" s="1">
        <v>45080</v>
      </c>
      <c r="M1846" t="s">
        <v>21</v>
      </c>
      <c r="N1846" t="s">
        <v>32</v>
      </c>
      <c r="O1846" t="s">
        <v>33</v>
      </c>
      <c r="P1846" t="s">
        <v>24</v>
      </c>
      <c r="Q1846">
        <v>5</v>
      </c>
      <c r="R1846">
        <f>IF(ventas_libreria[[#This Row],[valoracion_cliente]]="","Sin valoración",ventas_libreria[[#This Row],[valoracion_cliente]])</f>
        <v>5</v>
      </c>
    </row>
    <row r="1847" spans="1:18" x14ac:dyDescent="0.25">
      <c r="A1847" t="s">
        <v>2123</v>
      </c>
      <c r="B1847" t="s">
        <v>243</v>
      </c>
      <c r="C1847" t="s">
        <v>244</v>
      </c>
      <c r="D1847" t="s">
        <v>245</v>
      </c>
      <c r="E1847" t="s">
        <v>48</v>
      </c>
      <c r="F1847">
        <f>ventas_libreria[[#This Row],[precio_eur]]/100</f>
        <v>2.2999999999999998</v>
      </c>
      <c r="G1847">
        <v>230</v>
      </c>
      <c r="H1847">
        <v>2</v>
      </c>
      <c r="I1847">
        <f>ventas_libreria[[#This Row],[precio]]*ventas_libreria[[#This Row],[cantidad]]</f>
        <v>4.5999999999999996</v>
      </c>
      <c r="J1847">
        <v>57</v>
      </c>
      <c r="K1847" t="s">
        <v>38</v>
      </c>
      <c r="L1847" s="1">
        <v>45550</v>
      </c>
      <c r="M1847" t="s">
        <v>21</v>
      </c>
      <c r="N1847" t="s">
        <v>32</v>
      </c>
      <c r="O1847" t="s">
        <v>33</v>
      </c>
      <c r="P1847" t="s">
        <v>34</v>
      </c>
      <c r="Q1847">
        <v>4</v>
      </c>
      <c r="R1847">
        <f>IF(ventas_libreria[[#This Row],[valoracion_cliente]]="","Sin valoración",ventas_libreria[[#This Row],[valoracion_cliente]])</f>
        <v>4</v>
      </c>
    </row>
    <row r="1848" spans="1:18" x14ac:dyDescent="0.25">
      <c r="A1848" t="s">
        <v>2124</v>
      </c>
      <c r="B1848" t="s">
        <v>137</v>
      </c>
      <c r="C1848" t="s">
        <v>138</v>
      </c>
      <c r="D1848" t="s">
        <v>139</v>
      </c>
      <c r="E1848" t="s">
        <v>116</v>
      </c>
      <c r="F1848">
        <f>ventas_libreria[[#This Row],[precio_eur]]/100</f>
        <v>11.61</v>
      </c>
      <c r="G1848">
        <v>1161</v>
      </c>
      <c r="H1848">
        <v>1</v>
      </c>
      <c r="I1848">
        <f>ventas_libreria[[#This Row],[precio]]*ventas_libreria[[#This Row],[cantidad]]</f>
        <v>11.61</v>
      </c>
      <c r="J1848">
        <v>24</v>
      </c>
      <c r="K1848" t="s">
        <v>20</v>
      </c>
      <c r="L1848" s="1">
        <v>44984</v>
      </c>
      <c r="M1848" t="s">
        <v>43</v>
      </c>
      <c r="N1848" t="s">
        <v>32</v>
      </c>
      <c r="O1848" t="s">
        <v>33</v>
      </c>
      <c r="P1848" t="s">
        <v>24</v>
      </c>
      <c r="Q1848">
        <v>4</v>
      </c>
      <c r="R1848">
        <f>IF(ventas_libreria[[#This Row],[valoracion_cliente]]="","Sin valoración",ventas_libreria[[#This Row],[valoracion_cliente]])</f>
        <v>4</v>
      </c>
    </row>
    <row r="1849" spans="1:18" x14ac:dyDescent="0.25">
      <c r="A1849" t="s">
        <v>2125</v>
      </c>
      <c r="B1849" t="s">
        <v>181</v>
      </c>
      <c r="C1849" t="s">
        <v>182</v>
      </c>
      <c r="D1849" t="s">
        <v>183</v>
      </c>
      <c r="E1849" t="s">
        <v>116</v>
      </c>
      <c r="F1849">
        <f>ventas_libreria[[#This Row],[precio_eur]]/100</f>
        <v>11.12</v>
      </c>
      <c r="G1849">
        <v>1112</v>
      </c>
      <c r="H1849">
        <v>1</v>
      </c>
      <c r="I1849">
        <f>ventas_libreria[[#This Row],[precio]]*ventas_libreria[[#This Row],[cantidad]]</f>
        <v>11.12</v>
      </c>
      <c r="J1849">
        <v>59</v>
      </c>
      <c r="K1849" t="s">
        <v>62</v>
      </c>
      <c r="L1849" s="1">
        <v>45703</v>
      </c>
      <c r="M1849" t="s">
        <v>31</v>
      </c>
      <c r="N1849" t="s">
        <v>32</v>
      </c>
      <c r="O1849" t="s">
        <v>33</v>
      </c>
      <c r="P1849" t="s">
        <v>84</v>
      </c>
      <c r="Q1849">
        <v>5</v>
      </c>
      <c r="R1849">
        <f>IF(ventas_libreria[[#This Row],[valoracion_cliente]]="","Sin valoración",ventas_libreria[[#This Row],[valoracion_cliente]])</f>
        <v>5</v>
      </c>
    </row>
    <row r="1850" spans="1:18" x14ac:dyDescent="0.25">
      <c r="A1850" t="s">
        <v>2126</v>
      </c>
      <c r="B1850" t="s">
        <v>118</v>
      </c>
      <c r="C1850" t="s">
        <v>119</v>
      </c>
      <c r="D1850" t="s">
        <v>47</v>
      </c>
      <c r="E1850" t="s">
        <v>48</v>
      </c>
      <c r="F1850">
        <f>ventas_libreria[[#This Row],[precio_eur]]/100</f>
        <v>1.59</v>
      </c>
      <c r="G1850">
        <v>159</v>
      </c>
      <c r="H1850">
        <v>2</v>
      </c>
      <c r="I1850">
        <f>ventas_libreria[[#This Row],[precio]]*ventas_libreria[[#This Row],[cantidad]]</f>
        <v>3.18</v>
      </c>
      <c r="J1850">
        <v>23</v>
      </c>
      <c r="K1850" t="s">
        <v>30</v>
      </c>
      <c r="L1850" s="1">
        <v>45432</v>
      </c>
      <c r="M1850" t="s">
        <v>21</v>
      </c>
      <c r="N1850" t="s">
        <v>22</v>
      </c>
      <c r="O1850" t="s">
        <v>67</v>
      </c>
      <c r="P1850" t="s">
        <v>56</v>
      </c>
      <c r="Q1850">
        <v>5</v>
      </c>
      <c r="R1850">
        <f>IF(ventas_libreria[[#This Row],[valoracion_cliente]]="","Sin valoración",ventas_libreria[[#This Row],[valoracion_cliente]])</f>
        <v>5</v>
      </c>
    </row>
    <row r="1851" spans="1:18" x14ac:dyDescent="0.25">
      <c r="A1851" t="s">
        <v>2127</v>
      </c>
      <c r="B1851" t="s">
        <v>247</v>
      </c>
      <c r="C1851" t="s">
        <v>248</v>
      </c>
      <c r="D1851" t="s">
        <v>249</v>
      </c>
      <c r="E1851" t="s">
        <v>172</v>
      </c>
      <c r="F1851">
        <f>ventas_libreria[[#This Row],[precio_eur]]/100</f>
        <v>1.39</v>
      </c>
      <c r="G1851">
        <v>139</v>
      </c>
      <c r="H1851">
        <v>1</v>
      </c>
      <c r="I1851">
        <f>ventas_libreria[[#This Row],[precio]]*ventas_libreria[[#This Row],[cantidad]]</f>
        <v>1.39</v>
      </c>
      <c r="J1851">
        <v>28</v>
      </c>
      <c r="K1851" t="s">
        <v>38</v>
      </c>
      <c r="L1851" s="1">
        <v>45830</v>
      </c>
      <c r="M1851" t="s">
        <v>31</v>
      </c>
      <c r="N1851" t="s">
        <v>32</v>
      </c>
      <c r="O1851" t="s">
        <v>33</v>
      </c>
      <c r="P1851" t="s">
        <v>56</v>
      </c>
      <c r="Q1851">
        <v>5</v>
      </c>
      <c r="R1851">
        <f>IF(ventas_libreria[[#This Row],[valoracion_cliente]]="","Sin valoración",ventas_libreria[[#This Row],[valoracion_cliente]])</f>
        <v>5</v>
      </c>
    </row>
    <row r="1852" spans="1:18" x14ac:dyDescent="0.25">
      <c r="A1852" t="s">
        <v>2128</v>
      </c>
      <c r="B1852" t="s">
        <v>121</v>
      </c>
      <c r="C1852" t="s">
        <v>122</v>
      </c>
      <c r="D1852" t="s">
        <v>123</v>
      </c>
      <c r="E1852" t="s">
        <v>48</v>
      </c>
      <c r="F1852">
        <f>ventas_libreria[[#This Row],[precio_eur]]/100</f>
        <v>1.69</v>
      </c>
      <c r="G1852">
        <v>169</v>
      </c>
      <c r="H1852">
        <v>1</v>
      </c>
      <c r="I1852">
        <f>ventas_libreria[[#This Row],[precio]]*ventas_libreria[[#This Row],[cantidad]]</f>
        <v>1.69</v>
      </c>
      <c r="J1852">
        <v>32</v>
      </c>
      <c r="K1852" t="s">
        <v>38</v>
      </c>
      <c r="L1852" s="1">
        <v>45758</v>
      </c>
      <c r="M1852" t="s">
        <v>43</v>
      </c>
      <c r="N1852" t="s">
        <v>32</v>
      </c>
      <c r="O1852" t="s">
        <v>33</v>
      </c>
      <c r="P1852" t="s">
        <v>24</v>
      </c>
      <c r="Q1852">
        <v>5</v>
      </c>
      <c r="R1852">
        <f>IF(ventas_libreria[[#This Row],[valoracion_cliente]]="","Sin valoración",ventas_libreria[[#This Row],[valoracion_cliente]])</f>
        <v>5</v>
      </c>
    </row>
    <row r="1853" spans="1:18" x14ac:dyDescent="0.25">
      <c r="A1853" t="s">
        <v>2129</v>
      </c>
      <c r="B1853" t="s">
        <v>220</v>
      </c>
      <c r="C1853" t="s">
        <v>221</v>
      </c>
      <c r="D1853" t="s">
        <v>222</v>
      </c>
      <c r="E1853" t="s">
        <v>116</v>
      </c>
      <c r="F1853">
        <f>ventas_libreria[[#This Row],[precio_eur]]/100</f>
        <v>1.29</v>
      </c>
      <c r="G1853">
        <v>129</v>
      </c>
      <c r="H1853">
        <v>1</v>
      </c>
      <c r="I1853">
        <f>ventas_libreria[[#This Row],[precio]]*ventas_libreria[[#This Row],[cantidad]]</f>
        <v>1.29</v>
      </c>
      <c r="J1853">
        <v>42</v>
      </c>
      <c r="K1853" t="s">
        <v>20</v>
      </c>
      <c r="L1853" s="1">
        <v>45543</v>
      </c>
      <c r="M1853" t="s">
        <v>31</v>
      </c>
      <c r="N1853" t="s">
        <v>32</v>
      </c>
      <c r="O1853" t="s">
        <v>33</v>
      </c>
      <c r="P1853" t="s">
        <v>50</v>
      </c>
      <c r="Q1853">
        <v>4</v>
      </c>
      <c r="R1853">
        <f>IF(ventas_libreria[[#This Row],[valoracion_cliente]]="","Sin valoración",ventas_libreria[[#This Row],[valoracion_cliente]])</f>
        <v>4</v>
      </c>
    </row>
    <row r="1854" spans="1:18" x14ac:dyDescent="0.25">
      <c r="A1854" t="s">
        <v>2130</v>
      </c>
      <c r="B1854" t="s">
        <v>204</v>
      </c>
      <c r="C1854" t="s">
        <v>205</v>
      </c>
      <c r="D1854" t="s">
        <v>206</v>
      </c>
      <c r="E1854" t="s">
        <v>116</v>
      </c>
      <c r="F1854">
        <f>ventas_libreria[[#This Row],[precio_eur]]/100</f>
        <v>11.61</v>
      </c>
      <c r="G1854">
        <v>1161</v>
      </c>
      <c r="H1854">
        <v>2</v>
      </c>
      <c r="I1854">
        <f>ventas_libreria[[#This Row],[precio]]*ventas_libreria[[#This Row],[cantidad]]</f>
        <v>23.22</v>
      </c>
      <c r="J1854">
        <v>37</v>
      </c>
      <c r="K1854" t="s">
        <v>62</v>
      </c>
      <c r="L1854" s="1">
        <v>45999</v>
      </c>
      <c r="M1854" t="s">
        <v>31</v>
      </c>
      <c r="N1854" t="s">
        <v>32</v>
      </c>
      <c r="O1854" t="s">
        <v>33</v>
      </c>
      <c r="P1854" t="s">
        <v>24</v>
      </c>
      <c r="R1854" t="str">
        <f>IF(ventas_libreria[[#This Row],[valoracion_cliente]]="","Sin valoración",ventas_libreria[[#This Row],[valoracion_cliente]])</f>
        <v>Sin valoración</v>
      </c>
    </row>
    <row r="1855" spans="1:18" x14ac:dyDescent="0.25">
      <c r="A1855" t="s">
        <v>2131</v>
      </c>
      <c r="B1855" t="s">
        <v>137</v>
      </c>
      <c r="C1855" t="s">
        <v>138</v>
      </c>
      <c r="D1855" t="s">
        <v>139</v>
      </c>
      <c r="E1855" t="s">
        <v>116</v>
      </c>
      <c r="F1855">
        <f>ventas_libreria[[#This Row],[precio_eur]]/100</f>
        <v>10.96</v>
      </c>
      <c r="G1855">
        <v>1096</v>
      </c>
      <c r="H1855">
        <v>1</v>
      </c>
      <c r="I1855">
        <f>ventas_libreria[[#This Row],[precio]]*ventas_libreria[[#This Row],[cantidad]]</f>
        <v>10.96</v>
      </c>
      <c r="J1855">
        <v>58</v>
      </c>
      <c r="K1855" t="s">
        <v>62</v>
      </c>
      <c r="L1855" s="1">
        <v>45213</v>
      </c>
      <c r="M1855" t="s">
        <v>31</v>
      </c>
      <c r="N1855" t="s">
        <v>22</v>
      </c>
      <c r="O1855" t="s">
        <v>98</v>
      </c>
      <c r="P1855" t="s">
        <v>34</v>
      </c>
      <c r="Q1855">
        <v>5</v>
      </c>
      <c r="R1855">
        <f>IF(ventas_libreria[[#This Row],[valoracion_cliente]]="","Sin valoración",ventas_libreria[[#This Row],[valoracion_cliente]])</f>
        <v>5</v>
      </c>
    </row>
    <row r="1856" spans="1:18" x14ac:dyDescent="0.25">
      <c r="A1856" t="s">
        <v>2132</v>
      </c>
      <c r="B1856" t="s">
        <v>461</v>
      </c>
      <c r="C1856" t="s">
        <v>462</v>
      </c>
      <c r="D1856" t="s">
        <v>143</v>
      </c>
      <c r="E1856" t="s">
        <v>116</v>
      </c>
      <c r="F1856">
        <f>ventas_libreria[[#This Row],[precio_eur]]/100</f>
        <v>12.51</v>
      </c>
      <c r="G1856">
        <v>1251</v>
      </c>
      <c r="H1856">
        <v>1</v>
      </c>
      <c r="I1856">
        <f>ventas_libreria[[#This Row],[precio]]*ventas_libreria[[#This Row],[cantidad]]</f>
        <v>12.51</v>
      </c>
      <c r="J1856">
        <v>40</v>
      </c>
      <c r="K1856" t="s">
        <v>20</v>
      </c>
      <c r="L1856" s="1">
        <v>46009</v>
      </c>
      <c r="M1856" t="s">
        <v>31</v>
      </c>
      <c r="N1856" t="s">
        <v>32</v>
      </c>
      <c r="O1856" t="s">
        <v>33</v>
      </c>
      <c r="P1856" t="s">
        <v>56</v>
      </c>
      <c r="Q1856">
        <v>2</v>
      </c>
      <c r="R1856">
        <f>IF(ventas_libreria[[#This Row],[valoracion_cliente]]="","Sin valoración",ventas_libreria[[#This Row],[valoracion_cliente]])</f>
        <v>2</v>
      </c>
    </row>
    <row r="1857" spans="1:18" x14ac:dyDescent="0.25">
      <c r="A1857" t="s">
        <v>2133</v>
      </c>
      <c r="B1857" t="s">
        <v>220</v>
      </c>
      <c r="C1857" t="s">
        <v>221</v>
      </c>
      <c r="D1857" t="s">
        <v>222</v>
      </c>
      <c r="E1857" t="s">
        <v>116</v>
      </c>
      <c r="F1857">
        <f>ventas_libreria[[#This Row],[precio_eur]]/100</f>
        <v>10.96</v>
      </c>
      <c r="G1857">
        <v>1096</v>
      </c>
      <c r="H1857">
        <v>3</v>
      </c>
      <c r="I1857">
        <f>ventas_libreria[[#This Row],[precio]]*ventas_libreria[[#This Row],[cantidad]]</f>
        <v>32.880000000000003</v>
      </c>
      <c r="J1857">
        <v>75</v>
      </c>
      <c r="K1857" t="s">
        <v>30</v>
      </c>
      <c r="L1857" s="1">
        <v>45518</v>
      </c>
      <c r="M1857" t="s">
        <v>31</v>
      </c>
      <c r="N1857" t="s">
        <v>32</v>
      </c>
      <c r="O1857" t="s">
        <v>33</v>
      </c>
      <c r="P1857" t="s">
        <v>34</v>
      </c>
      <c r="Q1857">
        <v>5</v>
      </c>
      <c r="R1857">
        <f>IF(ventas_libreria[[#This Row],[valoracion_cliente]]="","Sin valoración",ventas_libreria[[#This Row],[valoracion_cliente]])</f>
        <v>5</v>
      </c>
    </row>
    <row r="1858" spans="1:18" x14ac:dyDescent="0.25">
      <c r="A1858" t="s">
        <v>2134</v>
      </c>
      <c r="B1858" t="s">
        <v>461</v>
      </c>
      <c r="C1858" t="s">
        <v>462</v>
      </c>
      <c r="D1858" t="s">
        <v>143</v>
      </c>
      <c r="E1858" t="s">
        <v>116</v>
      </c>
      <c r="F1858">
        <f>ventas_libreria[[#This Row],[precio_eur]]/100</f>
        <v>1.39</v>
      </c>
      <c r="G1858">
        <v>139</v>
      </c>
      <c r="H1858">
        <v>1</v>
      </c>
      <c r="I1858">
        <f>ventas_libreria[[#This Row],[precio]]*ventas_libreria[[#This Row],[cantidad]]</f>
        <v>1.39</v>
      </c>
      <c r="J1858">
        <v>18</v>
      </c>
      <c r="K1858" t="s">
        <v>62</v>
      </c>
      <c r="L1858" s="1">
        <v>45244</v>
      </c>
      <c r="M1858" t="s">
        <v>31</v>
      </c>
      <c r="N1858" t="s">
        <v>32</v>
      </c>
      <c r="O1858" t="s">
        <v>33</v>
      </c>
      <c r="P1858" t="s">
        <v>56</v>
      </c>
      <c r="Q1858">
        <v>5</v>
      </c>
      <c r="R1858">
        <f>IF(ventas_libreria[[#This Row],[valoracion_cliente]]="","Sin valoración",ventas_libreria[[#This Row],[valoracion_cliente]])</f>
        <v>5</v>
      </c>
    </row>
    <row r="1859" spans="1:18" x14ac:dyDescent="0.25">
      <c r="A1859" t="s">
        <v>2135</v>
      </c>
      <c r="B1859" t="s">
        <v>314</v>
      </c>
      <c r="C1859" t="s">
        <v>315</v>
      </c>
      <c r="D1859" t="s">
        <v>217</v>
      </c>
      <c r="E1859" t="s">
        <v>55</v>
      </c>
      <c r="F1859">
        <f>ventas_libreria[[#This Row],[precio_eur]]/100</f>
        <v>1.85</v>
      </c>
      <c r="G1859">
        <v>185</v>
      </c>
      <c r="H1859">
        <v>2</v>
      </c>
      <c r="I1859">
        <f>ventas_libreria[[#This Row],[precio]]*ventas_libreria[[#This Row],[cantidad]]</f>
        <v>3.7</v>
      </c>
      <c r="J1859">
        <v>47</v>
      </c>
      <c r="K1859" t="s">
        <v>30</v>
      </c>
      <c r="L1859" s="1">
        <v>45555</v>
      </c>
      <c r="M1859" t="s">
        <v>43</v>
      </c>
      <c r="N1859" t="s">
        <v>32</v>
      </c>
      <c r="O1859" t="s">
        <v>33</v>
      </c>
      <c r="P1859" t="s">
        <v>56</v>
      </c>
      <c r="Q1859">
        <v>4</v>
      </c>
      <c r="R1859">
        <f>IF(ventas_libreria[[#This Row],[valoracion_cliente]]="","Sin valoración",ventas_libreria[[#This Row],[valoracion_cliente]])</f>
        <v>4</v>
      </c>
    </row>
    <row r="1860" spans="1:18" x14ac:dyDescent="0.25">
      <c r="A1860" t="s">
        <v>2136</v>
      </c>
      <c r="B1860" t="s">
        <v>375</v>
      </c>
      <c r="C1860" t="s">
        <v>376</v>
      </c>
      <c r="D1860" t="s">
        <v>377</v>
      </c>
      <c r="E1860" t="s">
        <v>29</v>
      </c>
      <c r="F1860">
        <f>ventas_libreria[[#This Row],[precio_eur]]/100</f>
        <v>1.67</v>
      </c>
      <c r="G1860">
        <v>167</v>
      </c>
      <c r="H1860">
        <v>1</v>
      </c>
      <c r="I1860">
        <f>ventas_libreria[[#This Row],[precio]]*ventas_libreria[[#This Row],[cantidad]]</f>
        <v>1.67</v>
      </c>
      <c r="J1860">
        <v>65</v>
      </c>
      <c r="K1860" t="s">
        <v>20</v>
      </c>
      <c r="L1860" s="1">
        <v>45815</v>
      </c>
      <c r="M1860" t="s">
        <v>21</v>
      </c>
      <c r="N1860" t="s">
        <v>22</v>
      </c>
      <c r="O1860" t="s">
        <v>49</v>
      </c>
      <c r="P1860" t="s">
        <v>84</v>
      </c>
      <c r="Q1860">
        <v>5</v>
      </c>
      <c r="R1860">
        <f>IF(ventas_libreria[[#This Row],[valoracion_cliente]]="","Sin valoración",ventas_libreria[[#This Row],[valoracion_cliente]])</f>
        <v>5</v>
      </c>
    </row>
    <row r="1861" spans="1:18" x14ac:dyDescent="0.25">
      <c r="A1861" t="s">
        <v>2137</v>
      </c>
      <c r="B1861" t="s">
        <v>181</v>
      </c>
      <c r="C1861" t="s">
        <v>182</v>
      </c>
      <c r="D1861" t="s">
        <v>183</v>
      </c>
      <c r="E1861" t="s">
        <v>116</v>
      </c>
      <c r="F1861">
        <f>ventas_libreria[[#This Row],[precio_eur]]/100</f>
        <v>11.12</v>
      </c>
      <c r="G1861">
        <v>1112</v>
      </c>
      <c r="H1861">
        <v>2</v>
      </c>
      <c r="I1861">
        <f>ventas_libreria[[#This Row],[precio]]*ventas_libreria[[#This Row],[cantidad]]</f>
        <v>22.24</v>
      </c>
      <c r="J1861">
        <v>17</v>
      </c>
      <c r="K1861" t="s">
        <v>20</v>
      </c>
      <c r="L1861" s="1">
        <v>45470</v>
      </c>
      <c r="M1861" t="s">
        <v>21</v>
      </c>
      <c r="N1861" t="s">
        <v>22</v>
      </c>
      <c r="O1861" t="s">
        <v>98</v>
      </c>
      <c r="P1861" t="s">
        <v>24</v>
      </c>
      <c r="Q1861">
        <v>4</v>
      </c>
      <c r="R1861">
        <f>IF(ventas_libreria[[#This Row],[valoracion_cliente]]="","Sin valoración",ventas_libreria[[#This Row],[valoracion_cliente]])</f>
        <v>4</v>
      </c>
    </row>
    <row r="1862" spans="1:18" x14ac:dyDescent="0.25">
      <c r="A1862" t="s">
        <v>2138</v>
      </c>
      <c r="B1862" t="s">
        <v>58</v>
      </c>
      <c r="C1862" t="s">
        <v>59</v>
      </c>
      <c r="D1862" t="s">
        <v>60</v>
      </c>
      <c r="E1862" t="s">
        <v>61</v>
      </c>
      <c r="F1862">
        <f>ventas_libreria[[#This Row],[precio_eur]]/100</f>
        <v>11.61</v>
      </c>
      <c r="G1862">
        <v>1161</v>
      </c>
      <c r="H1862">
        <v>1</v>
      </c>
      <c r="I1862">
        <f>ventas_libreria[[#This Row],[precio]]*ventas_libreria[[#This Row],[cantidad]]</f>
        <v>11.61</v>
      </c>
      <c r="J1862">
        <v>48</v>
      </c>
      <c r="K1862" t="s">
        <v>38</v>
      </c>
      <c r="L1862" s="1">
        <v>45129</v>
      </c>
      <c r="M1862" t="s">
        <v>43</v>
      </c>
      <c r="N1862" t="s">
        <v>32</v>
      </c>
      <c r="O1862" t="s">
        <v>33</v>
      </c>
      <c r="P1862" t="s">
        <v>84</v>
      </c>
      <c r="Q1862">
        <v>3</v>
      </c>
      <c r="R1862">
        <f>IF(ventas_libreria[[#This Row],[valoracion_cliente]]="","Sin valoración",ventas_libreria[[#This Row],[valoracion_cliente]])</f>
        <v>3</v>
      </c>
    </row>
    <row r="1863" spans="1:18" x14ac:dyDescent="0.25">
      <c r="A1863" t="s">
        <v>2139</v>
      </c>
      <c r="B1863" t="s">
        <v>58</v>
      </c>
      <c r="C1863" t="s">
        <v>59</v>
      </c>
      <c r="D1863" t="s">
        <v>60</v>
      </c>
      <c r="E1863" t="s">
        <v>61</v>
      </c>
      <c r="F1863">
        <f>ventas_libreria[[#This Row],[precio_eur]]/100</f>
        <v>1.29</v>
      </c>
      <c r="G1863">
        <v>129</v>
      </c>
      <c r="H1863">
        <v>1</v>
      </c>
      <c r="I1863">
        <f>ventas_libreria[[#This Row],[precio]]*ventas_libreria[[#This Row],[cantidad]]</f>
        <v>1.29</v>
      </c>
      <c r="J1863">
        <v>45</v>
      </c>
      <c r="K1863" t="s">
        <v>30</v>
      </c>
      <c r="L1863" s="1">
        <v>45721</v>
      </c>
      <c r="M1863" t="s">
        <v>43</v>
      </c>
      <c r="N1863" t="s">
        <v>32</v>
      </c>
      <c r="O1863" t="s">
        <v>33</v>
      </c>
      <c r="P1863" t="s">
        <v>24</v>
      </c>
      <c r="Q1863">
        <v>3</v>
      </c>
      <c r="R1863">
        <f>IF(ventas_libreria[[#This Row],[valoracion_cliente]]="","Sin valoración",ventas_libreria[[#This Row],[valoracion_cliente]])</f>
        <v>3</v>
      </c>
    </row>
    <row r="1864" spans="1:18" x14ac:dyDescent="0.25">
      <c r="A1864" t="s">
        <v>2140</v>
      </c>
      <c r="B1864" t="s">
        <v>348</v>
      </c>
      <c r="C1864" t="s">
        <v>349</v>
      </c>
      <c r="D1864" t="s">
        <v>350</v>
      </c>
      <c r="E1864" t="s">
        <v>116</v>
      </c>
      <c r="F1864">
        <f>ventas_libreria[[#This Row],[precio_eur]]/100</f>
        <v>17.91</v>
      </c>
      <c r="G1864">
        <v>1791</v>
      </c>
      <c r="H1864">
        <v>1</v>
      </c>
      <c r="I1864">
        <f>ventas_libreria[[#This Row],[precio]]*ventas_libreria[[#This Row],[cantidad]]</f>
        <v>17.91</v>
      </c>
      <c r="J1864">
        <v>43</v>
      </c>
      <c r="K1864" t="s">
        <v>20</v>
      </c>
      <c r="L1864" s="1">
        <v>45129</v>
      </c>
      <c r="M1864" t="s">
        <v>31</v>
      </c>
      <c r="N1864" t="s">
        <v>22</v>
      </c>
      <c r="O1864" t="s">
        <v>49</v>
      </c>
      <c r="P1864" t="s">
        <v>24</v>
      </c>
      <c r="R1864" t="str">
        <f>IF(ventas_libreria[[#This Row],[valoracion_cliente]]="","Sin valoración",ventas_libreria[[#This Row],[valoracion_cliente]])</f>
        <v>Sin valoración</v>
      </c>
    </row>
    <row r="1865" spans="1:18" x14ac:dyDescent="0.25">
      <c r="A1865" t="s">
        <v>2141</v>
      </c>
      <c r="B1865" t="s">
        <v>406</v>
      </c>
      <c r="C1865" t="s">
        <v>407</v>
      </c>
      <c r="D1865" t="s">
        <v>88</v>
      </c>
      <c r="E1865" t="s">
        <v>77</v>
      </c>
      <c r="F1865">
        <f>ventas_libreria[[#This Row],[precio_eur]]/100</f>
        <v>1.19</v>
      </c>
      <c r="G1865">
        <v>119</v>
      </c>
      <c r="H1865">
        <v>1</v>
      </c>
      <c r="I1865">
        <f>ventas_libreria[[#This Row],[precio]]*ventas_libreria[[#This Row],[cantidad]]</f>
        <v>1.19</v>
      </c>
      <c r="J1865">
        <v>10</v>
      </c>
      <c r="K1865" t="s">
        <v>62</v>
      </c>
      <c r="L1865" s="1">
        <v>45365</v>
      </c>
      <c r="M1865" t="s">
        <v>21</v>
      </c>
      <c r="N1865" t="s">
        <v>22</v>
      </c>
      <c r="O1865" t="s">
        <v>67</v>
      </c>
      <c r="P1865" t="s">
        <v>24</v>
      </c>
      <c r="Q1865">
        <v>2</v>
      </c>
      <c r="R1865">
        <f>IF(ventas_libreria[[#This Row],[valoracion_cliente]]="","Sin valoración",ventas_libreria[[#This Row],[valoracion_cliente]])</f>
        <v>2</v>
      </c>
    </row>
    <row r="1866" spans="1:18" x14ac:dyDescent="0.25">
      <c r="A1866" t="s">
        <v>2142</v>
      </c>
      <c r="B1866" t="s">
        <v>301</v>
      </c>
      <c r="C1866" t="s">
        <v>302</v>
      </c>
      <c r="D1866" t="s">
        <v>245</v>
      </c>
      <c r="E1866" t="s">
        <v>48</v>
      </c>
      <c r="F1866">
        <f>ventas_libreria[[#This Row],[precio_eur]]/100</f>
        <v>2.4900000000000002</v>
      </c>
      <c r="G1866">
        <v>249</v>
      </c>
      <c r="H1866">
        <v>1</v>
      </c>
      <c r="I1866">
        <f>ventas_libreria[[#This Row],[precio]]*ventas_libreria[[#This Row],[cantidad]]</f>
        <v>2.4900000000000002</v>
      </c>
      <c r="J1866">
        <v>60</v>
      </c>
      <c r="K1866" t="s">
        <v>30</v>
      </c>
      <c r="L1866" s="1">
        <v>45012</v>
      </c>
      <c r="M1866" t="s">
        <v>31</v>
      </c>
      <c r="N1866" t="s">
        <v>22</v>
      </c>
      <c r="O1866" t="s">
        <v>23</v>
      </c>
      <c r="P1866" t="s">
        <v>50</v>
      </c>
      <c r="Q1866">
        <v>5</v>
      </c>
      <c r="R1866">
        <f>IF(ventas_libreria[[#This Row],[valoracion_cliente]]="","Sin valoración",ventas_libreria[[#This Row],[valoracion_cliente]])</f>
        <v>5</v>
      </c>
    </row>
    <row r="1867" spans="1:18" x14ac:dyDescent="0.25">
      <c r="A1867" t="s">
        <v>2143</v>
      </c>
      <c r="B1867" t="s">
        <v>332</v>
      </c>
      <c r="C1867" t="s">
        <v>333</v>
      </c>
      <c r="D1867" t="s">
        <v>334</v>
      </c>
      <c r="E1867" t="s">
        <v>116</v>
      </c>
      <c r="F1867">
        <f>ventas_libreria[[#This Row],[precio_eur]]/100</f>
        <v>17.75</v>
      </c>
      <c r="G1867">
        <v>1775</v>
      </c>
      <c r="H1867">
        <v>1</v>
      </c>
      <c r="I1867">
        <f>ventas_libreria[[#This Row],[precio]]*ventas_libreria[[#This Row],[cantidad]]</f>
        <v>17.75</v>
      </c>
      <c r="J1867">
        <v>60</v>
      </c>
      <c r="K1867" t="s">
        <v>30</v>
      </c>
      <c r="L1867" s="1">
        <v>45865</v>
      </c>
      <c r="M1867" t="s">
        <v>43</v>
      </c>
      <c r="N1867" t="s">
        <v>32</v>
      </c>
      <c r="O1867" t="s">
        <v>33</v>
      </c>
      <c r="P1867" t="s">
        <v>24</v>
      </c>
      <c r="Q1867">
        <v>5</v>
      </c>
      <c r="R1867">
        <f>IF(ventas_libreria[[#This Row],[valoracion_cliente]]="","Sin valoración",ventas_libreria[[#This Row],[valoracion_cliente]])</f>
        <v>5</v>
      </c>
    </row>
    <row r="1868" spans="1:18" x14ac:dyDescent="0.25">
      <c r="A1868" t="s">
        <v>2144</v>
      </c>
      <c r="B1868" t="s">
        <v>95</v>
      </c>
      <c r="C1868" t="s">
        <v>96</v>
      </c>
      <c r="D1868" t="s">
        <v>97</v>
      </c>
      <c r="E1868" t="s">
        <v>29</v>
      </c>
      <c r="F1868">
        <f>ventas_libreria[[#This Row],[precio_eur]]/100</f>
        <v>1.79</v>
      </c>
      <c r="G1868">
        <v>179</v>
      </c>
      <c r="H1868">
        <v>2</v>
      </c>
      <c r="I1868">
        <f>ventas_libreria[[#This Row],[precio]]*ventas_libreria[[#This Row],[cantidad]]</f>
        <v>3.58</v>
      </c>
      <c r="J1868">
        <v>55</v>
      </c>
      <c r="K1868" t="s">
        <v>30</v>
      </c>
      <c r="L1868" s="1">
        <v>45671</v>
      </c>
      <c r="M1868" t="s">
        <v>43</v>
      </c>
      <c r="N1868" t="s">
        <v>32</v>
      </c>
      <c r="O1868" t="s">
        <v>33</v>
      </c>
      <c r="P1868" t="s">
        <v>24</v>
      </c>
      <c r="Q1868">
        <v>5</v>
      </c>
      <c r="R1868">
        <f>IF(ventas_libreria[[#This Row],[valoracion_cliente]]="","Sin valoración",ventas_libreria[[#This Row],[valoracion_cliente]])</f>
        <v>5</v>
      </c>
    </row>
    <row r="1869" spans="1:18" x14ac:dyDescent="0.25">
      <c r="A1869" t="s">
        <v>2145</v>
      </c>
      <c r="B1869" t="s">
        <v>181</v>
      </c>
      <c r="C1869" t="s">
        <v>182</v>
      </c>
      <c r="D1869" t="s">
        <v>183</v>
      </c>
      <c r="E1869" t="s">
        <v>116</v>
      </c>
      <c r="F1869">
        <f>ventas_libreria[[#This Row],[precio_eur]]/100</f>
        <v>12.51</v>
      </c>
      <c r="G1869">
        <v>1251</v>
      </c>
      <c r="H1869">
        <v>1</v>
      </c>
      <c r="I1869">
        <f>ventas_libreria[[#This Row],[precio]]*ventas_libreria[[#This Row],[cantidad]]</f>
        <v>12.51</v>
      </c>
      <c r="J1869">
        <v>73</v>
      </c>
      <c r="K1869" t="s">
        <v>20</v>
      </c>
      <c r="L1869" s="1">
        <v>45969</v>
      </c>
      <c r="M1869" t="s">
        <v>21</v>
      </c>
      <c r="N1869" t="s">
        <v>32</v>
      </c>
      <c r="O1869" t="s">
        <v>33</v>
      </c>
      <c r="P1869" t="s">
        <v>84</v>
      </c>
      <c r="Q1869">
        <v>4</v>
      </c>
      <c r="R1869">
        <f>IF(ventas_libreria[[#This Row],[valoracion_cliente]]="","Sin valoración",ventas_libreria[[#This Row],[valoracion_cliente]])</f>
        <v>4</v>
      </c>
    </row>
    <row r="1870" spans="1:18" x14ac:dyDescent="0.25">
      <c r="A1870" t="s">
        <v>2146</v>
      </c>
      <c r="B1870" t="s">
        <v>318</v>
      </c>
      <c r="C1870" t="s">
        <v>319</v>
      </c>
      <c r="D1870" t="s">
        <v>167</v>
      </c>
      <c r="E1870" t="s">
        <v>61</v>
      </c>
      <c r="F1870">
        <f>ventas_libreria[[#This Row],[precio_eur]]/100</f>
        <v>1.89</v>
      </c>
      <c r="G1870">
        <v>189</v>
      </c>
      <c r="H1870">
        <v>1</v>
      </c>
      <c r="I1870">
        <f>ventas_libreria[[#This Row],[precio]]*ventas_libreria[[#This Row],[cantidad]]</f>
        <v>1.89</v>
      </c>
      <c r="J1870">
        <v>48</v>
      </c>
      <c r="K1870" t="s">
        <v>62</v>
      </c>
      <c r="L1870" s="1">
        <v>45692</v>
      </c>
      <c r="M1870" t="s">
        <v>21</v>
      </c>
      <c r="N1870" t="s">
        <v>32</v>
      </c>
      <c r="O1870" t="s">
        <v>33</v>
      </c>
      <c r="P1870" t="s">
        <v>50</v>
      </c>
      <c r="Q1870">
        <v>3</v>
      </c>
      <c r="R1870">
        <f>IF(ventas_libreria[[#This Row],[valoracion_cliente]]="","Sin valoración",ventas_libreria[[#This Row],[valoracion_cliente]])</f>
        <v>3</v>
      </c>
    </row>
    <row r="1871" spans="1:18" x14ac:dyDescent="0.25">
      <c r="A1871" t="s">
        <v>2147</v>
      </c>
      <c r="B1871" t="s">
        <v>193</v>
      </c>
      <c r="C1871" t="s">
        <v>194</v>
      </c>
      <c r="D1871" t="s">
        <v>195</v>
      </c>
      <c r="E1871" t="s">
        <v>48</v>
      </c>
      <c r="F1871">
        <f>ventas_libreria[[#This Row],[precio_eur]]/100</f>
        <v>1.99</v>
      </c>
      <c r="G1871">
        <v>199</v>
      </c>
      <c r="H1871">
        <v>1</v>
      </c>
      <c r="I1871">
        <f>ventas_libreria[[#This Row],[precio]]*ventas_libreria[[#This Row],[cantidad]]</f>
        <v>1.99</v>
      </c>
      <c r="J1871">
        <v>26</v>
      </c>
      <c r="K1871" t="s">
        <v>30</v>
      </c>
      <c r="L1871" s="1">
        <v>45156</v>
      </c>
      <c r="M1871" t="s">
        <v>43</v>
      </c>
      <c r="N1871" t="s">
        <v>32</v>
      </c>
      <c r="O1871" t="s">
        <v>33</v>
      </c>
      <c r="P1871" t="s">
        <v>56</v>
      </c>
      <c r="Q1871">
        <v>5</v>
      </c>
      <c r="R1871">
        <f>IF(ventas_libreria[[#This Row],[valoracion_cliente]]="","Sin valoración",ventas_libreria[[#This Row],[valoracion_cliente]])</f>
        <v>5</v>
      </c>
    </row>
    <row r="1872" spans="1:18" x14ac:dyDescent="0.25">
      <c r="A1872" t="s">
        <v>2148</v>
      </c>
      <c r="B1872" t="s">
        <v>549</v>
      </c>
      <c r="C1872" t="s">
        <v>550</v>
      </c>
      <c r="D1872" t="s">
        <v>162</v>
      </c>
      <c r="E1872" t="s">
        <v>29</v>
      </c>
      <c r="F1872">
        <f>ventas_libreria[[#This Row],[precio_eur]]/100</f>
        <v>20.89</v>
      </c>
      <c r="G1872">
        <v>2089</v>
      </c>
      <c r="H1872">
        <v>1</v>
      </c>
      <c r="I1872">
        <f>ventas_libreria[[#This Row],[precio]]*ventas_libreria[[#This Row],[cantidad]]</f>
        <v>20.89</v>
      </c>
      <c r="J1872">
        <v>25</v>
      </c>
      <c r="K1872" t="s">
        <v>38</v>
      </c>
      <c r="L1872" s="1">
        <v>45252</v>
      </c>
      <c r="M1872" t="s">
        <v>31</v>
      </c>
      <c r="N1872" t="s">
        <v>32</v>
      </c>
      <c r="O1872" t="s">
        <v>33</v>
      </c>
      <c r="P1872" t="s">
        <v>34</v>
      </c>
      <c r="Q1872">
        <v>3</v>
      </c>
      <c r="R1872">
        <f>IF(ventas_libreria[[#This Row],[valoracion_cliente]]="","Sin valoración",ventas_libreria[[#This Row],[valoracion_cliente]])</f>
        <v>3</v>
      </c>
    </row>
    <row r="1873" spans="1:18" x14ac:dyDescent="0.25">
      <c r="A1873" t="s">
        <v>2149</v>
      </c>
      <c r="B1873" t="s">
        <v>508</v>
      </c>
      <c r="C1873" t="s">
        <v>509</v>
      </c>
      <c r="D1873" t="s">
        <v>199</v>
      </c>
      <c r="E1873" t="s">
        <v>55</v>
      </c>
      <c r="F1873">
        <f>ventas_libreria[[#This Row],[precio_eur]]/100</f>
        <v>19.84</v>
      </c>
      <c r="G1873">
        <v>1984</v>
      </c>
      <c r="H1873">
        <v>1</v>
      </c>
      <c r="I1873">
        <f>ventas_libreria[[#This Row],[precio]]*ventas_libreria[[#This Row],[cantidad]]</f>
        <v>19.84</v>
      </c>
      <c r="J1873">
        <v>17</v>
      </c>
      <c r="K1873" t="s">
        <v>20</v>
      </c>
      <c r="L1873" s="1">
        <v>45636</v>
      </c>
      <c r="M1873" t="s">
        <v>31</v>
      </c>
      <c r="N1873" t="s">
        <v>22</v>
      </c>
      <c r="O1873" t="s">
        <v>23</v>
      </c>
      <c r="P1873" t="s">
        <v>34</v>
      </c>
      <c r="Q1873">
        <v>5</v>
      </c>
      <c r="R1873">
        <f>IF(ventas_libreria[[#This Row],[valoracion_cliente]]="","Sin valoración",ventas_libreria[[#This Row],[valoracion_cliente]])</f>
        <v>5</v>
      </c>
    </row>
    <row r="1874" spans="1:18" x14ac:dyDescent="0.25">
      <c r="A1874" t="s">
        <v>2150</v>
      </c>
      <c r="B1874" t="s">
        <v>403</v>
      </c>
      <c r="C1874" t="s">
        <v>404</v>
      </c>
      <c r="D1874" t="s">
        <v>123</v>
      </c>
      <c r="E1874" t="s">
        <v>48</v>
      </c>
      <c r="F1874">
        <f>ventas_libreria[[#This Row],[precio_eur]]/100</f>
        <v>2.99</v>
      </c>
      <c r="G1874">
        <v>299</v>
      </c>
      <c r="H1874">
        <v>1</v>
      </c>
      <c r="I1874">
        <f>ventas_libreria[[#This Row],[precio]]*ventas_libreria[[#This Row],[cantidad]]</f>
        <v>2.99</v>
      </c>
      <c r="J1874">
        <v>50</v>
      </c>
      <c r="K1874" t="s">
        <v>20</v>
      </c>
      <c r="L1874" s="1">
        <v>45963</v>
      </c>
      <c r="M1874" t="s">
        <v>21</v>
      </c>
      <c r="N1874" t="s">
        <v>22</v>
      </c>
      <c r="O1874" t="s">
        <v>23</v>
      </c>
      <c r="P1874" t="s">
        <v>56</v>
      </c>
      <c r="Q1874">
        <v>3</v>
      </c>
      <c r="R1874">
        <f>IF(ventas_libreria[[#This Row],[valoracion_cliente]]="","Sin valoración",ventas_libreria[[#This Row],[valoracion_cliente]])</f>
        <v>3</v>
      </c>
    </row>
    <row r="1875" spans="1:18" x14ac:dyDescent="0.25">
      <c r="A1875" t="s">
        <v>2151</v>
      </c>
      <c r="B1875" t="s">
        <v>146</v>
      </c>
      <c r="C1875" t="s">
        <v>147</v>
      </c>
      <c r="D1875" t="s">
        <v>148</v>
      </c>
      <c r="E1875" t="s">
        <v>149</v>
      </c>
      <c r="F1875">
        <f>ventas_libreria[[#This Row],[precio_eur]]/100</f>
        <v>1.59</v>
      </c>
      <c r="G1875">
        <v>159</v>
      </c>
      <c r="H1875">
        <v>2</v>
      </c>
      <c r="I1875">
        <f>ventas_libreria[[#This Row],[precio]]*ventas_libreria[[#This Row],[cantidad]]</f>
        <v>3.18</v>
      </c>
      <c r="J1875">
        <v>24</v>
      </c>
      <c r="K1875" t="s">
        <v>20</v>
      </c>
      <c r="L1875" s="1">
        <v>45098</v>
      </c>
      <c r="M1875" t="s">
        <v>21</v>
      </c>
      <c r="N1875" t="s">
        <v>22</v>
      </c>
      <c r="O1875" t="s">
        <v>98</v>
      </c>
      <c r="P1875" t="s">
        <v>24</v>
      </c>
      <c r="Q1875">
        <v>1</v>
      </c>
      <c r="R1875">
        <f>IF(ventas_libreria[[#This Row],[valoracion_cliente]]="","Sin valoración",ventas_libreria[[#This Row],[valoracion_cliente]])</f>
        <v>1</v>
      </c>
    </row>
    <row r="1876" spans="1:18" x14ac:dyDescent="0.25">
      <c r="A1876" t="s">
        <v>2152</v>
      </c>
      <c r="B1876" t="s">
        <v>446</v>
      </c>
      <c r="C1876" t="s">
        <v>447</v>
      </c>
      <c r="D1876" t="s">
        <v>262</v>
      </c>
      <c r="E1876" t="s">
        <v>263</v>
      </c>
      <c r="F1876">
        <f>ventas_libreria[[#This Row],[precio_eur]]/100</f>
        <v>1.99</v>
      </c>
      <c r="G1876">
        <v>199</v>
      </c>
      <c r="H1876">
        <v>1</v>
      </c>
      <c r="I1876">
        <f>ventas_libreria[[#This Row],[precio]]*ventas_libreria[[#This Row],[cantidad]]</f>
        <v>1.99</v>
      </c>
      <c r="J1876">
        <v>18</v>
      </c>
      <c r="K1876" t="s">
        <v>62</v>
      </c>
      <c r="L1876" s="1">
        <v>45149</v>
      </c>
      <c r="M1876" t="s">
        <v>43</v>
      </c>
      <c r="N1876" t="s">
        <v>32</v>
      </c>
      <c r="O1876" t="s">
        <v>33</v>
      </c>
      <c r="P1876" t="s">
        <v>84</v>
      </c>
      <c r="Q1876">
        <v>4</v>
      </c>
      <c r="R1876">
        <f>IF(ventas_libreria[[#This Row],[valoracion_cliente]]="","Sin valoración",ventas_libreria[[#This Row],[valoracion_cliente]])</f>
        <v>4</v>
      </c>
    </row>
    <row r="1877" spans="1:18" x14ac:dyDescent="0.25">
      <c r="A1877" t="s">
        <v>2153</v>
      </c>
      <c r="B1877" t="s">
        <v>384</v>
      </c>
      <c r="C1877" t="s">
        <v>385</v>
      </c>
      <c r="D1877" t="s">
        <v>158</v>
      </c>
      <c r="E1877" t="s">
        <v>149</v>
      </c>
      <c r="F1877">
        <f>ventas_libreria[[#This Row],[precio_eur]]/100</f>
        <v>24.09</v>
      </c>
      <c r="G1877">
        <v>2409</v>
      </c>
      <c r="H1877">
        <v>1</v>
      </c>
      <c r="I1877">
        <f>ventas_libreria[[#This Row],[precio]]*ventas_libreria[[#This Row],[cantidad]]</f>
        <v>24.09</v>
      </c>
      <c r="J1877">
        <v>35</v>
      </c>
      <c r="K1877" t="s">
        <v>62</v>
      </c>
      <c r="L1877" s="1">
        <v>45031</v>
      </c>
      <c r="M1877" t="s">
        <v>21</v>
      </c>
      <c r="N1877" t="s">
        <v>32</v>
      </c>
      <c r="O1877" t="s">
        <v>33</v>
      </c>
      <c r="P1877" t="s">
        <v>56</v>
      </c>
      <c r="R1877" t="str">
        <f>IF(ventas_libreria[[#This Row],[valoracion_cliente]]="","Sin valoración",ventas_libreria[[#This Row],[valoracion_cliente]])</f>
        <v>Sin valoración</v>
      </c>
    </row>
    <row r="1878" spans="1:18" x14ac:dyDescent="0.25">
      <c r="A1878" t="s">
        <v>2154</v>
      </c>
      <c r="B1878" t="s">
        <v>141</v>
      </c>
      <c r="C1878" t="s">
        <v>142</v>
      </c>
      <c r="D1878" t="s">
        <v>143</v>
      </c>
      <c r="E1878" t="s">
        <v>116</v>
      </c>
      <c r="F1878">
        <f>ventas_libreria[[#This Row],[precio_eur]]/100</f>
        <v>1.49</v>
      </c>
      <c r="G1878">
        <v>149</v>
      </c>
      <c r="H1878">
        <v>2</v>
      </c>
      <c r="I1878">
        <f>ventas_libreria[[#This Row],[precio]]*ventas_libreria[[#This Row],[cantidad]]</f>
        <v>2.98</v>
      </c>
      <c r="J1878">
        <v>43</v>
      </c>
      <c r="K1878" t="s">
        <v>30</v>
      </c>
      <c r="L1878" s="1">
        <v>45327</v>
      </c>
      <c r="M1878" t="s">
        <v>43</v>
      </c>
      <c r="N1878" t="s">
        <v>32</v>
      </c>
      <c r="O1878" t="s">
        <v>33</v>
      </c>
      <c r="P1878" t="s">
        <v>56</v>
      </c>
      <c r="Q1878">
        <v>4</v>
      </c>
      <c r="R1878">
        <f>IF(ventas_libreria[[#This Row],[valoracion_cliente]]="","Sin valoración",ventas_libreria[[#This Row],[valoracion_cliente]])</f>
        <v>4</v>
      </c>
    </row>
    <row r="1879" spans="1:18" x14ac:dyDescent="0.25">
      <c r="A1879" t="s">
        <v>2155</v>
      </c>
      <c r="B1879" t="s">
        <v>338</v>
      </c>
      <c r="C1879" t="s">
        <v>339</v>
      </c>
      <c r="D1879" t="s">
        <v>167</v>
      </c>
      <c r="E1879" t="s">
        <v>61</v>
      </c>
      <c r="F1879">
        <f>ventas_libreria[[#This Row],[precio_eur]]/100</f>
        <v>25.19</v>
      </c>
      <c r="G1879">
        <v>2519</v>
      </c>
      <c r="H1879">
        <v>1</v>
      </c>
      <c r="I1879">
        <f>ventas_libreria[[#This Row],[precio]]*ventas_libreria[[#This Row],[cantidad]]</f>
        <v>25.19</v>
      </c>
      <c r="J1879">
        <v>42</v>
      </c>
      <c r="K1879" t="s">
        <v>62</v>
      </c>
      <c r="L1879" s="1">
        <v>45202</v>
      </c>
      <c r="M1879" t="s">
        <v>43</v>
      </c>
      <c r="N1879" t="s">
        <v>32</v>
      </c>
      <c r="O1879" t="s">
        <v>33</v>
      </c>
      <c r="P1879" t="s">
        <v>24</v>
      </c>
      <c r="Q1879">
        <v>4</v>
      </c>
      <c r="R1879">
        <f>IF(ventas_libreria[[#This Row],[valoracion_cliente]]="","Sin valoración",ventas_libreria[[#This Row],[valoracion_cliente]])</f>
        <v>4</v>
      </c>
    </row>
    <row r="1880" spans="1:18" x14ac:dyDescent="0.25">
      <c r="A1880" t="s">
        <v>2156</v>
      </c>
      <c r="B1880" t="s">
        <v>45</v>
      </c>
      <c r="C1880" t="s">
        <v>46</v>
      </c>
      <c r="D1880" t="s">
        <v>47</v>
      </c>
      <c r="E1880" t="s">
        <v>48</v>
      </c>
      <c r="F1880">
        <f>ventas_libreria[[#This Row],[precio_eur]]/100</f>
        <v>15.92</v>
      </c>
      <c r="G1880">
        <v>1592</v>
      </c>
      <c r="H1880">
        <v>2</v>
      </c>
      <c r="I1880">
        <f>ventas_libreria[[#This Row],[precio]]*ventas_libreria[[#This Row],[cantidad]]</f>
        <v>31.84</v>
      </c>
      <c r="J1880">
        <v>75</v>
      </c>
      <c r="K1880" t="s">
        <v>38</v>
      </c>
      <c r="L1880" s="1">
        <v>45117</v>
      </c>
      <c r="M1880" t="s">
        <v>43</v>
      </c>
      <c r="N1880" t="s">
        <v>32</v>
      </c>
      <c r="O1880" t="s">
        <v>33</v>
      </c>
      <c r="P1880" t="s">
        <v>50</v>
      </c>
      <c r="Q1880">
        <v>5</v>
      </c>
      <c r="R1880">
        <f>IF(ventas_libreria[[#This Row],[valoracion_cliente]]="","Sin valoración",ventas_libreria[[#This Row],[valoracion_cliente]])</f>
        <v>5</v>
      </c>
    </row>
    <row r="1881" spans="1:18" x14ac:dyDescent="0.25">
      <c r="A1881" t="s">
        <v>2157</v>
      </c>
      <c r="B1881" t="s">
        <v>146</v>
      </c>
      <c r="C1881" t="s">
        <v>147</v>
      </c>
      <c r="D1881" t="s">
        <v>148</v>
      </c>
      <c r="E1881" t="s">
        <v>149</v>
      </c>
      <c r="F1881">
        <f>ventas_libreria[[#This Row],[precio_eur]]/100</f>
        <v>17.489999999999998</v>
      </c>
      <c r="G1881">
        <v>1749</v>
      </c>
      <c r="H1881">
        <v>1</v>
      </c>
      <c r="I1881">
        <f>ventas_libreria[[#This Row],[precio]]*ventas_libreria[[#This Row],[cantidad]]</f>
        <v>17.489999999999998</v>
      </c>
      <c r="J1881">
        <v>71</v>
      </c>
      <c r="K1881" t="s">
        <v>30</v>
      </c>
      <c r="L1881" s="1">
        <v>45137</v>
      </c>
      <c r="M1881" t="s">
        <v>43</v>
      </c>
      <c r="N1881" t="s">
        <v>32</v>
      </c>
      <c r="O1881" t="s">
        <v>33</v>
      </c>
      <c r="P1881" t="s">
        <v>24</v>
      </c>
      <c r="Q1881">
        <v>5</v>
      </c>
      <c r="R1881">
        <f>IF(ventas_libreria[[#This Row],[valoracion_cliente]]="","Sin valoración",ventas_libreria[[#This Row],[valoracion_cliente]])</f>
        <v>5</v>
      </c>
    </row>
    <row r="1882" spans="1:18" x14ac:dyDescent="0.25">
      <c r="A1882" t="s">
        <v>2158</v>
      </c>
      <c r="B1882" t="s">
        <v>353</v>
      </c>
      <c r="C1882" t="s">
        <v>354</v>
      </c>
      <c r="D1882" t="s">
        <v>226</v>
      </c>
      <c r="E1882" t="s">
        <v>116</v>
      </c>
      <c r="F1882">
        <f>ventas_libreria[[#This Row],[precio_eur]]/100</f>
        <v>1.69</v>
      </c>
      <c r="G1882">
        <v>169</v>
      </c>
      <c r="H1882">
        <v>1</v>
      </c>
      <c r="I1882">
        <f>ventas_libreria[[#This Row],[precio]]*ventas_libreria[[#This Row],[cantidad]]</f>
        <v>1.69</v>
      </c>
      <c r="J1882">
        <v>74</v>
      </c>
      <c r="K1882" t="s">
        <v>20</v>
      </c>
      <c r="L1882" s="1">
        <v>45499</v>
      </c>
      <c r="M1882" t="s">
        <v>21</v>
      </c>
      <c r="N1882" t="s">
        <v>32</v>
      </c>
      <c r="O1882" t="s">
        <v>33</v>
      </c>
      <c r="P1882" t="s">
        <v>34</v>
      </c>
      <c r="Q1882">
        <v>5</v>
      </c>
      <c r="R1882">
        <f>IF(ventas_libreria[[#This Row],[valoracion_cliente]]="","Sin valoración",ventas_libreria[[#This Row],[valoracion_cliente]])</f>
        <v>5</v>
      </c>
    </row>
    <row r="1883" spans="1:18" x14ac:dyDescent="0.25">
      <c r="A1883" t="s">
        <v>2159</v>
      </c>
      <c r="B1883" t="s">
        <v>36</v>
      </c>
      <c r="C1883" t="s">
        <v>37</v>
      </c>
      <c r="D1883" t="s">
        <v>28</v>
      </c>
      <c r="E1883" t="s">
        <v>29</v>
      </c>
      <c r="F1883">
        <f>ventas_libreria[[#This Row],[precio_eur]]/100</f>
        <v>20.79</v>
      </c>
      <c r="G1883">
        <v>2079</v>
      </c>
      <c r="H1883">
        <v>1</v>
      </c>
      <c r="I1883">
        <f>ventas_libreria[[#This Row],[precio]]*ventas_libreria[[#This Row],[cantidad]]</f>
        <v>20.79</v>
      </c>
      <c r="J1883">
        <v>38</v>
      </c>
      <c r="K1883" t="s">
        <v>20</v>
      </c>
      <c r="L1883" s="1">
        <v>45689</v>
      </c>
      <c r="M1883" t="s">
        <v>43</v>
      </c>
      <c r="N1883" t="s">
        <v>32</v>
      </c>
      <c r="O1883" t="s">
        <v>33</v>
      </c>
      <c r="P1883" t="s">
        <v>56</v>
      </c>
      <c r="Q1883">
        <v>4</v>
      </c>
      <c r="R1883">
        <f>IF(ventas_libreria[[#This Row],[valoracion_cliente]]="","Sin valoración",ventas_libreria[[#This Row],[valoracion_cliente]])</f>
        <v>4</v>
      </c>
    </row>
    <row r="1884" spans="1:18" x14ac:dyDescent="0.25">
      <c r="A1884" t="s">
        <v>2160</v>
      </c>
      <c r="B1884" t="s">
        <v>134</v>
      </c>
      <c r="C1884" t="s">
        <v>135</v>
      </c>
      <c r="D1884" t="s">
        <v>106</v>
      </c>
      <c r="E1884" t="s">
        <v>107</v>
      </c>
      <c r="F1884">
        <f>ventas_libreria[[#This Row],[precio_eur]]/100</f>
        <v>13.41</v>
      </c>
      <c r="G1884">
        <v>1341</v>
      </c>
      <c r="H1884">
        <v>1</v>
      </c>
      <c r="I1884">
        <f>ventas_libreria[[#This Row],[precio]]*ventas_libreria[[#This Row],[cantidad]]</f>
        <v>13.41</v>
      </c>
      <c r="J1884">
        <v>10</v>
      </c>
      <c r="K1884" t="s">
        <v>30</v>
      </c>
      <c r="L1884" s="1">
        <v>45080</v>
      </c>
      <c r="M1884" t="s">
        <v>43</v>
      </c>
      <c r="N1884" t="s">
        <v>32</v>
      </c>
      <c r="O1884" t="s">
        <v>33</v>
      </c>
      <c r="P1884" t="s">
        <v>24</v>
      </c>
      <c r="Q1884">
        <v>4</v>
      </c>
      <c r="R1884">
        <f>IF(ventas_libreria[[#This Row],[valoracion_cliente]]="","Sin valoración",ventas_libreria[[#This Row],[valoracion_cliente]])</f>
        <v>4</v>
      </c>
    </row>
    <row r="1885" spans="1:18" x14ac:dyDescent="0.25">
      <c r="A1885" t="s">
        <v>2161</v>
      </c>
      <c r="B1885" t="s">
        <v>36</v>
      </c>
      <c r="C1885" t="s">
        <v>37</v>
      </c>
      <c r="D1885" t="s">
        <v>28</v>
      </c>
      <c r="E1885" t="s">
        <v>29</v>
      </c>
      <c r="F1885">
        <f>ventas_libreria[[#This Row],[precio_eur]]/100</f>
        <v>1.89</v>
      </c>
      <c r="G1885">
        <v>189</v>
      </c>
      <c r="H1885">
        <v>1</v>
      </c>
      <c r="I1885">
        <f>ventas_libreria[[#This Row],[precio]]*ventas_libreria[[#This Row],[cantidad]]</f>
        <v>1.89</v>
      </c>
      <c r="J1885">
        <v>28</v>
      </c>
      <c r="K1885" t="s">
        <v>62</v>
      </c>
      <c r="L1885" s="1">
        <v>45449</v>
      </c>
      <c r="M1885" t="s">
        <v>43</v>
      </c>
      <c r="N1885" t="s">
        <v>32</v>
      </c>
      <c r="O1885" t="s">
        <v>33</v>
      </c>
      <c r="P1885" t="s">
        <v>34</v>
      </c>
      <c r="Q1885">
        <v>4</v>
      </c>
      <c r="R1885">
        <f>IF(ventas_libreria[[#This Row],[valoracion_cliente]]="","Sin valoración",ventas_libreria[[#This Row],[valoracion_cliente]])</f>
        <v>4</v>
      </c>
    </row>
    <row r="1886" spans="1:18" x14ac:dyDescent="0.25">
      <c r="A1886" t="s">
        <v>2162</v>
      </c>
      <c r="B1886" t="s">
        <v>446</v>
      </c>
      <c r="C1886" t="s">
        <v>447</v>
      </c>
      <c r="D1886" t="s">
        <v>262</v>
      </c>
      <c r="E1886" t="s">
        <v>263</v>
      </c>
      <c r="F1886">
        <f>ventas_libreria[[#This Row],[precio_eur]]/100</f>
        <v>1.99</v>
      </c>
      <c r="G1886">
        <v>199</v>
      </c>
      <c r="H1886">
        <v>1</v>
      </c>
      <c r="I1886">
        <f>ventas_libreria[[#This Row],[precio]]*ventas_libreria[[#This Row],[cantidad]]</f>
        <v>1.99</v>
      </c>
      <c r="J1886">
        <v>73</v>
      </c>
      <c r="K1886" t="s">
        <v>38</v>
      </c>
      <c r="L1886" s="1">
        <v>45236</v>
      </c>
      <c r="M1886" t="s">
        <v>21</v>
      </c>
      <c r="N1886" t="s">
        <v>32</v>
      </c>
      <c r="O1886" t="s">
        <v>33</v>
      </c>
      <c r="P1886" t="s">
        <v>84</v>
      </c>
      <c r="Q1886">
        <v>4</v>
      </c>
      <c r="R1886">
        <f>IF(ventas_libreria[[#This Row],[valoracion_cliente]]="","Sin valoración",ventas_libreria[[#This Row],[valoracion_cliente]])</f>
        <v>4</v>
      </c>
    </row>
    <row r="1887" spans="1:18" x14ac:dyDescent="0.25">
      <c r="A1887" t="s">
        <v>2163</v>
      </c>
      <c r="B1887" t="s">
        <v>224</v>
      </c>
      <c r="C1887" t="s">
        <v>225</v>
      </c>
      <c r="D1887" t="s">
        <v>226</v>
      </c>
      <c r="E1887" t="s">
        <v>116</v>
      </c>
      <c r="F1887">
        <f>ventas_libreria[[#This Row],[precio_eur]]/100</f>
        <v>2.4900000000000002</v>
      </c>
      <c r="G1887">
        <v>249</v>
      </c>
      <c r="H1887">
        <v>1</v>
      </c>
      <c r="I1887">
        <f>ventas_libreria[[#This Row],[precio]]*ventas_libreria[[#This Row],[cantidad]]</f>
        <v>2.4900000000000002</v>
      </c>
      <c r="J1887">
        <v>41</v>
      </c>
      <c r="K1887" t="s">
        <v>38</v>
      </c>
      <c r="L1887" s="1">
        <v>45879</v>
      </c>
      <c r="M1887" t="s">
        <v>43</v>
      </c>
      <c r="N1887" t="s">
        <v>32</v>
      </c>
      <c r="O1887" t="s">
        <v>33</v>
      </c>
      <c r="P1887" t="s">
        <v>24</v>
      </c>
      <c r="Q1887">
        <v>4</v>
      </c>
      <c r="R1887">
        <f>IF(ventas_libreria[[#This Row],[valoracion_cliente]]="","Sin valoración",ventas_libreria[[#This Row],[valoracion_cliente]])</f>
        <v>4</v>
      </c>
    </row>
    <row r="1888" spans="1:18" x14ac:dyDescent="0.25">
      <c r="A1888" t="s">
        <v>2164</v>
      </c>
      <c r="B1888" t="s">
        <v>104</v>
      </c>
      <c r="C1888" t="s">
        <v>105</v>
      </c>
      <c r="D1888" t="s">
        <v>106</v>
      </c>
      <c r="E1888" t="s">
        <v>107</v>
      </c>
      <c r="F1888">
        <f>ventas_libreria[[#This Row],[precio_eur]]/100</f>
        <v>1.49</v>
      </c>
      <c r="G1888">
        <v>149</v>
      </c>
      <c r="H1888">
        <v>1</v>
      </c>
      <c r="I1888">
        <f>ventas_libreria[[#This Row],[precio]]*ventas_libreria[[#This Row],[cantidad]]</f>
        <v>1.49</v>
      </c>
      <c r="J1888">
        <v>12</v>
      </c>
      <c r="K1888" t="s">
        <v>62</v>
      </c>
      <c r="L1888" s="1">
        <v>45860</v>
      </c>
      <c r="M1888" t="s">
        <v>43</v>
      </c>
      <c r="N1888" t="s">
        <v>32</v>
      </c>
      <c r="O1888" t="s">
        <v>33</v>
      </c>
      <c r="P1888" t="s">
        <v>50</v>
      </c>
      <c r="Q1888">
        <v>4</v>
      </c>
      <c r="R1888">
        <f>IF(ventas_libreria[[#This Row],[valoracion_cliente]]="","Sin valoración",ventas_libreria[[#This Row],[valoracion_cliente]])</f>
        <v>4</v>
      </c>
    </row>
    <row r="1889" spans="1:18" x14ac:dyDescent="0.25">
      <c r="A1889" t="s">
        <v>2165</v>
      </c>
      <c r="B1889" t="s">
        <v>64</v>
      </c>
      <c r="C1889" t="s">
        <v>65</v>
      </c>
      <c r="D1889" t="s">
        <v>66</v>
      </c>
      <c r="E1889" t="s">
        <v>29</v>
      </c>
      <c r="F1889">
        <f>ventas_libreria[[#This Row],[precio_eur]]/100</f>
        <v>17.32</v>
      </c>
      <c r="G1889">
        <v>1732</v>
      </c>
      <c r="H1889">
        <v>1</v>
      </c>
      <c r="I1889">
        <f>ventas_libreria[[#This Row],[precio]]*ventas_libreria[[#This Row],[cantidad]]</f>
        <v>17.32</v>
      </c>
      <c r="J1889">
        <v>28</v>
      </c>
      <c r="K1889" t="s">
        <v>20</v>
      </c>
      <c r="L1889" s="1">
        <v>45885</v>
      </c>
      <c r="M1889" t="s">
        <v>21</v>
      </c>
      <c r="N1889" t="s">
        <v>32</v>
      </c>
      <c r="O1889" t="s">
        <v>33</v>
      </c>
      <c r="P1889" t="s">
        <v>24</v>
      </c>
      <c r="Q1889">
        <v>2</v>
      </c>
      <c r="R1889">
        <f>IF(ventas_libreria[[#This Row],[valoracion_cliente]]="","Sin valoración",ventas_libreria[[#This Row],[valoracion_cliente]])</f>
        <v>2</v>
      </c>
    </row>
    <row r="1890" spans="1:18" x14ac:dyDescent="0.25">
      <c r="A1890" t="s">
        <v>2166</v>
      </c>
      <c r="B1890" t="s">
        <v>403</v>
      </c>
      <c r="C1890" t="s">
        <v>404</v>
      </c>
      <c r="D1890" t="s">
        <v>123</v>
      </c>
      <c r="E1890" t="s">
        <v>48</v>
      </c>
      <c r="F1890">
        <f>ventas_libreria[[#This Row],[precio_eur]]/100</f>
        <v>32.89</v>
      </c>
      <c r="G1890">
        <v>3289</v>
      </c>
      <c r="H1890">
        <v>1</v>
      </c>
      <c r="I1890">
        <f>ventas_libreria[[#This Row],[precio]]*ventas_libreria[[#This Row],[cantidad]]</f>
        <v>32.89</v>
      </c>
      <c r="J1890">
        <v>37</v>
      </c>
      <c r="K1890" t="s">
        <v>38</v>
      </c>
      <c r="L1890" s="1">
        <v>45052</v>
      </c>
      <c r="M1890" t="s">
        <v>31</v>
      </c>
      <c r="N1890" t="s">
        <v>22</v>
      </c>
      <c r="O1890" t="s">
        <v>23</v>
      </c>
      <c r="P1890" t="s">
        <v>34</v>
      </c>
      <c r="Q1890">
        <v>5</v>
      </c>
      <c r="R1890">
        <f>IF(ventas_libreria[[#This Row],[valoracion_cliente]]="","Sin valoración",ventas_libreria[[#This Row],[valoracion_cliente]])</f>
        <v>5</v>
      </c>
    </row>
    <row r="1891" spans="1:18" x14ac:dyDescent="0.25">
      <c r="A1891" t="s">
        <v>2167</v>
      </c>
      <c r="B1891" t="s">
        <v>362</v>
      </c>
      <c r="C1891" t="s">
        <v>363</v>
      </c>
      <c r="D1891" t="s">
        <v>249</v>
      </c>
      <c r="E1891" t="s">
        <v>172</v>
      </c>
      <c r="F1891">
        <f>ventas_libreria[[#This Row],[precio_eur]]/100</f>
        <v>12.16</v>
      </c>
      <c r="G1891">
        <v>1216</v>
      </c>
      <c r="H1891">
        <v>2</v>
      </c>
      <c r="I1891">
        <f>ventas_libreria[[#This Row],[precio]]*ventas_libreria[[#This Row],[cantidad]]</f>
        <v>24.32</v>
      </c>
      <c r="J1891">
        <v>40</v>
      </c>
      <c r="K1891" t="s">
        <v>38</v>
      </c>
      <c r="L1891" s="1">
        <v>45717</v>
      </c>
      <c r="M1891" t="s">
        <v>21</v>
      </c>
      <c r="N1891" t="s">
        <v>22</v>
      </c>
      <c r="O1891" t="s">
        <v>23</v>
      </c>
      <c r="P1891" t="s">
        <v>84</v>
      </c>
      <c r="Q1891">
        <v>4</v>
      </c>
      <c r="R1891">
        <f>IF(ventas_libreria[[#This Row],[valoracion_cliente]]="","Sin valoración",ventas_libreria[[#This Row],[valoracion_cliente]])</f>
        <v>4</v>
      </c>
    </row>
    <row r="1892" spans="1:18" x14ac:dyDescent="0.25">
      <c r="A1892" t="s">
        <v>2168</v>
      </c>
      <c r="B1892" t="s">
        <v>186</v>
      </c>
      <c r="C1892" t="s">
        <v>187</v>
      </c>
      <c r="D1892" t="s">
        <v>188</v>
      </c>
      <c r="E1892" t="s">
        <v>189</v>
      </c>
      <c r="F1892">
        <f>ventas_libreria[[#This Row],[precio_eur]]/100</f>
        <v>1.99</v>
      </c>
      <c r="G1892">
        <v>199</v>
      </c>
      <c r="H1892">
        <v>1</v>
      </c>
      <c r="I1892">
        <f>ventas_libreria[[#This Row],[precio]]*ventas_libreria[[#This Row],[cantidad]]</f>
        <v>1.99</v>
      </c>
      <c r="J1892">
        <v>45</v>
      </c>
      <c r="K1892" t="s">
        <v>62</v>
      </c>
      <c r="L1892" s="1">
        <v>45325</v>
      </c>
      <c r="M1892" t="s">
        <v>43</v>
      </c>
      <c r="N1892" t="s">
        <v>32</v>
      </c>
      <c r="O1892" t="s">
        <v>33</v>
      </c>
      <c r="P1892" t="s">
        <v>50</v>
      </c>
      <c r="Q1892">
        <v>5</v>
      </c>
      <c r="R1892">
        <f>IF(ventas_libreria[[#This Row],[valoracion_cliente]]="","Sin valoración",ventas_libreria[[#This Row],[valoracion_cliente]])</f>
        <v>5</v>
      </c>
    </row>
    <row r="1893" spans="1:18" x14ac:dyDescent="0.25">
      <c r="A1893" t="s">
        <v>2169</v>
      </c>
      <c r="B1893" t="s">
        <v>348</v>
      </c>
      <c r="C1893" t="s">
        <v>349</v>
      </c>
      <c r="D1893" t="s">
        <v>350</v>
      </c>
      <c r="E1893" t="s">
        <v>116</v>
      </c>
      <c r="F1893">
        <f>ventas_libreria[[#This Row],[precio_eur]]/100</f>
        <v>1.99</v>
      </c>
      <c r="G1893">
        <v>199</v>
      </c>
      <c r="H1893">
        <v>2</v>
      </c>
      <c r="I1893">
        <f>ventas_libreria[[#This Row],[precio]]*ventas_libreria[[#This Row],[cantidad]]</f>
        <v>3.98</v>
      </c>
      <c r="J1893">
        <v>19</v>
      </c>
      <c r="K1893" t="s">
        <v>30</v>
      </c>
      <c r="L1893" s="1">
        <v>45002</v>
      </c>
      <c r="M1893" t="s">
        <v>21</v>
      </c>
      <c r="N1893" t="s">
        <v>32</v>
      </c>
      <c r="O1893" t="s">
        <v>33</v>
      </c>
      <c r="P1893" t="s">
        <v>84</v>
      </c>
      <c r="Q1893">
        <v>4</v>
      </c>
      <c r="R1893">
        <f>IF(ventas_libreria[[#This Row],[valoracion_cliente]]="","Sin valoración",ventas_libreria[[#This Row],[valoracion_cliente]])</f>
        <v>4</v>
      </c>
    </row>
    <row r="1894" spans="1:18" x14ac:dyDescent="0.25">
      <c r="A1894" t="s">
        <v>2170</v>
      </c>
      <c r="B1894" t="s">
        <v>129</v>
      </c>
      <c r="C1894" t="s">
        <v>130</v>
      </c>
      <c r="D1894" t="s">
        <v>131</v>
      </c>
      <c r="E1894" t="s">
        <v>107</v>
      </c>
      <c r="F1894">
        <f>ventas_libreria[[#This Row],[precio_eur]]/100</f>
        <v>13.52</v>
      </c>
      <c r="G1894">
        <v>1352</v>
      </c>
      <c r="H1894">
        <v>1</v>
      </c>
      <c r="I1894">
        <f>ventas_libreria[[#This Row],[precio]]*ventas_libreria[[#This Row],[cantidad]]</f>
        <v>13.52</v>
      </c>
      <c r="J1894">
        <v>10</v>
      </c>
      <c r="K1894" t="s">
        <v>30</v>
      </c>
      <c r="L1894" s="1">
        <v>45878</v>
      </c>
      <c r="M1894" t="s">
        <v>31</v>
      </c>
      <c r="N1894" t="s">
        <v>32</v>
      </c>
      <c r="O1894" t="s">
        <v>33</v>
      </c>
      <c r="P1894" t="s">
        <v>24</v>
      </c>
      <c r="Q1894">
        <v>4</v>
      </c>
      <c r="R1894">
        <f>IF(ventas_libreria[[#This Row],[valoracion_cliente]]="","Sin valoración",ventas_libreria[[#This Row],[valoracion_cliente]])</f>
        <v>4</v>
      </c>
    </row>
    <row r="1895" spans="1:18" x14ac:dyDescent="0.25">
      <c r="A1895" t="s">
        <v>2171</v>
      </c>
      <c r="B1895" t="s">
        <v>118</v>
      </c>
      <c r="C1895" t="s">
        <v>119</v>
      </c>
      <c r="D1895" t="s">
        <v>47</v>
      </c>
      <c r="E1895" t="s">
        <v>48</v>
      </c>
      <c r="F1895">
        <f>ventas_libreria[[#This Row],[precio_eur]]/100</f>
        <v>17.489999999999998</v>
      </c>
      <c r="G1895">
        <v>1749</v>
      </c>
      <c r="H1895">
        <v>1</v>
      </c>
      <c r="I1895">
        <f>ventas_libreria[[#This Row],[precio]]*ventas_libreria[[#This Row],[cantidad]]</f>
        <v>17.489999999999998</v>
      </c>
      <c r="J1895">
        <v>36</v>
      </c>
      <c r="K1895" t="s">
        <v>62</v>
      </c>
      <c r="L1895" s="1">
        <v>45706</v>
      </c>
      <c r="M1895" t="s">
        <v>21</v>
      </c>
      <c r="N1895" t="s">
        <v>22</v>
      </c>
      <c r="O1895" t="s">
        <v>132</v>
      </c>
      <c r="P1895" t="s">
        <v>56</v>
      </c>
      <c r="Q1895">
        <v>3</v>
      </c>
      <c r="R1895">
        <f>IF(ventas_libreria[[#This Row],[valoracion_cliente]]="","Sin valoración",ventas_libreria[[#This Row],[valoracion_cliente]])</f>
        <v>3</v>
      </c>
    </row>
    <row r="1896" spans="1:18" x14ac:dyDescent="0.25">
      <c r="A1896" t="s">
        <v>2172</v>
      </c>
      <c r="B1896" t="s">
        <v>95</v>
      </c>
      <c r="C1896" t="s">
        <v>96</v>
      </c>
      <c r="D1896" t="s">
        <v>97</v>
      </c>
      <c r="E1896" t="s">
        <v>29</v>
      </c>
      <c r="F1896">
        <f>ventas_libreria[[#This Row],[precio_eur]]/100</f>
        <v>1.79</v>
      </c>
      <c r="G1896">
        <v>179</v>
      </c>
      <c r="H1896">
        <v>1</v>
      </c>
      <c r="I1896">
        <f>ventas_libreria[[#This Row],[precio]]*ventas_libreria[[#This Row],[cantidad]]</f>
        <v>1.79</v>
      </c>
      <c r="J1896">
        <v>19</v>
      </c>
      <c r="K1896" t="s">
        <v>30</v>
      </c>
      <c r="L1896" s="1">
        <v>45242</v>
      </c>
      <c r="M1896" t="s">
        <v>43</v>
      </c>
      <c r="N1896" t="s">
        <v>32</v>
      </c>
      <c r="O1896" t="s">
        <v>33</v>
      </c>
      <c r="P1896" t="s">
        <v>56</v>
      </c>
      <c r="Q1896">
        <v>4</v>
      </c>
      <c r="R1896">
        <f>IF(ventas_libreria[[#This Row],[valoracion_cliente]]="","Sin valoración",ventas_libreria[[#This Row],[valoracion_cliente]])</f>
        <v>4</v>
      </c>
    </row>
    <row r="1897" spans="1:18" x14ac:dyDescent="0.25">
      <c r="A1897" t="s">
        <v>2173</v>
      </c>
      <c r="B1897" t="s">
        <v>109</v>
      </c>
      <c r="C1897" t="s">
        <v>110</v>
      </c>
      <c r="D1897" t="s">
        <v>111</v>
      </c>
      <c r="E1897" t="s">
        <v>55</v>
      </c>
      <c r="F1897">
        <f>ventas_libreria[[#This Row],[precio_eur]]/100</f>
        <v>17.91</v>
      </c>
      <c r="G1897">
        <v>1791</v>
      </c>
      <c r="H1897">
        <v>1</v>
      </c>
      <c r="I1897">
        <f>ventas_libreria[[#This Row],[precio]]*ventas_libreria[[#This Row],[cantidad]]</f>
        <v>17.91</v>
      </c>
      <c r="J1897">
        <v>70</v>
      </c>
      <c r="K1897" t="s">
        <v>20</v>
      </c>
      <c r="L1897" s="1">
        <v>45388</v>
      </c>
      <c r="M1897" t="s">
        <v>43</v>
      </c>
      <c r="N1897" t="s">
        <v>32</v>
      </c>
      <c r="O1897" t="s">
        <v>33</v>
      </c>
      <c r="P1897" t="s">
        <v>50</v>
      </c>
      <c r="Q1897">
        <v>5</v>
      </c>
      <c r="R1897">
        <f>IF(ventas_libreria[[#This Row],[valoracion_cliente]]="","Sin valoración",ventas_libreria[[#This Row],[valoracion_cliente]])</f>
        <v>5</v>
      </c>
    </row>
    <row r="1898" spans="1:18" x14ac:dyDescent="0.25">
      <c r="A1898" t="s">
        <v>2174</v>
      </c>
      <c r="B1898" t="s">
        <v>240</v>
      </c>
      <c r="C1898" t="s">
        <v>241</v>
      </c>
      <c r="D1898" t="s">
        <v>54</v>
      </c>
      <c r="E1898" t="s">
        <v>172</v>
      </c>
      <c r="F1898">
        <f>ventas_libreria[[#This Row],[precio_eur]]/100</f>
        <v>15.65</v>
      </c>
      <c r="G1898">
        <v>1565</v>
      </c>
      <c r="H1898">
        <v>1</v>
      </c>
      <c r="I1898">
        <f>ventas_libreria[[#This Row],[precio]]*ventas_libreria[[#This Row],[cantidad]]</f>
        <v>15.65</v>
      </c>
      <c r="J1898">
        <v>31</v>
      </c>
      <c r="K1898" t="s">
        <v>30</v>
      </c>
      <c r="L1898" s="1">
        <v>45571</v>
      </c>
      <c r="M1898" t="s">
        <v>43</v>
      </c>
      <c r="N1898" t="s">
        <v>32</v>
      </c>
      <c r="O1898" t="s">
        <v>33</v>
      </c>
      <c r="P1898" t="s">
        <v>24</v>
      </c>
      <c r="Q1898">
        <v>4</v>
      </c>
      <c r="R1898">
        <f>IF(ventas_libreria[[#This Row],[valoracion_cliente]]="","Sin valoración",ventas_libreria[[#This Row],[valoracion_cliente]])</f>
        <v>4</v>
      </c>
    </row>
    <row r="1899" spans="1:18" x14ac:dyDescent="0.25">
      <c r="A1899" t="s">
        <v>2175</v>
      </c>
      <c r="B1899" t="s">
        <v>146</v>
      </c>
      <c r="C1899" t="s">
        <v>147</v>
      </c>
      <c r="D1899" t="s">
        <v>148</v>
      </c>
      <c r="E1899" t="s">
        <v>149</v>
      </c>
      <c r="F1899">
        <f>ventas_libreria[[#This Row],[precio_eur]]/100</f>
        <v>1.67</v>
      </c>
      <c r="G1899">
        <v>167</v>
      </c>
      <c r="H1899">
        <v>1</v>
      </c>
      <c r="I1899">
        <f>ventas_libreria[[#This Row],[precio]]*ventas_libreria[[#This Row],[cantidad]]</f>
        <v>1.67</v>
      </c>
      <c r="J1899">
        <v>39</v>
      </c>
      <c r="K1899" t="s">
        <v>62</v>
      </c>
      <c r="L1899" s="1">
        <v>45845</v>
      </c>
      <c r="M1899" t="s">
        <v>43</v>
      </c>
      <c r="N1899" t="s">
        <v>32</v>
      </c>
      <c r="O1899" t="s">
        <v>33</v>
      </c>
      <c r="P1899" t="s">
        <v>50</v>
      </c>
      <c r="R1899" t="str">
        <f>IF(ventas_libreria[[#This Row],[valoracion_cliente]]="","Sin valoración",ventas_libreria[[#This Row],[valoracion_cliente]])</f>
        <v>Sin valoración</v>
      </c>
    </row>
    <row r="1900" spans="1:18" x14ac:dyDescent="0.25">
      <c r="A1900" t="s">
        <v>2176</v>
      </c>
      <c r="B1900" t="s">
        <v>193</v>
      </c>
      <c r="C1900" t="s">
        <v>194</v>
      </c>
      <c r="D1900" t="s">
        <v>195</v>
      </c>
      <c r="E1900" t="s">
        <v>48</v>
      </c>
      <c r="F1900">
        <f>ventas_libreria[[#This Row],[precio_eur]]/100</f>
        <v>21.89</v>
      </c>
      <c r="G1900">
        <v>2189</v>
      </c>
      <c r="H1900">
        <v>1</v>
      </c>
      <c r="I1900">
        <f>ventas_libreria[[#This Row],[precio]]*ventas_libreria[[#This Row],[cantidad]]</f>
        <v>21.89</v>
      </c>
      <c r="J1900">
        <v>73</v>
      </c>
      <c r="K1900" t="s">
        <v>62</v>
      </c>
      <c r="L1900" s="1">
        <v>45428</v>
      </c>
      <c r="M1900" t="s">
        <v>43</v>
      </c>
      <c r="N1900" t="s">
        <v>32</v>
      </c>
      <c r="O1900" t="s">
        <v>33</v>
      </c>
      <c r="P1900" t="s">
        <v>50</v>
      </c>
      <c r="Q1900">
        <v>4</v>
      </c>
      <c r="R1900">
        <f>IF(ventas_libreria[[#This Row],[valoracion_cliente]]="","Sin valoración",ventas_libreria[[#This Row],[valoracion_cliente]])</f>
        <v>4</v>
      </c>
    </row>
    <row r="1901" spans="1:18" x14ac:dyDescent="0.25">
      <c r="A1901" t="s">
        <v>2177</v>
      </c>
      <c r="B1901" t="s">
        <v>197</v>
      </c>
      <c r="C1901" t="s">
        <v>198</v>
      </c>
      <c r="D1901" t="s">
        <v>199</v>
      </c>
      <c r="E1901" t="s">
        <v>55</v>
      </c>
      <c r="F1901">
        <f>ventas_libreria[[#This Row],[precio_eur]]/100</f>
        <v>15.75</v>
      </c>
      <c r="G1901">
        <v>1575</v>
      </c>
      <c r="H1901">
        <v>1</v>
      </c>
      <c r="I1901">
        <f>ventas_libreria[[#This Row],[precio]]*ventas_libreria[[#This Row],[cantidad]]</f>
        <v>15.75</v>
      </c>
      <c r="J1901">
        <v>21</v>
      </c>
      <c r="K1901" t="s">
        <v>20</v>
      </c>
      <c r="L1901" s="1">
        <v>45759</v>
      </c>
      <c r="M1901" t="s">
        <v>31</v>
      </c>
      <c r="N1901" t="s">
        <v>22</v>
      </c>
      <c r="O1901" t="s">
        <v>132</v>
      </c>
      <c r="P1901" t="s">
        <v>50</v>
      </c>
      <c r="Q1901">
        <v>1</v>
      </c>
      <c r="R1901">
        <f>IF(ventas_libreria[[#This Row],[valoracion_cliente]]="","Sin valoración",ventas_libreria[[#This Row],[valoracion_cliente]])</f>
        <v>1</v>
      </c>
    </row>
    <row r="1902" spans="1:18" x14ac:dyDescent="0.25">
      <c r="A1902" t="s">
        <v>2178</v>
      </c>
      <c r="B1902" t="s">
        <v>146</v>
      </c>
      <c r="C1902" t="s">
        <v>147</v>
      </c>
      <c r="D1902" t="s">
        <v>148</v>
      </c>
      <c r="E1902" t="s">
        <v>149</v>
      </c>
      <c r="F1902">
        <f>ventas_libreria[[#This Row],[precio_eur]]/100</f>
        <v>1.59</v>
      </c>
      <c r="G1902">
        <v>159</v>
      </c>
      <c r="H1902">
        <v>1</v>
      </c>
      <c r="I1902">
        <f>ventas_libreria[[#This Row],[precio]]*ventas_libreria[[#This Row],[cantidad]]</f>
        <v>1.59</v>
      </c>
      <c r="J1902">
        <v>45</v>
      </c>
      <c r="K1902" t="s">
        <v>30</v>
      </c>
      <c r="L1902" s="1">
        <v>44966</v>
      </c>
      <c r="M1902" t="s">
        <v>43</v>
      </c>
      <c r="N1902" t="s">
        <v>32</v>
      </c>
      <c r="O1902" t="s">
        <v>33</v>
      </c>
      <c r="P1902" t="s">
        <v>34</v>
      </c>
      <c r="Q1902">
        <v>4</v>
      </c>
      <c r="R1902">
        <f>IF(ventas_libreria[[#This Row],[valoracion_cliente]]="","Sin valoración",ventas_libreria[[#This Row],[valoracion_cliente]])</f>
        <v>4</v>
      </c>
    </row>
    <row r="1903" spans="1:18" x14ac:dyDescent="0.25">
      <c r="A1903" t="s">
        <v>2179</v>
      </c>
      <c r="B1903" t="s">
        <v>197</v>
      </c>
      <c r="C1903" t="s">
        <v>198</v>
      </c>
      <c r="D1903" t="s">
        <v>199</v>
      </c>
      <c r="E1903" t="s">
        <v>55</v>
      </c>
      <c r="F1903">
        <f>ventas_libreria[[#This Row],[precio_eur]]/100</f>
        <v>1.4</v>
      </c>
      <c r="G1903">
        <v>140</v>
      </c>
      <c r="H1903">
        <v>1</v>
      </c>
      <c r="I1903">
        <f>ventas_libreria[[#This Row],[precio]]*ventas_libreria[[#This Row],[cantidad]]</f>
        <v>1.4</v>
      </c>
      <c r="J1903">
        <v>70</v>
      </c>
      <c r="K1903" t="s">
        <v>20</v>
      </c>
      <c r="L1903" s="1">
        <v>45022</v>
      </c>
      <c r="M1903" t="s">
        <v>21</v>
      </c>
      <c r="N1903" t="s">
        <v>32</v>
      </c>
      <c r="O1903" t="s">
        <v>33</v>
      </c>
      <c r="P1903" t="s">
        <v>24</v>
      </c>
      <c r="Q1903">
        <v>5</v>
      </c>
      <c r="R1903">
        <f>IF(ventas_libreria[[#This Row],[valoracion_cliente]]="","Sin valoración",ventas_libreria[[#This Row],[valoracion_cliente]])</f>
        <v>5</v>
      </c>
    </row>
    <row r="1904" spans="1:18" x14ac:dyDescent="0.25">
      <c r="A1904" t="s">
        <v>2180</v>
      </c>
      <c r="B1904" t="s">
        <v>74</v>
      </c>
      <c r="C1904" t="s">
        <v>75</v>
      </c>
      <c r="D1904" t="s">
        <v>76</v>
      </c>
      <c r="E1904" t="s">
        <v>77</v>
      </c>
      <c r="F1904">
        <f>ventas_libreria[[#This Row],[precio_eur]]/100</f>
        <v>1.59</v>
      </c>
      <c r="G1904">
        <v>159</v>
      </c>
      <c r="H1904">
        <v>2</v>
      </c>
      <c r="I1904">
        <f>ventas_libreria[[#This Row],[precio]]*ventas_libreria[[#This Row],[cantidad]]</f>
        <v>3.18</v>
      </c>
      <c r="J1904">
        <v>7</v>
      </c>
      <c r="K1904" t="s">
        <v>20</v>
      </c>
      <c r="L1904" s="1">
        <v>44985</v>
      </c>
      <c r="M1904" t="s">
        <v>21</v>
      </c>
      <c r="N1904" t="s">
        <v>32</v>
      </c>
      <c r="O1904" t="s">
        <v>33</v>
      </c>
      <c r="P1904" t="s">
        <v>34</v>
      </c>
      <c r="Q1904">
        <v>4</v>
      </c>
      <c r="R1904">
        <f>IF(ventas_libreria[[#This Row],[valoracion_cliente]]="","Sin valoración",ventas_libreria[[#This Row],[valoracion_cliente]])</f>
        <v>4</v>
      </c>
    </row>
    <row r="1905" spans="1:18" x14ac:dyDescent="0.25">
      <c r="A1905" t="s">
        <v>2181</v>
      </c>
      <c r="B1905" t="s">
        <v>384</v>
      </c>
      <c r="C1905" t="s">
        <v>385</v>
      </c>
      <c r="D1905" t="s">
        <v>158</v>
      </c>
      <c r="E1905" t="s">
        <v>149</v>
      </c>
      <c r="F1905">
        <f>ventas_libreria[[#This Row],[precio_eur]]/100</f>
        <v>17.52</v>
      </c>
      <c r="G1905">
        <v>1752</v>
      </c>
      <c r="H1905">
        <v>1</v>
      </c>
      <c r="I1905">
        <f>ventas_libreria[[#This Row],[precio]]*ventas_libreria[[#This Row],[cantidad]]</f>
        <v>17.52</v>
      </c>
      <c r="J1905">
        <v>42</v>
      </c>
      <c r="K1905" t="s">
        <v>62</v>
      </c>
      <c r="L1905" s="1">
        <v>45045</v>
      </c>
      <c r="M1905" t="s">
        <v>43</v>
      </c>
      <c r="N1905" t="s">
        <v>32</v>
      </c>
      <c r="O1905" t="s">
        <v>33</v>
      </c>
      <c r="P1905" t="s">
        <v>50</v>
      </c>
      <c r="Q1905">
        <v>4</v>
      </c>
      <c r="R1905">
        <f>IF(ventas_libreria[[#This Row],[valoracion_cliente]]="","Sin valoración",ventas_libreria[[#This Row],[valoracion_cliente]])</f>
        <v>4</v>
      </c>
    </row>
    <row r="1906" spans="1:18" x14ac:dyDescent="0.25">
      <c r="A1906" t="s">
        <v>2182</v>
      </c>
      <c r="B1906" t="s">
        <v>204</v>
      </c>
      <c r="C1906" t="s">
        <v>205</v>
      </c>
      <c r="D1906" t="s">
        <v>206</v>
      </c>
      <c r="E1906" t="s">
        <v>116</v>
      </c>
      <c r="F1906">
        <f>ventas_libreria[[#This Row],[precio_eur]]/100</f>
        <v>10.32</v>
      </c>
      <c r="G1906">
        <v>1032</v>
      </c>
      <c r="H1906">
        <v>1</v>
      </c>
      <c r="I1906">
        <f>ventas_libreria[[#This Row],[precio]]*ventas_libreria[[#This Row],[cantidad]]</f>
        <v>10.32</v>
      </c>
      <c r="J1906">
        <v>65</v>
      </c>
      <c r="K1906" t="s">
        <v>62</v>
      </c>
      <c r="L1906" s="1">
        <v>45381</v>
      </c>
      <c r="M1906" t="s">
        <v>43</v>
      </c>
      <c r="N1906" t="s">
        <v>32</v>
      </c>
      <c r="O1906" t="s">
        <v>33</v>
      </c>
      <c r="P1906" t="s">
        <v>34</v>
      </c>
      <c r="Q1906">
        <v>5</v>
      </c>
      <c r="R1906">
        <f>IF(ventas_libreria[[#This Row],[valoracion_cliente]]="","Sin valoración",ventas_libreria[[#This Row],[valoracion_cliente]])</f>
        <v>5</v>
      </c>
    </row>
    <row r="1907" spans="1:18" x14ac:dyDescent="0.25">
      <c r="A1907" t="s">
        <v>2183</v>
      </c>
      <c r="B1907" t="s">
        <v>193</v>
      </c>
      <c r="C1907" t="s">
        <v>194</v>
      </c>
      <c r="D1907" t="s">
        <v>195</v>
      </c>
      <c r="E1907" t="s">
        <v>48</v>
      </c>
      <c r="F1907">
        <f>ventas_libreria[[#This Row],[precio_eur]]/100</f>
        <v>1.99</v>
      </c>
      <c r="G1907">
        <v>199</v>
      </c>
      <c r="H1907">
        <v>2</v>
      </c>
      <c r="I1907">
        <f>ventas_libreria[[#This Row],[precio]]*ventas_libreria[[#This Row],[cantidad]]</f>
        <v>3.98</v>
      </c>
      <c r="J1907">
        <v>39</v>
      </c>
      <c r="K1907" t="s">
        <v>38</v>
      </c>
      <c r="L1907" s="1">
        <v>45242</v>
      </c>
      <c r="M1907" t="s">
        <v>31</v>
      </c>
      <c r="N1907" t="s">
        <v>32</v>
      </c>
      <c r="O1907" t="s">
        <v>33</v>
      </c>
      <c r="P1907" t="s">
        <v>24</v>
      </c>
      <c r="Q1907">
        <v>1</v>
      </c>
      <c r="R1907">
        <f>IF(ventas_libreria[[#This Row],[valoracion_cliente]]="","Sin valoración",ventas_libreria[[#This Row],[valoracion_cliente]])</f>
        <v>1</v>
      </c>
    </row>
    <row r="1908" spans="1:18" x14ac:dyDescent="0.25">
      <c r="A1908" t="s">
        <v>2184</v>
      </c>
      <c r="B1908" t="s">
        <v>384</v>
      </c>
      <c r="C1908" t="s">
        <v>385</v>
      </c>
      <c r="D1908" t="s">
        <v>158</v>
      </c>
      <c r="E1908" t="s">
        <v>149</v>
      </c>
      <c r="F1908">
        <f>ventas_libreria[[#This Row],[precio_eur]]/100</f>
        <v>2.2999999999999998</v>
      </c>
      <c r="G1908">
        <v>230</v>
      </c>
      <c r="H1908">
        <v>1</v>
      </c>
      <c r="I1908">
        <f>ventas_libreria[[#This Row],[precio]]*ventas_libreria[[#This Row],[cantidad]]</f>
        <v>2.2999999999999998</v>
      </c>
      <c r="J1908">
        <v>41</v>
      </c>
      <c r="K1908" t="s">
        <v>20</v>
      </c>
      <c r="L1908" s="1">
        <v>45835</v>
      </c>
      <c r="M1908" t="s">
        <v>21</v>
      </c>
      <c r="N1908" t="s">
        <v>32</v>
      </c>
      <c r="O1908" t="s">
        <v>33</v>
      </c>
      <c r="P1908" t="s">
        <v>24</v>
      </c>
      <c r="Q1908">
        <v>5</v>
      </c>
      <c r="R1908">
        <f>IF(ventas_libreria[[#This Row],[valoracion_cliente]]="","Sin valoración",ventas_libreria[[#This Row],[valoracion_cliente]])</f>
        <v>5</v>
      </c>
    </row>
    <row r="1909" spans="1:18" x14ac:dyDescent="0.25">
      <c r="A1909" t="s">
        <v>2185</v>
      </c>
      <c r="B1909" t="s">
        <v>201</v>
      </c>
      <c r="C1909" t="s">
        <v>202</v>
      </c>
      <c r="D1909" t="s">
        <v>47</v>
      </c>
      <c r="E1909" t="s">
        <v>107</v>
      </c>
      <c r="F1909">
        <f>ventas_libreria[[#This Row],[precio_eur]]/100</f>
        <v>11.12</v>
      </c>
      <c r="G1909">
        <v>1112</v>
      </c>
      <c r="H1909">
        <v>1</v>
      </c>
      <c r="I1909">
        <f>ventas_libreria[[#This Row],[precio]]*ventas_libreria[[#This Row],[cantidad]]</f>
        <v>11.12</v>
      </c>
      <c r="J1909">
        <v>11</v>
      </c>
      <c r="K1909" t="s">
        <v>30</v>
      </c>
      <c r="L1909" s="1">
        <v>45039</v>
      </c>
      <c r="M1909" t="s">
        <v>31</v>
      </c>
      <c r="N1909" t="s">
        <v>32</v>
      </c>
      <c r="O1909" t="s">
        <v>33</v>
      </c>
      <c r="P1909" t="s">
        <v>84</v>
      </c>
      <c r="R1909" t="str">
        <f>IF(ventas_libreria[[#This Row],[valoracion_cliente]]="","Sin valoración",ventas_libreria[[#This Row],[valoracion_cliente]])</f>
        <v>Sin valoración</v>
      </c>
    </row>
    <row r="1910" spans="1:18" x14ac:dyDescent="0.25">
      <c r="A1910" t="s">
        <v>2186</v>
      </c>
      <c r="B1910" t="s">
        <v>296</v>
      </c>
      <c r="C1910" t="s">
        <v>297</v>
      </c>
      <c r="D1910" t="s">
        <v>298</v>
      </c>
      <c r="E1910" t="s">
        <v>154</v>
      </c>
      <c r="F1910">
        <f>ventas_libreria[[#This Row],[precio_eur]]/100</f>
        <v>19.690000000000001</v>
      </c>
      <c r="G1910">
        <v>1969</v>
      </c>
      <c r="H1910">
        <v>2</v>
      </c>
      <c r="I1910">
        <f>ventas_libreria[[#This Row],[precio]]*ventas_libreria[[#This Row],[cantidad]]</f>
        <v>39.380000000000003</v>
      </c>
      <c r="J1910">
        <v>57</v>
      </c>
      <c r="K1910" t="s">
        <v>30</v>
      </c>
      <c r="L1910" s="1">
        <v>45283</v>
      </c>
      <c r="M1910" t="s">
        <v>43</v>
      </c>
      <c r="N1910" t="s">
        <v>32</v>
      </c>
      <c r="O1910" t="s">
        <v>33</v>
      </c>
      <c r="P1910" t="s">
        <v>84</v>
      </c>
      <c r="Q1910">
        <v>4</v>
      </c>
      <c r="R1910">
        <f>IF(ventas_libreria[[#This Row],[valoracion_cliente]]="","Sin valoración",ventas_libreria[[#This Row],[valoracion_cliente]])</f>
        <v>4</v>
      </c>
    </row>
    <row r="1911" spans="1:18" x14ac:dyDescent="0.25">
      <c r="A1911" t="s">
        <v>2187</v>
      </c>
      <c r="B1911" t="s">
        <v>118</v>
      </c>
      <c r="C1911" t="s">
        <v>119</v>
      </c>
      <c r="D1911" t="s">
        <v>47</v>
      </c>
      <c r="E1911" t="s">
        <v>48</v>
      </c>
      <c r="F1911">
        <f>ventas_libreria[[#This Row],[precio_eur]]/100</f>
        <v>13.52</v>
      </c>
      <c r="G1911">
        <v>1352</v>
      </c>
      <c r="H1911">
        <v>2</v>
      </c>
      <c r="I1911">
        <f>ventas_libreria[[#This Row],[precio]]*ventas_libreria[[#This Row],[cantidad]]</f>
        <v>27.04</v>
      </c>
      <c r="J1911">
        <v>43</v>
      </c>
      <c r="K1911" t="s">
        <v>30</v>
      </c>
      <c r="L1911" s="1">
        <v>45044</v>
      </c>
      <c r="M1911" t="s">
        <v>43</v>
      </c>
      <c r="N1911" t="s">
        <v>32</v>
      </c>
      <c r="O1911" t="s">
        <v>33</v>
      </c>
      <c r="P1911" t="s">
        <v>84</v>
      </c>
      <c r="Q1911">
        <v>4</v>
      </c>
      <c r="R1911">
        <f>IF(ventas_libreria[[#This Row],[valoracion_cliente]]="","Sin valoración",ventas_libreria[[#This Row],[valoracion_cliente]])</f>
        <v>4</v>
      </c>
    </row>
    <row r="1912" spans="1:18" x14ac:dyDescent="0.25">
      <c r="A1912" t="s">
        <v>2188</v>
      </c>
      <c r="B1912" t="s">
        <v>224</v>
      </c>
      <c r="C1912" t="s">
        <v>225</v>
      </c>
      <c r="D1912" t="s">
        <v>226</v>
      </c>
      <c r="E1912" t="s">
        <v>116</v>
      </c>
      <c r="F1912">
        <f>ventas_libreria[[#This Row],[precio_eur]]/100</f>
        <v>2.4900000000000002</v>
      </c>
      <c r="G1912">
        <v>249</v>
      </c>
      <c r="H1912">
        <v>1</v>
      </c>
      <c r="I1912">
        <f>ventas_libreria[[#This Row],[precio]]*ventas_libreria[[#This Row],[cantidad]]</f>
        <v>2.4900000000000002</v>
      </c>
      <c r="J1912">
        <v>71</v>
      </c>
      <c r="K1912" t="s">
        <v>62</v>
      </c>
      <c r="L1912" s="1">
        <v>45015</v>
      </c>
      <c r="M1912" t="s">
        <v>31</v>
      </c>
      <c r="N1912" t="s">
        <v>32</v>
      </c>
      <c r="O1912" t="s">
        <v>33</v>
      </c>
      <c r="P1912" t="s">
        <v>84</v>
      </c>
      <c r="Q1912">
        <v>4</v>
      </c>
      <c r="R1912">
        <f>IF(ventas_libreria[[#This Row],[valoracion_cliente]]="","Sin valoración",ventas_libreria[[#This Row],[valoracion_cliente]])</f>
        <v>4</v>
      </c>
    </row>
    <row r="1913" spans="1:18" x14ac:dyDescent="0.25">
      <c r="A1913" t="s">
        <v>2189</v>
      </c>
      <c r="B1913" t="s">
        <v>446</v>
      </c>
      <c r="C1913" t="s">
        <v>447</v>
      </c>
      <c r="D1913" t="s">
        <v>262</v>
      </c>
      <c r="E1913" t="s">
        <v>263</v>
      </c>
      <c r="F1913">
        <f>ventas_libreria[[#This Row],[precio_eur]]/100</f>
        <v>1.99</v>
      </c>
      <c r="G1913">
        <v>199</v>
      </c>
      <c r="H1913">
        <v>1</v>
      </c>
      <c r="I1913">
        <f>ventas_libreria[[#This Row],[precio]]*ventas_libreria[[#This Row],[cantidad]]</f>
        <v>1.99</v>
      </c>
      <c r="J1913">
        <v>52</v>
      </c>
      <c r="K1913" t="s">
        <v>30</v>
      </c>
      <c r="L1913" s="1">
        <v>45580</v>
      </c>
      <c r="M1913" t="s">
        <v>31</v>
      </c>
      <c r="N1913" t="s">
        <v>22</v>
      </c>
      <c r="O1913" t="s">
        <v>132</v>
      </c>
      <c r="P1913" t="s">
        <v>34</v>
      </c>
      <c r="Q1913">
        <v>5</v>
      </c>
      <c r="R1913">
        <f>IF(ventas_libreria[[#This Row],[valoracion_cliente]]="","Sin valoración",ventas_libreria[[#This Row],[valoracion_cliente]])</f>
        <v>5</v>
      </c>
    </row>
    <row r="1914" spans="1:18" x14ac:dyDescent="0.25">
      <c r="A1914" t="s">
        <v>2190</v>
      </c>
      <c r="B1914" t="s">
        <v>129</v>
      </c>
      <c r="C1914" t="s">
        <v>130</v>
      </c>
      <c r="D1914" t="s">
        <v>131</v>
      </c>
      <c r="E1914" t="s">
        <v>107</v>
      </c>
      <c r="F1914">
        <f>ventas_libreria[[#This Row],[precio_eur]]/100</f>
        <v>17.489999999999998</v>
      </c>
      <c r="G1914">
        <v>1749</v>
      </c>
      <c r="H1914">
        <v>1</v>
      </c>
      <c r="I1914">
        <f>ventas_libreria[[#This Row],[precio]]*ventas_libreria[[#This Row],[cantidad]]</f>
        <v>17.489999999999998</v>
      </c>
      <c r="J1914">
        <v>12</v>
      </c>
      <c r="K1914" t="s">
        <v>20</v>
      </c>
      <c r="L1914" s="1">
        <v>45342</v>
      </c>
      <c r="M1914" t="s">
        <v>43</v>
      </c>
      <c r="N1914" t="s">
        <v>32</v>
      </c>
      <c r="O1914" t="s">
        <v>33</v>
      </c>
      <c r="P1914" t="s">
        <v>84</v>
      </c>
      <c r="Q1914">
        <v>4</v>
      </c>
      <c r="R1914">
        <f>IF(ventas_libreria[[#This Row],[valoracion_cliente]]="","Sin valoración",ventas_libreria[[#This Row],[valoracion_cliente]])</f>
        <v>4</v>
      </c>
    </row>
    <row r="1915" spans="1:18" x14ac:dyDescent="0.25">
      <c r="A1915" t="s">
        <v>2191</v>
      </c>
      <c r="B1915" t="s">
        <v>134</v>
      </c>
      <c r="C1915" t="s">
        <v>135</v>
      </c>
      <c r="D1915" t="s">
        <v>106</v>
      </c>
      <c r="E1915" t="s">
        <v>107</v>
      </c>
      <c r="F1915">
        <f>ventas_libreria[[#This Row],[precio_eur]]/100</f>
        <v>12.66</v>
      </c>
      <c r="G1915">
        <v>1266</v>
      </c>
      <c r="H1915">
        <v>1</v>
      </c>
      <c r="I1915">
        <f>ventas_libreria[[#This Row],[precio]]*ventas_libreria[[#This Row],[cantidad]]</f>
        <v>12.66</v>
      </c>
      <c r="J1915">
        <v>12</v>
      </c>
      <c r="K1915" t="s">
        <v>30</v>
      </c>
      <c r="L1915" s="1">
        <v>45391</v>
      </c>
      <c r="M1915" t="s">
        <v>31</v>
      </c>
      <c r="N1915" t="s">
        <v>22</v>
      </c>
      <c r="O1915" t="s">
        <v>23</v>
      </c>
      <c r="P1915" t="s">
        <v>56</v>
      </c>
      <c r="Q1915">
        <v>4</v>
      </c>
      <c r="R1915">
        <f>IF(ventas_libreria[[#This Row],[valoracion_cliente]]="","Sin valoración",ventas_libreria[[#This Row],[valoracion_cliente]])</f>
        <v>4</v>
      </c>
    </row>
    <row r="1916" spans="1:18" x14ac:dyDescent="0.25">
      <c r="A1916" t="s">
        <v>2192</v>
      </c>
      <c r="B1916" t="s">
        <v>549</v>
      </c>
      <c r="C1916" t="s">
        <v>550</v>
      </c>
      <c r="D1916" t="s">
        <v>162</v>
      </c>
      <c r="E1916" t="s">
        <v>29</v>
      </c>
      <c r="F1916">
        <f>ventas_libreria[[#This Row],[precio_eur]]/100</f>
        <v>17.91</v>
      </c>
      <c r="G1916">
        <v>1791</v>
      </c>
      <c r="H1916">
        <v>1</v>
      </c>
      <c r="I1916">
        <f>ventas_libreria[[#This Row],[precio]]*ventas_libreria[[#This Row],[cantidad]]</f>
        <v>17.91</v>
      </c>
      <c r="J1916">
        <v>44</v>
      </c>
      <c r="K1916" t="s">
        <v>20</v>
      </c>
      <c r="L1916" s="1">
        <v>45491</v>
      </c>
      <c r="M1916" t="s">
        <v>43</v>
      </c>
      <c r="N1916" t="s">
        <v>32</v>
      </c>
      <c r="O1916" t="s">
        <v>33</v>
      </c>
      <c r="P1916" t="s">
        <v>34</v>
      </c>
      <c r="Q1916">
        <v>4</v>
      </c>
      <c r="R1916">
        <f>IF(ventas_libreria[[#This Row],[valoracion_cliente]]="","Sin valoración",ventas_libreria[[#This Row],[valoracion_cliente]])</f>
        <v>4</v>
      </c>
    </row>
    <row r="1917" spans="1:18" x14ac:dyDescent="0.25">
      <c r="A1917" t="s">
        <v>2193</v>
      </c>
      <c r="B1917" t="s">
        <v>86</v>
      </c>
      <c r="C1917" t="s">
        <v>87</v>
      </c>
      <c r="D1917" t="s">
        <v>88</v>
      </c>
      <c r="E1917" t="s">
        <v>77</v>
      </c>
      <c r="F1917">
        <f>ventas_libreria[[#This Row],[precio_eur]]/100</f>
        <v>1.25</v>
      </c>
      <c r="G1917">
        <v>125</v>
      </c>
      <c r="H1917">
        <v>2</v>
      </c>
      <c r="I1917">
        <f>ventas_libreria[[#This Row],[precio]]*ventas_libreria[[#This Row],[cantidad]]</f>
        <v>2.5</v>
      </c>
      <c r="J1917">
        <v>10</v>
      </c>
      <c r="K1917" t="s">
        <v>20</v>
      </c>
      <c r="L1917" s="1">
        <v>45456</v>
      </c>
      <c r="M1917" t="s">
        <v>31</v>
      </c>
      <c r="N1917" t="s">
        <v>22</v>
      </c>
      <c r="O1917" t="s">
        <v>67</v>
      </c>
      <c r="P1917" t="s">
        <v>56</v>
      </c>
      <c r="R1917" t="str">
        <f>IF(ventas_libreria[[#This Row],[valoracion_cliente]]="","Sin valoración",ventas_libreria[[#This Row],[valoracion_cliente]])</f>
        <v>Sin valoración</v>
      </c>
    </row>
    <row r="1918" spans="1:18" x14ac:dyDescent="0.25">
      <c r="A1918" t="s">
        <v>2194</v>
      </c>
      <c r="B1918" t="s">
        <v>113</v>
      </c>
      <c r="C1918" t="s">
        <v>114</v>
      </c>
      <c r="D1918" t="s">
        <v>115</v>
      </c>
      <c r="E1918" t="s">
        <v>116</v>
      </c>
      <c r="F1918">
        <f>ventas_libreria[[#This Row],[precio_eur]]/100</f>
        <v>15.29</v>
      </c>
      <c r="G1918">
        <v>1529</v>
      </c>
      <c r="H1918">
        <v>1</v>
      </c>
      <c r="I1918">
        <f>ventas_libreria[[#This Row],[precio]]*ventas_libreria[[#This Row],[cantidad]]</f>
        <v>15.29</v>
      </c>
      <c r="J1918">
        <v>63</v>
      </c>
      <c r="K1918" t="s">
        <v>38</v>
      </c>
      <c r="L1918" s="1">
        <v>45722</v>
      </c>
      <c r="M1918" t="s">
        <v>21</v>
      </c>
      <c r="N1918" t="s">
        <v>22</v>
      </c>
      <c r="O1918" t="s">
        <v>67</v>
      </c>
      <c r="P1918" t="s">
        <v>34</v>
      </c>
      <c r="Q1918">
        <v>5</v>
      </c>
      <c r="R1918">
        <f>IF(ventas_libreria[[#This Row],[valoracion_cliente]]="","Sin valoración",ventas_libreria[[#This Row],[valoracion_cliente]])</f>
        <v>5</v>
      </c>
    </row>
    <row r="1919" spans="1:18" x14ac:dyDescent="0.25">
      <c r="A1919" t="s">
        <v>2195</v>
      </c>
      <c r="B1919" t="s">
        <v>265</v>
      </c>
      <c r="C1919" t="s">
        <v>266</v>
      </c>
      <c r="D1919" t="s">
        <v>162</v>
      </c>
      <c r="E1919" t="s">
        <v>29</v>
      </c>
      <c r="F1919">
        <f>ventas_libreria[[#This Row],[precio_eur]]/100</f>
        <v>14.36</v>
      </c>
      <c r="G1919">
        <v>1436</v>
      </c>
      <c r="H1919">
        <v>2</v>
      </c>
      <c r="I1919">
        <f>ventas_libreria[[#This Row],[precio]]*ventas_libreria[[#This Row],[cantidad]]</f>
        <v>28.72</v>
      </c>
      <c r="J1919">
        <v>25</v>
      </c>
      <c r="K1919" t="s">
        <v>38</v>
      </c>
      <c r="L1919" s="1">
        <v>45531</v>
      </c>
      <c r="M1919" t="s">
        <v>21</v>
      </c>
      <c r="N1919" t="s">
        <v>32</v>
      </c>
      <c r="O1919" t="s">
        <v>33</v>
      </c>
      <c r="P1919" t="s">
        <v>34</v>
      </c>
      <c r="Q1919">
        <v>3</v>
      </c>
      <c r="R1919">
        <f>IF(ventas_libreria[[#This Row],[valoracion_cliente]]="","Sin valoración",ventas_libreria[[#This Row],[valoracion_cliente]])</f>
        <v>3</v>
      </c>
    </row>
    <row r="1920" spans="1:18" x14ac:dyDescent="0.25">
      <c r="A1920" t="s">
        <v>2196</v>
      </c>
      <c r="B1920" t="s">
        <v>398</v>
      </c>
      <c r="C1920" t="s">
        <v>399</v>
      </c>
      <c r="D1920" t="s">
        <v>167</v>
      </c>
      <c r="E1920" t="s">
        <v>61</v>
      </c>
      <c r="F1920">
        <f>ventas_libreria[[#This Row],[precio_eur]]/100</f>
        <v>13.52</v>
      </c>
      <c r="G1920">
        <v>1352</v>
      </c>
      <c r="H1920">
        <v>2</v>
      </c>
      <c r="I1920">
        <f>ventas_libreria[[#This Row],[precio]]*ventas_libreria[[#This Row],[cantidad]]</f>
        <v>27.04</v>
      </c>
      <c r="J1920">
        <v>46</v>
      </c>
      <c r="K1920" t="s">
        <v>30</v>
      </c>
      <c r="L1920" s="1">
        <v>45487</v>
      </c>
      <c r="M1920" t="s">
        <v>21</v>
      </c>
      <c r="N1920" t="s">
        <v>22</v>
      </c>
      <c r="O1920" t="s">
        <v>98</v>
      </c>
      <c r="P1920" t="s">
        <v>50</v>
      </c>
      <c r="Q1920">
        <v>4</v>
      </c>
      <c r="R1920">
        <f>IF(ventas_libreria[[#This Row],[valoracion_cliente]]="","Sin valoración",ventas_libreria[[#This Row],[valoracion_cliente]])</f>
        <v>4</v>
      </c>
    </row>
    <row r="1921" spans="1:18" x14ac:dyDescent="0.25">
      <c r="A1921" t="s">
        <v>2197</v>
      </c>
      <c r="B1921" t="s">
        <v>375</v>
      </c>
      <c r="C1921" t="s">
        <v>376</v>
      </c>
      <c r="D1921" t="s">
        <v>377</v>
      </c>
      <c r="E1921" t="s">
        <v>29</v>
      </c>
      <c r="F1921">
        <f>ventas_libreria[[#This Row],[precio_eur]]/100</f>
        <v>1.67</v>
      </c>
      <c r="G1921">
        <v>167</v>
      </c>
      <c r="H1921">
        <v>2</v>
      </c>
      <c r="I1921">
        <f>ventas_libreria[[#This Row],[precio]]*ventas_libreria[[#This Row],[cantidad]]</f>
        <v>3.34</v>
      </c>
      <c r="J1921">
        <v>54</v>
      </c>
      <c r="K1921" t="s">
        <v>38</v>
      </c>
      <c r="L1921" s="1">
        <v>45715</v>
      </c>
      <c r="M1921" t="s">
        <v>43</v>
      </c>
      <c r="N1921" t="s">
        <v>32</v>
      </c>
      <c r="O1921" t="s">
        <v>33</v>
      </c>
      <c r="P1921" t="s">
        <v>24</v>
      </c>
      <c r="Q1921">
        <v>1</v>
      </c>
      <c r="R1921">
        <f>IF(ventas_libreria[[#This Row],[valoracion_cliente]]="","Sin valoración",ventas_libreria[[#This Row],[valoracion_cliente]])</f>
        <v>1</v>
      </c>
    </row>
    <row r="1922" spans="1:18" x14ac:dyDescent="0.25">
      <c r="A1922" t="s">
        <v>2198</v>
      </c>
      <c r="B1922" t="s">
        <v>236</v>
      </c>
      <c r="C1922" t="s">
        <v>237</v>
      </c>
      <c r="D1922" t="s">
        <v>238</v>
      </c>
      <c r="E1922" t="s">
        <v>29</v>
      </c>
      <c r="F1922">
        <f>ventas_libreria[[#This Row],[precio_eur]]/100</f>
        <v>16.11</v>
      </c>
      <c r="G1922">
        <v>1611</v>
      </c>
      <c r="H1922">
        <v>1</v>
      </c>
      <c r="I1922">
        <f>ventas_libreria[[#This Row],[precio]]*ventas_libreria[[#This Row],[cantidad]]</f>
        <v>16.11</v>
      </c>
      <c r="J1922">
        <v>61</v>
      </c>
      <c r="K1922" t="s">
        <v>20</v>
      </c>
      <c r="L1922" s="1">
        <v>45780</v>
      </c>
      <c r="M1922" t="s">
        <v>31</v>
      </c>
      <c r="N1922" t="s">
        <v>32</v>
      </c>
      <c r="O1922" t="s">
        <v>33</v>
      </c>
      <c r="P1922" t="s">
        <v>84</v>
      </c>
      <c r="Q1922">
        <v>4</v>
      </c>
      <c r="R1922">
        <f>IF(ventas_libreria[[#This Row],[valoracion_cliente]]="","Sin valoración",ventas_libreria[[#This Row],[valoracion_cliente]])</f>
        <v>4</v>
      </c>
    </row>
    <row r="1923" spans="1:18" x14ac:dyDescent="0.25">
      <c r="A1923" t="s">
        <v>2199</v>
      </c>
      <c r="B1923" t="s">
        <v>240</v>
      </c>
      <c r="C1923" t="s">
        <v>241</v>
      </c>
      <c r="D1923" t="s">
        <v>54</v>
      </c>
      <c r="E1923" t="s">
        <v>172</v>
      </c>
      <c r="F1923">
        <f>ventas_libreria[[#This Row],[precio_eur]]/100</f>
        <v>1.49</v>
      </c>
      <c r="G1923">
        <v>149</v>
      </c>
      <c r="H1923">
        <v>3</v>
      </c>
      <c r="I1923">
        <f>ventas_libreria[[#This Row],[precio]]*ventas_libreria[[#This Row],[cantidad]]</f>
        <v>4.47</v>
      </c>
      <c r="J1923">
        <v>74</v>
      </c>
      <c r="K1923" t="s">
        <v>62</v>
      </c>
      <c r="L1923" s="1">
        <v>45509</v>
      </c>
      <c r="M1923" t="s">
        <v>21</v>
      </c>
      <c r="N1923" t="s">
        <v>22</v>
      </c>
      <c r="O1923" t="s">
        <v>23</v>
      </c>
      <c r="P1923" t="s">
        <v>84</v>
      </c>
      <c r="Q1923">
        <v>2</v>
      </c>
      <c r="R1923">
        <f>IF(ventas_libreria[[#This Row],[valoracion_cliente]]="","Sin valoración",ventas_libreria[[#This Row],[valoracion_cliente]])</f>
        <v>2</v>
      </c>
    </row>
    <row r="1924" spans="1:18" x14ac:dyDescent="0.25">
      <c r="A1924" t="s">
        <v>2200</v>
      </c>
      <c r="B1924" t="s">
        <v>64</v>
      </c>
      <c r="C1924" t="s">
        <v>65</v>
      </c>
      <c r="D1924" t="s">
        <v>66</v>
      </c>
      <c r="E1924" t="s">
        <v>29</v>
      </c>
      <c r="F1924">
        <f>ventas_libreria[[#This Row],[precio_eur]]/100</f>
        <v>14.03</v>
      </c>
      <c r="G1924">
        <v>1403</v>
      </c>
      <c r="H1924">
        <v>2</v>
      </c>
      <c r="I1924">
        <f>ventas_libreria[[#This Row],[precio]]*ventas_libreria[[#This Row],[cantidad]]</f>
        <v>28.06</v>
      </c>
      <c r="J1924">
        <v>30</v>
      </c>
      <c r="K1924" t="s">
        <v>20</v>
      </c>
      <c r="L1924" s="1">
        <v>45995</v>
      </c>
      <c r="M1924" t="s">
        <v>31</v>
      </c>
      <c r="N1924" t="s">
        <v>22</v>
      </c>
      <c r="O1924" t="s">
        <v>98</v>
      </c>
      <c r="P1924" t="s">
        <v>56</v>
      </c>
      <c r="Q1924">
        <v>4</v>
      </c>
      <c r="R1924">
        <f>IF(ventas_libreria[[#This Row],[valoracion_cliente]]="","Sin valoración",ventas_libreria[[#This Row],[valoracion_cliente]])</f>
        <v>4</v>
      </c>
    </row>
    <row r="1925" spans="1:18" x14ac:dyDescent="0.25">
      <c r="A1925" t="s">
        <v>2201</v>
      </c>
      <c r="B1925" t="s">
        <v>265</v>
      </c>
      <c r="C1925" t="s">
        <v>266</v>
      </c>
      <c r="D1925" t="s">
        <v>162</v>
      </c>
      <c r="E1925" t="s">
        <v>29</v>
      </c>
      <c r="F1925">
        <f>ventas_libreria[[#This Row],[precio_eur]]/100</f>
        <v>17.75</v>
      </c>
      <c r="G1925">
        <v>1775</v>
      </c>
      <c r="H1925">
        <v>2</v>
      </c>
      <c r="I1925">
        <f>ventas_libreria[[#This Row],[precio]]*ventas_libreria[[#This Row],[cantidad]]</f>
        <v>35.5</v>
      </c>
      <c r="J1925">
        <v>24</v>
      </c>
      <c r="K1925" t="s">
        <v>38</v>
      </c>
      <c r="L1925" s="1">
        <v>45323</v>
      </c>
      <c r="M1925" t="s">
        <v>43</v>
      </c>
      <c r="N1925" t="s">
        <v>32</v>
      </c>
      <c r="O1925" t="s">
        <v>33</v>
      </c>
      <c r="P1925" t="s">
        <v>34</v>
      </c>
      <c r="Q1925">
        <v>5</v>
      </c>
      <c r="R1925">
        <f>IF(ventas_libreria[[#This Row],[valoracion_cliente]]="","Sin valoración",ventas_libreria[[#This Row],[valoracion_cliente]])</f>
        <v>5</v>
      </c>
    </row>
    <row r="1926" spans="1:18" x14ac:dyDescent="0.25">
      <c r="A1926" t="s">
        <v>2202</v>
      </c>
      <c r="B1926" t="s">
        <v>291</v>
      </c>
      <c r="C1926" t="s">
        <v>292</v>
      </c>
      <c r="D1926" t="s">
        <v>76</v>
      </c>
      <c r="E1926" t="s">
        <v>77</v>
      </c>
      <c r="F1926">
        <f>ventas_libreria[[#This Row],[precio_eur]]/100</f>
        <v>0.99</v>
      </c>
      <c r="G1926">
        <v>99</v>
      </c>
      <c r="H1926">
        <v>2</v>
      </c>
      <c r="I1926">
        <f>ventas_libreria[[#This Row],[precio]]*ventas_libreria[[#This Row],[cantidad]]</f>
        <v>1.98</v>
      </c>
      <c r="J1926">
        <v>5</v>
      </c>
      <c r="K1926" t="s">
        <v>38</v>
      </c>
      <c r="L1926" s="1">
        <v>45056</v>
      </c>
      <c r="M1926" t="s">
        <v>43</v>
      </c>
      <c r="N1926" t="s">
        <v>32</v>
      </c>
      <c r="O1926" t="s">
        <v>33</v>
      </c>
      <c r="P1926" t="s">
        <v>34</v>
      </c>
      <c r="Q1926">
        <v>4</v>
      </c>
      <c r="R1926">
        <f>IF(ventas_libreria[[#This Row],[valoracion_cliente]]="","Sin valoración",ventas_libreria[[#This Row],[valoracion_cliente]])</f>
        <v>4</v>
      </c>
    </row>
    <row r="1927" spans="1:18" x14ac:dyDescent="0.25">
      <c r="A1927" t="s">
        <v>2203</v>
      </c>
      <c r="B1927" t="s">
        <v>466</v>
      </c>
      <c r="C1927" t="s">
        <v>467</v>
      </c>
      <c r="D1927" t="s">
        <v>468</v>
      </c>
      <c r="E1927" t="s">
        <v>154</v>
      </c>
      <c r="F1927">
        <f>ventas_libreria[[#This Row],[precio_eur]]/100</f>
        <v>19.84</v>
      </c>
      <c r="G1927">
        <v>1984</v>
      </c>
      <c r="H1927">
        <v>2</v>
      </c>
      <c r="I1927">
        <f>ventas_libreria[[#This Row],[precio]]*ventas_libreria[[#This Row],[cantidad]]</f>
        <v>39.68</v>
      </c>
      <c r="J1927">
        <v>71</v>
      </c>
      <c r="K1927" t="s">
        <v>62</v>
      </c>
      <c r="L1927" s="1">
        <v>45043</v>
      </c>
      <c r="M1927" t="s">
        <v>43</v>
      </c>
      <c r="N1927" t="s">
        <v>32</v>
      </c>
      <c r="O1927" t="s">
        <v>33</v>
      </c>
      <c r="P1927" t="s">
        <v>34</v>
      </c>
      <c r="R1927" t="str">
        <f>IF(ventas_libreria[[#This Row],[valoracion_cliente]]="","Sin valoración",ventas_libreria[[#This Row],[valoracion_cliente]])</f>
        <v>Sin valoración</v>
      </c>
    </row>
    <row r="1928" spans="1:18" x14ac:dyDescent="0.25">
      <c r="A1928" t="s">
        <v>2204</v>
      </c>
      <c r="B1928" t="s">
        <v>418</v>
      </c>
      <c r="C1928" t="s">
        <v>419</v>
      </c>
      <c r="D1928" t="s">
        <v>420</v>
      </c>
      <c r="E1928" t="s">
        <v>149</v>
      </c>
      <c r="F1928">
        <f>ventas_libreria[[#This Row],[precio_eur]]/100</f>
        <v>18.59</v>
      </c>
      <c r="G1928">
        <v>1859</v>
      </c>
      <c r="H1928">
        <v>1</v>
      </c>
      <c r="I1928">
        <f>ventas_libreria[[#This Row],[precio]]*ventas_libreria[[#This Row],[cantidad]]</f>
        <v>18.59</v>
      </c>
      <c r="J1928">
        <v>19</v>
      </c>
      <c r="K1928" t="s">
        <v>20</v>
      </c>
      <c r="L1928" s="1">
        <v>45231</v>
      </c>
      <c r="M1928" t="s">
        <v>21</v>
      </c>
      <c r="N1928" t="s">
        <v>32</v>
      </c>
      <c r="O1928" t="s">
        <v>33</v>
      </c>
      <c r="P1928" t="s">
        <v>50</v>
      </c>
      <c r="Q1928">
        <v>5</v>
      </c>
      <c r="R1928">
        <f>IF(ventas_libreria[[#This Row],[valoracion_cliente]]="","Sin valoración",ventas_libreria[[#This Row],[valoracion_cliente]])</f>
        <v>5</v>
      </c>
    </row>
    <row r="1929" spans="1:18" x14ac:dyDescent="0.25">
      <c r="A1929" t="s">
        <v>2205</v>
      </c>
      <c r="B1929" t="s">
        <v>318</v>
      </c>
      <c r="C1929" t="s">
        <v>319</v>
      </c>
      <c r="D1929" t="s">
        <v>167</v>
      </c>
      <c r="E1929" t="s">
        <v>61</v>
      </c>
      <c r="F1929">
        <f>ventas_libreria[[#This Row],[precio_eur]]/100</f>
        <v>20.79</v>
      </c>
      <c r="G1929">
        <v>2079</v>
      </c>
      <c r="H1929">
        <v>1</v>
      </c>
      <c r="I1929">
        <f>ventas_libreria[[#This Row],[precio]]*ventas_libreria[[#This Row],[cantidad]]</f>
        <v>20.79</v>
      </c>
      <c r="J1929">
        <v>67</v>
      </c>
      <c r="K1929" t="s">
        <v>38</v>
      </c>
      <c r="L1929" s="1">
        <v>45205</v>
      </c>
      <c r="M1929" t="s">
        <v>31</v>
      </c>
      <c r="N1929" t="s">
        <v>22</v>
      </c>
      <c r="O1929" t="s">
        <v>98</v>
      </c>
      <c r="P1929" t="s">
        <v>34</v>
      </c>
      <c r="Q1929">
        <v>5</v>
      </c>
      <c r="R1929">
        <f>IF(ventas_libreria[[#This Row],[valoracion_cliente]]="","Sin valoración",ventas_libreria[[#This Row],[valoracion_cliente]])</f>
        <v>5</v>
      </c>
    </row>
    <row r="1930" spans="1:18" x14ac:dyDescent="0.25">
      <c r="A1930" t="s">
        <v>2206</v>
      </c>
      <c r="B1930" t="s">
        <v>220</v>
      </c>
      <c r="C1930" t="s">
        <v>221</v>
      </c>
      <c r="D1930" t="s">
        <v>222</v>
      </c>
      <c r="E1930" t="s">
        <v>116</v>
      </c>
      <c r="F1930">
        <f>ventas_libreria[[#This Row],[precio_eur]]/100</f>
        <v>13.55</v>
      </c>
      <c r="G1930">
        <v>1355</v>
      </c>
      <c r="H1930">
        <v>1</v>
      </c>
      <c r="I1930">
        <f>ventas_libreria[[#This Row],[precio]]*ventas_libreria[[#This Row],[cantidad]]</f>
        <v>13.55</v>
      </c>
      <c r="J1930">
        <v>34</v>
      </c>
      <c r="K1930" t="s">
        <v>30</v>
      </c>
      <c r="L1930" s="1">
        <v>45510</v>
      </c>
      <c r="M1930" t="s">
        <v>43</v>
      </c>
      <c r="N1930" t="s">
        <v>32</v>
      </c>
      <c r="O1930" t="s">
        <v>33</v>
      </c>
      <c r="P1930" t="s">
        <v>24</v>
      </c>
      <c r="Q1930">
        <v>5</v>
      </c>
      <c r="R1930">
        <f>IF(ventas_libreria[[#This Row],[valoracion_cliente]]="","Sin valoración",ventas_libreria[[#This Row],[valoracion_cliente]])</f>
        <v>5</v>
      </c>
    </row>
    <row r="1931" spans="1:18" x14ac:dyDescent="0.25">
      <c r="A1931" t="s">
        <v>2207</v>
      </c>
      <c r="B1931" t="s">
        <v>338</v>
      </c>
      <c r="C1931" t="s">
        <v>339</v>
      </c>
      <c r="D1931" t="s">
        <v>167</v>
      </c>
      <c r="E1931" t="s">
        <v>61</v>
      </c>
      <c r="F1931">
        <f>ventas_libreria[[#This Row],[precio_eur]]/100</f>
        <v>20.61</v>
      </c>
      <c r="G1931">
        <v>2061</v>
      </c>
      <c r="H1931">
        <v>1</v>
      </c>
      <c r="I1931">
        <f>ventas_libreria[[#This Row],[precio]]*ventas_libreria[[#This Row],[cantidad]]</f>
        <v>20.61</v>
      </c>
      <c r="J1931">
        <v>75</v>
      </c>
      <c r="K1931" t="s">
        <v>20</v>
      </c>
      <c r="L1931" s="1">
        <v>45875</v>
      </c>
      <c r="M1931" t="s">
        <v>31</v>
      </c>
      <c r="N1931" t="s">
        <v>32</v>
      </c>
      <c r="O1931" t="s">
        <v>33</v>
      </c>
      <c r="P1931" t="s">
        <v>34</v>
      </c>
      <c r="Q1931">
        <v>5</v>
      </c>
      <c r="R1931">
        <f>IF(ventas_libreria[[#This Row],[valoracion_cliente]]="","Sin valoración",ventas_libreria[[#This Row],[valoracion_cliente]])</f>
        <v>5</v>
      </c>
    </row>
    <row r="1932" spans="1:18" x14ac:dyDescent="0.25">
      <c r="A1932" t="s">
        <v>2208</v>
      </c>
      <c r="B1932" t="s">
        <v>86</v>
      </c>
      <c r="C1932" t="s">
        <v>87</v>
      </c>
      <c r="D1932" t="s">
        <v>88</v>
      </c>
      <c r="E1932" t="s">
        <v>77</v>
      </c>
      <c r="F1932">
        <f>ventas_libreria[[#This Row],[precio_eur]]/100</f>
        <v>10.71</v>
      </c>
      <c r="G1932">
        <v>1071</v>
      </c>
      <c r="H1932">
        <v>2</v>
      </c>
      <c r="I1932">
        <f>ventas_libreria[[#This Row],[precio]]*ventas_libreria[[#This Row],[cantidad]]</f>
        <v>21.42</v>
      </c>
      <c r="J1932">
        <v>8</v>
      </c>
      <c r="K1932" t="s">
        <v>30</v>
      </c>
      <c r="L1932" s="1">
        <v>45110</v>
      </c>
      <c r="M1932" t="s">
        <v>31</v>
      </c>
      <c r="N1932" t="s">
        <v>22</v>
      </c>
      <c r="O1932" t="s">
        <v>98</v>
      </c>
      <c r="P1932" t="s">
        <v>84</v>
      </c>
      <c r="Q1932">
        <v>5</v>
      </c>
      <c r="R1932">
        <f>IF(ventas_libreria[[#This Row],[valoracion_cliente]]="","Sin valoración",ventas_libreria[[#This Row],[valoracion_cliente]])</f>
        <v>5</v>
      </c>
    </row>
    <row r="1933" spans="1:18" x14ac:dyDescent="0.25">
      <c r="A1933" t="s">
        <v>2209</v>
      </c>
      <c r="B1933" t="s">
        <v>80</v>
      </c>
      <c r="C1933" t="s">
        <v>81</v>
      </c>
      <c r="D1933" t="s">
        <v>82</v>
      </c>
      <c r="E1933" t="s">
        <v>83</v>
      </c>
      <c r="F1933">
        <f>ventas_libreria[[#This Row],[precio_eur]]/100</f>
        <v>8.42</v>
      </c>
      <c r="G1933">
        <v>842</v>
      </c>
      <c r="H1933">
        <v>1</v>
      </c>
      <c r="I1933">
        <f>ventas_libreria[[#This Row],[precio]]*ventas_libreria[[#This Row],[cantidad]]</f>
        <v>8.42</v>
      </c>
      <c r="J1933">
        <v>73</v>
      </c>
      <c r="K1933" t="s">
        <v>38</v>
      </c>
      <c r="L1933" s="1">
        <v>45932</v>
      </c>
      <c r="M1933" t="s">
        <v>31</v>
      </c>
      <c r="N1933" t="s">
        <v>22</v>
      </c>
      <c r="O1933" t="s">
        <v>49</v>
      </c>
      <c r="P1933" t="s">
        <v>50</v>
      </c>
      <c r="Q1933">
        <v>4</v>
      </c>
      <c r="R1933">
        <f>IF(ventas_libreria[[#This Row],[valoracion_cliente]]="","Sin valoración",ventas_libreria[[#This Row],[valoracion_cliente]])</f>
        <v>4</v>
      </c>
    </row>
    <row r="1934" spans="1:18" x14ac:dyDescent="0.25">
      <c r="A1934" t="s">
        <v>2210</v>
      </c>
      <c r="B1934" t="s">
        <v>80</v>
      </c>
      <c r="C1934" t="s">
        <v>81</v>
      </c>
      <c r="D1934" t="s">
        <v>82</v>
      </c>
      <c r="E1934" t="s">
        <v>83</v>
      </c>
      <c r="F1934">
        <f>ventas_libreria[[#This Row],[precio_eur]]/100</f>
        <v>0.99</v>
      </c>
      <c r="G1934">
        <v>99</v>
      </c>
      <c r="H1934">
        <v>1</v>
      </c>
      <c r="I1934">
        <f>ventas_libreria[[#This Row],[precio]]*ventas_libreria[[#This Row],[cantidad]]</f>
        <v>0.99</v>
      </c>
      <c r="J1934">
        <v>70</v>
      </c>
      <c r="K1934" t="s">
        <v>62</v>
      </c>
      <c r="L1934" s="1">
        <v>45355</v>
      </c>
      <c r="M1934" t="s">
        <v>43</v>
      </c>
      <c r="N1934" t="s">
        <v>32</v>
      </c>
      <c r="O1934" t="s">
        <v>33</v>
      </c>
      <c r="P1934" t="s">
        <v>84</v>
      </c>
      <c r="Q1934">
        <v>5</v>
      </c>
      <c r="R1934">
        <f>IF(ventas_libreria[[#This Row],[valoracion_cliente]]="","Sin valoración",ventas_libreria[[#This Row],[valoracion_cliente]])</f>
        <v>5</v>
      </c>
    </row>
    <row r="1935" spans="1:18" x14ac:dyDescent="0.25">
      <c r="A1935" t="s">
        <v>2211</v>
      </c>
      <c r="B1935" t="s">
        <v>353</v>
      </c>
      <c r="C1935" t="s">
        <v>354</v>
      </c>
      <c r="D1935" t="s">
        <v>226</v>
      </c>
      <c r="E1935" t="s">
        <v>116</v>
      </c>
      <c r="F1935">
        <f>ventas_libreria[[#This Row],[precio_eur]]/100</f>
        <v>1.69</v>
      </c>
      <c r="G1935">
        <v>169</v>
      </c>
      <c r="H1935">
        <v>2</v>
      </c>
      <c r="I1935">
        <f>ventas_libreria[[#This Row],[precio]]*ventas_libreria[[#This Row],[cantidad]]</f>
        <v>3.38</v>
      </c>
      <c r="J1935">
        <v>55</v>
      </c>
      <c r="K1935" t="s">
        <v>20</v>
      </c>
      <c r="L1935" s="1">
        <v>45593</v>
      </c>
      <c r="M1935" t="s">
        <v>43</v>
      </c>
      <c r="N1935" t="s">
        <v>32</v>
      </c>
      <c r="O1935" t="s">
        <v>33</v>
      </c>
      <c r="P1935" t="s">
        <v>84</v>
      </c>
      <c r="Q1935">
        <v>5</v>
      </c>
      <c r="R1935">
        <f>IF(ventas_libreria[[#This Row],[valoracion_cliente]]="","Sin valoración",ventas_libreria[[#This Row],[valoracion_cliente]])</f>
        <v>5</v>
      </c>
    </row>
    <row r="1936" spans="1:18" x14ac:dyDescent="0.25">
      <c r="A1936" t="s">
        <v>2212</v>
      </c>
      <c r="B1936" t="s">
        <v>291</v>
      </c>
      <c r="C1936" t="s">
        <v>292</v>
      </c>
      <c r="D1936" t="s">
        <v>76</v>
      </c>
      <c r="E1936" t="s">
        <v>77</v>
      </c>
      <c r="F1936">
        <f>ventas_libreria[[#This Row],[precio_eur]]/100</f>
        <v>0.99</v>
      </c>
      <c r="G1936">
        <v>99</v>
      </c>
      <c r="H1936">
        <v>1</v>
      </c>
      <c r="I1936">
        <f>ventas_libreria[[#This Row],[precio]]*ventas_libreria[[#This Row],[cantidad]]</f>
        <v>0.99</v>
      </c>
      <c r="J1936">
        <v>6</v>
      </c>
      <c r="K1936" t="s">
        <v>30</v>
      </c>
      <c r="L1936" s="1">
        <v>45304</v>
      </c>
      <c r="M1936" t="s">
        <v>43</v>
      </c>
      <c r="N1936" t="s">
        <v>32</v>
      </c>
      <c r="O1936" t="s">
        <v>33</v>
      </c>
      <c r="P1936" t="s">
        <v>24</v>
      </c>
      <c r="Q1936">
        <v>5</v>
      </c>
      <c r="R1936">
        <f>IF(ventas_libreria[[#This Row],[valoracion_cliente]]="","Sin valoración",ventas_libreria[[#This Row],[valoracion_cliente]])</f>
        <v>5</v>
      </c>
    </row>
    <row r="1937" spans="1:18" x14ac:dyDescent="0.25">
      <c r="A1937" t="s">
        <v>2213</v>
      </c>
      <c r="B1937" t="s">
        <v>91</v>
      </c>
      <c r="C1937" t="s">
        <v>92</v>
      </c>
      <c r="D1937" t="s">
        <v>93</v>
      </c>
      <c r="E1937" t="s">
        <v>72</v>
      </c>
      <c r="F1937">
        <f>ventas_libreria[[#This Row],[precio_eur]]/100</f>
        <v>15.29</v>
      </c>
      <c r="G1937">
        <v>1529</v>
      </c>
      <c r="H1937">
        <v>1</v>
      </c>
      <c r="I1937">
        <f>ventas_libreria[[#This Row],[precio]]*ventas_libreria[[#This Row],[cantidad]]</f>
        <v>15.29</v>
      </c>
      <c r="J1937">
        <v>42</v>
      </c>
      <c r="K1937" t="s">
        <v>20</v>
      </c>
      <c r="L1937" s="1">
        <v>45660</v>
      </c>
      <c r="M1937" t="s">
        <v>31</v>
      </c>
      <c r="N1937" t="s">
        <v>32</v>
      </c>
      <c r="O1937" t="s">
        <v>33</v>
      </c>
      <c r="P1937" t="s">
        <v>84</v>
      </c>
      <c r="Q1937">
        <v>5</v>
      </c>
      <c r="R1937">
        <f>IF(ventas_libreria[[#This Row],[valoracion_cliente]]="","Sin valoración",ventas_libreria[[#This Row],[valoracion_cliente]])</f>
        <v>5</v>
      </c>
    </row>
    <row r="1938" spans="1:18" x14ac:dyDescent="0.25">
      <c r="A1938" t="s">
        <v>2214</v>
      </c>
      <c r="B1938" t="s">
        <v>348</v>
      </c>
      <c r="C1938" t="s">
        <v>349</v>
      </c>
      <c r="D1938" t="s">
        <v>350</v>
      </c>
      <c r="E1938" t="s">
        <v>116</v>
      </c>
      <c r="F1938">
        <f>ventas_libreria[[#This Row],[precio_eur]]/100</f>
        <v>1.99</v>
      </c>
      <c r="G1938">
        <v>199</v>
      </c>
      <c r="H1938">
        <v>1</v>
      </c>
      <c r="I1938">
        <f>ventas_libreria[[#This Row],[precio]]*ventas_libreria[[#This Row],[cantidad]]</f>
        <v>1.99</v>
      </c>
      <c r="J1938">
        <v>34</v>
      </c>
      <c r="K1938" t="s">
        <v>38</v>
      </c>
      <c r="L1938" s="1">
        <v>45859</v>
      </c>
      <c r="M1938" t="s">
        <v>31</v>
      </c>
      <c r="N1938" t="s">
        <v>32</v>
      </c>
      <c r="O1938" t="s">
        <v>33</v>
      </c>
      <c r="P1938" t="s">
        <v>84</v>
      </c>
      <c r="Q1938">
        <v>4</v>
      </c>
      <c r="R1938">
        <f>IF(ventas_libreria[[#This Row],[valoracion_cliente]]="","Sin valoración",ventas_libreria[[#This Row],[valoracion_cliente]])</f>
        <v>4</v>
      </c>
    </row>
    <row r="1939" spans="1:18" x14ac:dyDescent="0.25">
      <c r="A1939" t="s">
        <v>2215</v>
      </c>
      <c r="B1939" t="s">
        <v>36</v>
      </c>
      <c r="C1939" t="s">
        <v>37</v>
      </c>
      <c r="D1939" t="s">
        <v>28</v>
      </c>
      <c r="E1939" t="s">
        <v>29</v>
      </c>
      <c r="F1939">
        <f>ventas_libreria[[#This Row],[precio_eur]]/100</f>
        <v>16.059999999999999</v>
      </c>
      <c r="G1939">
        <v>1606</v>
      </c>
      <c r="H1939">
        <v>1</v>
      </c>
      <c r="I1939">
        <f>ventas_libreria[[#This Row],[precio]]*ventas_libreria[[#This Row],[cantidad]]</f>
        <v>16.059999999999999</v>
      </c>
      <c r="J1939">
        <v>19</v>
      </c>
      <c r="K1939" t="s">
        <v>62</v>
      </c>
      <c r="L1939" s="1">
        <v>45273</v>
      </c>
      <c r="M1939" t="s">
        <v>31</v>
      </c>
      <c r="N1939" t="s">
        <v>22</v>
      </c>
      <c r="O1939" t="s">
        <v>67</v>
      </c>
      <c r="P1939" t="s">
        <v>84</v>
      </c>
      <c r="Q1939">
        <v>4</v>
      </c>
      <c r="R1939">
        <f>IF(ventas_libreria[[#This Row],[valoracion_cliente]]="","Sin valoración",ventas_libreria[[#This Row],[valoracion_cliente]])</f>
        <v>4</v>
      </c>
    </row>
    <row r="1940" spans="1:18" x14ac:dyDescent="0.25">
      <c r="A1940" t="s">
        <v>2216</v>
      </c>
      <c r="B1940" t="s">
        <v>466</v>
      </c>
      <c r="C1940" t="s">
        <v>467</v>
      </c>
      <c r="D1940" t="s">
        <v>468</v>
      </c>
      <c r="E1940" t="s">
        <v>154</v>
      </c>
      <c r="F1940">
        <f>ventas_libreria[[#This Row],[precio_eur]]/100</f>
        <v>1.89</v>
      </c>
      <c r="G1940">
        <v>189</v>
      </c>
      <c r="H1940">
        <v>2</v>
      </c>
      <c r="I1940">
        <f>ventas_libreria[[#This Row],[precio]]*ventas_libreria[[#This Row],[cantidad]]</f>
        <v>3.78</v>
      </c>
      <c r="J1940">
        <v>31</v>
      </c>
      <c r="K1940" t="s">
        <v>20</v>
      </c>
      <c r="L1940" s="1">
        <v>44956</v>
      </c>
      <c r="M1940" t="s">
        <v>21</v>
      </c>
      <c r="N1940" t="s">
        <v>32</v>
      </c>
      <c r="O1940" t="s">
        <v>33</v>
      </c>
      <c r="P1940" t="s">
        <v>34</v>
      </c>
      <c r="Q1940">
        <v>3</v>
      </c>
      <c r="R1940">
        <f>IF(ventas_libreria[[#This Row],[valoracion_cliente]]="","Sin valoración",ventas_libreria[[#This Row],[valoracion_cliente]])</f>
        <v>3</v>
      </c>
    </row>
    <row r="1941" spans="1:18" x14ac:dyDescent="0.25">
      <c r="A1941" t="s">
        <v>2217</v>
      </c>
      <c r="B1941" t="s">
        <v>100</v>
      </c>
      <c r="C1941" t="s">
        <v>101</v>
      </c>
      <c r="D1941" t="s">
        <v>102</v>
      </c>
      <c r="E1941" t="s">
        <v>61</v>
      </c>
      <c r="F1941">
        <f>ventas_libreria[[#This Row],[precio_eur]]/100</f>
        <v>1.25</v>
      </c>
      <c r="G1941">
        <v>125</v>
      </c>
      <c r="H1941">
        <v>2</v>
      </c>
      <c r="I1941">
        <f>ventas_libreria[[#This Row],[precio]]*ventas_libreria[[#This Row],[cantidad]]</f>
        <v>2.5</v>
      </c>
      <c r="J1941">
        <v>70</v>
      </c>
      <c r="K1941" t="s">
        <v>20</v>
      </c>
      <c r="L1941" s="1">
        <v>45529</v>
      </c>
      <c r="M1941" t="s">
        <v>21</v>
      </c>
      <c r="N1941" t="s">
        <v>22</v>
      </c>
      <c r="O1941" t="s">
        <v>23</v>
      </c>
      <c r="P1941" t="s">
        <v>24</v>
      </c>
      <c r="Q1941">
        <v>5</v>
      </c>
      <c r="R1941">
        <f>IF(ventas_libreria[[#This Row],[valoracion_cliente]]="","Sin valoración",ventas_libreria[[#This Row],[valoracion_cliente]])</f>
        <v>5</v>
      </c>
    </row>
    <row r="1942" spans="1:18" x14ac:dyDescent="0.25">
      <c r="A1942" t="s">
        <v>2218</v>
      </c>
      <c r="B1942" t="s">
        <v>165</v>
      </c>
      <c r="C1942" t="s">
        <v>166</v>
      </c>
      <c r="D1942" t="s">
        <v>167</v>
      </c>
      <c r="E1942" t="s">
        <v>61</v>
      </c>
      <c r="F1942">
        <f>ventas_libreria[[#This Row],[precio_eur]]/100</f>
        <v>1.49</v>
      </c>
      <c r="G1942">
        <v>149</v>
      </c>
      <c r="H1942">
        <v>1</v>
      </c>
      <c r="I1942">
        <f>ventas_libreria[[#This Row],[precio]]*ventas_libreria[[#This Row],[cantidad]]</f>
        <v>1.49</v>
      </c>
      <c r="J1942">
        <v>64</v>
      </c>
      <c r="K1942" t="s">
        <v>62</v>
      </c>
      <c r="L1942" s="1">
        <v>45318</v>
      </c>
      <c r="M1942" t="s">
        <v>43</v>
      </c>
      <c r="N1942" t="s">
        <v>32</v>
      </c>
      <c r="O1942" t="s">
        <v>33</v>
      </c>
      <c r="P1942" t="s">
        <v>84</v>
      </c>
      <c r="Q1942">
        <v>4</v>
      </c>
      <c r="R1942">
        <f>IF(ventas_libreria[[#This Row],[valoracion_cliente]]="","Sin valoración",ventas_libreria[[#This Row],[valoracion_cliente]])</f>
        <v>4</v>
      </c>
    </row>
    <row r="1943" spans="1:18" x14ac:dyDescent="0.25">
      <c r="A1943" t="s">
        <v>2219</v>
      </c>
      <c r="B1943" t="s">
        <v>291</v>
      </c>
      <c r="C1943" t="s">
        <v>292</v>
      </c>
      <c r="D1943" t="s">
        <v>76</v>
      </c>
      <c r="E1943" t="s">
        <v>77</v>
      </c>
      <c r="F1943">
        <f>ventas_libreria[[#This Row],[precio_eur]]/100</f>
        <v>0.99</v>
      </c>
      <c r="G1943">
        <v>99</v>
      </c>
      <c r="H1943">
        <v>2</v>
      </c>
      <c r="I1943">
        <f>ventas_libreria[[#This Row],[precio]]*ventas_libreria[[#This Row],[cantidad]]</f>
        <v>1.98</v>
      </c>
      <c r="J1943">
        <v>10</v>
      </c>
      <c r="K1943" t="s">
        <v>30</v>
      </c>
      <c r="L1943" s="1">
        <v>45472</v>
      </c>
      <c r="M1943" t="s">
        <v>43</v>
      </c>
      <c r="N1943" t="s">
        <v>32</v>
      </c>
      <c r="O1943" t="s">
        <v>33</v>
      </c>
      <c r="P1943" t="s">
        <v>84</v>
      </c>
      <c r="Q1943">
        <v>5</v>
      </c>
      <c r="R1943">
        <f>IF(ventas_libreria[[#This Row],[valoracion_cliente]]="","Sin valoración",ventas_libreria[[#This Row],[valoracion_cliente]])</f>
        <v>5</v>
      </c>
    </row>
    <row r="1944" spans="1:18" x14ac:dyDescent="0.25">
      <c r="A1944" t="s">
        <v>2220</v>
      </c>
      <c r="B1944" t="s">
        <v>301</v>
      </c>
      <c r="C1944" t="s">
        <v>302</v>
      </c>
      <c r="D1944" t="s">
        <v>245</v>
      </c>
      <c r="E1944" t="s">
        <v>48</v>
      </c>
      <c r="F1944">
        <f>ventas_libreria[[#This Row],[precio_eur]]/100</f>
        <v>27.39</v>
      </c>
      <c r="G1944">
        <v>2739</v>
      </c>
      <c r="H1944">
        <v>2</v>
      </c>
      <c r="I1944">
        <f>ventas_libreria[[#This Row],[precio]]*ventas_libreria[[#This Row],[cantidad]]</f>
        <v>54.78</v>
      </c>
      <c r="J1944">
        <v>41</v>
      </c>
      <c r="K1944" t="s">
        <v>38</v>
      </c>
      <c r="L1944" s="1">
        <v>46001</v>
      </c>
      <c r="M1944" t="s">
        <v>31</v>
      </c>
      <c r="N1944" t="s">
        <v>22</v>
      </c>
      <c r="O1944" t="s">
        <v>49</v>
      </c>
      <c r="P1944" t="s">
        <v>84</v>
      </c>
      <c r="Q1944">
        <v>5</v>
      </c>
      <c r="R1944">
        <f>IF(ventas_libreria[[#This Row],[valoracion_cliente]]="","Sin valoración",ventas_libreria[[#This Row],[valoracion_cliente]])</f>
        <v>5</v>
      </c>
    </row>
    <row r="1945" spans="1:18" x14ac:dyDescent="0.25">
      <c r="A1945" t="s">
        <v>2221</v>
      </c>
      <c r="B1945" t="s">
        <v>332</v>
      </c>
      <c r="C1945" t="s">
        <v>333</v>
      </c>
      <c r="D1945" t="s">
        <v>334</v>
      </c>
      <c r="E1945" t="s">
        <v>116</v>
      </c>
      <c r="F1945">
        <f>ventas_libreria[[#This Row],[precio_eur]]/100</f>
        <v>17.75</v>
      </c>
      <c r="G1945">
        <v>1775</v>
      </c>
      <c r="H1945">
        <v>1</v>
      </c>
      <c r="I1945">
        <f>ventas_libreria[[#This Row],[precio]]*ventas_libreria[[#This Row],[cantidad]]</f>
        <v>17.75</v>
      </c>
      <c r="J1945">
        <v>67</v>
      </c>
      <c r="K1945" t="s">
        <v>30</v>
      </c>
      <c r="L1945" s="1">
        <v>45159</v>
      </c>
      <c r="M1945" t="s">
        <v>31</v>
      </c>
      <c r="N1945" t="s">
        <v>32</v>
      </c>
      <c r="O1945" t="s">
        <v>33</v>
      </c>
      <c r="P1945" t="s">
        <v>56</v>
      </c>
      <c r="Q1945">
        <v>5</v>
      </c>
      <c r="R1945">
        <f>IF(ventas_libreria[[#This Row],[valoracion_cliente]]="","Sin valoración",ventas_libreria[[#This Row],[valoracion_cliente]])</f>
        <v>5</v>
      </c>
    </row>
    <row r="1946" spans="1:18" x14ac:dyDescent="0.25">
      <c r="A1946" t="s">
        <v>2222</v>
      </c>
      <c r="B1946" t="s">
        <v>224</v>
      </c>
      <c r="C1946" t="s">
        <v>225</v>
      </c>
      <c r="D1946" t="s">
        <v>226</v>
      </c>
      <c r="E1946" t="s">
        <v>116</v>
      </c>
      <c r="F1946">
        <f>ventas_libreria[[#This Row],[precio_eur]]/100</f>
        <v>2.4900000000000002</v>
      </c>
      <c r="G1946">
        <v>249</v>
      </c>
      <c r="H1946">
        <v>1</v>
      </c>
      <c r="I1946">
        <f>ventas_libreria[[#This Row],[precio]]*ventas_libreria[[#This Row],[cantidad]]</f>
        <v>2.4900000000000002</v>
      </c>
      <c r="J1946">
        <v>23</v>
      </c>
      <c r="K1946" t="s">
        <v>30</v>
      </c>
      <c r="L1946" s="1">
        <v>45815</v>
      </c>
      <c r="M1946" t="s">
        <v>43</v>
      </c>
      <c r="N1946" t="s">
        <v>32</v>
      </c>
      <c r="O1946" t="s">
        <v>33</v>
      </c>
      <c r="P1946" t="s">
        <v>50</v>
      </c>
      <c r="Q1946">
        <v>3</v>
      </c>
      <c r="R1946">
        <f>IF(ventas_libreria[[#This Row],[valoracion_cliente]]="","Sin valoración",ventas_libreria[[#This Row],[valoracion_cliente]])</f>
        <v>3</v>
      </c>
    </row>
    <row r="1947" spans="1:18" x14ac:dyDescent="0.25">
      <c r="A1947" t="s">
        <v>2223</v>
      </c>
      <c r="B1947" t="s">
        <v>348</v>
      </c>
      <c r="C1947" t="s">
        <v>349</v>
      </c>
      <c r="D1947" t="s">
        <v>350</v>
      </c>
      <c r="E1947" t="s">
        <v>116</v>
      </c>
      <c r="F1947">
        <f>ventas_libreria[[#This Row],[precio_eur]]/100</f>
        <v>1.99</v>
      </c>
      <c r="G1947">
        <v>199</v>
      </c>
      <c r="H1947">
        <v>3</v>
      </c>
      <c r="I1947">
        <f>ventas_libreria[[#This Row],[precio]]*ventas_libreria[[#This Row],[cantidad]]</f>
        <v>5.97</v>
      </c>
      <c r="J1947">
        <v>44</v>
      </c>
      <c r="K1947" t="s">
        <v>62</v>
      </c>
      <c r="L1947" s="1">
        <v>44984</v>
      </c>
      <c r="M1947" t="s">
        <v>31</v>
      </c>
      <c r="N1947" t="s">
        <v>32</v>
      </c>
      <c r="O1947" t="s">
        <v>33</v>
      </c>
      <c r="P1947" t="s">
        <v>84</v>
      </c>
      <c r="Q1947">
        <v>5</v>
      </c>
      <c r="R1947">
        <f>IF(ventas_libreria[[#This Row],[valoracion_cliente]]="","Sin valoración",ventas_libreria[[#This Row],[valoracion_cliente]])</f>
        <v>5</v>
      </c>
    </row>
    <row r="1948" spans="1:18" x14ac:dyDescent="0.25">
      <c r="A1948" t="s">
        <v>2224</v>
      </c>
      <c r="B1948" t="s">
        <v>296</v>
      </c>
      <c r="C1948" t="s">
        <v>297</v>
      </c>
      <c r="D1948" t="s">
        <v>298</v>
      </c>
      <c r="E1948" t="s">
        <v>154</v>
      </c>
      <c r="F1948">
        <f>ventas_libreria[[#This Row],[precio_eur]]/100</f>
        <v>1.79</v>
      </c>
      <c r="G1948">
        <v>179</v>
      </c>
      <c r="H1948">
        <v>3</v>
      </c>
      <c r="I1948">
        <f>ventas_libreria[[#This Row],[precio]]*ventas_libreria[[#This Row],[cantidad]]</f>
        <v>5.37</v>
      </c>
      <c r="J1948">
        <v>65</v>
      </c>
      <c r="K1948" t="s">
        <v>62</v>
      </c>
      <c r="L1948" s="1">
        <v>45863</v>
      </c>
      <c r="M1948" t="s">
        <v>43</v>
      </c>
      <c r="N1948" t="s">
        <v>32</v>
      </c>
      <c r="O1948" t="s">
        <v>33</v>
      </c>
      <c r="P1948" t="s">
        <v>56</v>
      </c>
      <c r="Q1948">
        <v>1</v>
      </c>
      <c r="R1948">
        <f>IF(ventas_libreria[[#This Row],[valoracion_cliente]]="","Sin valoración",ventas_libreria[[#This Row],[valoracion_cliente]])</f>
        <v>1</v>
      </c>
    </row>
    <row r="1949" spans="1:18" x14ac:dyDescent="0.25">
      <c r="A1949" t="s">
        <v>2225</v>
      </c>
      <c r="B1949" t="s">
        <v>338</v>
      </c>
      <c r="C1949" t="s">
        <v>339</v>
      </c>
      <c r="D1949" t="s">
        <v>167</v>
      </c>
      <c r="E1949" t="s">
        <v>61</v>
      </c>
      <c r="F1949">
        <f>ventas_libreria[[#This Row],[precio_eur]]/100</f>
        <v>2.29</v>
      </c>
      <c r="G1949">
        <v>229</v>
      </c>
      <c r="H1949">
        <v>1</v>
      </c>
      <c r="I1949">
        <f>ventas_libreria[[#This Row],[precio]]*ventas_libreria[[#This Row],[cantidad]]</f>
        <v>2.29</v>
      </c>
      <c r="J1949">
        <v>42</v>
      </c>
      <c r="K1949" t="s">
        <v>38</v>
      </c>
      <c r="L1949" s="1">
        <v>45466</v>
      </c>
      <c r="M1949" t="s">
        <v>31</v>
      </c>
      <c r="N1949" t="s">
        <v>22</v>
      </c>
      <c r="O1949" t="s">
        <v>132</v>
      </c>
      <c r="P1949" t="s">
        <v>84</v>
      </c>
      <c r="Q1949">
        <v>3</v>
      </c>
      <c r="R1949">
        <f>IF(ventas_libreria[[#This Row],[valoracion_cliente]]="","Sin valoración",ventas_libreria[[#This Row],[valoracion_cliente]])</f>
        <v>3</v>
      </c>
    </row>
    <row r="1950" spans="1:18" x14ac:dyDescent="0.25">
      <c r="A1950" t="s">
        <v>2226</v>
      </c>
      <c r="B1950" t="s">
        <v>224</v>
      </c>
      <c r="C1950" t="s">
        <v>225</v>
      </c>
      <c r="D1950" t="s">
        <v>226</v>
      </c>
      <c r="E1950" t="s">
        <v>116</v>
      </c>
      <c r="F1950">
        <f>ventas_libreria[[#This Row],[precio_eur]]/100</f>
        <v>2.4900000000000002</v>
      </c>
      <c r="G1950">
        <v>249</v>
      </c>
      <c r="H1950">
        <v>1</v>
      </c>
      <c r="I1950">
        <f>ventas_libreria[[#This Row],[precio]]*ventas_libreria[[#This Row],[cantidad]]</f>
        <v>2.4900000000000002</v>
      </c>
      <c r="J1950">
        <v>43</v>
      </c>
      <c r="K1950" t="s">
        <v>62</v>
      </c>
      <c r="L1950" s="1">
        <v>45347</v>
      </c>
      <c r="M1950" t="s">
        <v>21</v>
      </c>
      <c r="N1950" t="s">
        <v>22</v>
      </c>
      <c r="O1950" t="s">
        <v>23</v>
      </c>
      <c r="P1950" t="s">
        <v>84</v>
      </c>
      <c r="Q1950">
        <v>4</v>
      </c>
      <c r="R1950">
        <f>IF(ventas_libreria[[#This Row],[valoracion_cliente]]="","Sin valoración",ventas_libreria[[#This Row],[valoracion_cliente]])</f>
        <v>4</v>
      </c>
    </row>
    <row r="1951" spans="1:18" x14ac:dyDescent="0.25">
      <c r="A1951" t="s">
        <v>2227</v>
      </c>
      <c r="B1951" t="s">
        <v>403</v>
      </c>
      <c r="C1951" t="s">
        <v>404</v>
      </c>
      <c r="D1951" t="s">
        <v>123</v>
      </c>
      <c r="E1951" t="s">
        <v>48</v>
      </c>
      <c r="F1951">
        <f>ventas_libreria[[#This Row],[precio_eur]]/100</f>
        <v>32.89</v>
      </c>
      <c r="G1951">
        <v>3289</v>
      </c>
      <c r="H1951">
        <v>2</v>
      </c>
      <c r="I1951">
        <f>ventas_libreria[[#This Row],[precio]]*ventas_libreria[[#This Row],[cantidad]]</f>
        <v>65.78</v>
      </c>
      <c r="J1951">
        <v>28</v>
      </c>
      <c r="K1951" t="s">
        <v>20</v>
      </c>
      <c r="L1951" s="1">
        <v>45617</v>
      </c>
      <c r="M1951" t="s">
        <v>43</v>
      </c>
      <c r="N1951" t="s">
        <v>32</v>
      </c>
      <c r="O1951" t="s">
        <v>33</v>
      </c>
      <c r="P1951" t="s">
        <v>84</v>
      </c>
      <c r="Q1951">
        <v>5</v>
      </c>
      <c r="R1951">
        <f>IF(ventas_libreria[[#This Row],[valoracion_cliente]]="","Sin valoración",ventas_libreria[[#This Row],[valoracion_cliente]])</f>
        <v>5</v>
      </c>
    </row>
    <row r="1952" spans="1:18" x14ac:dyDescent="0.25">
      <c r="A1952" t="s">
        <v>2228</v>
      </c>
      <c r="B1952" t="s">
        <v>254</v>
      </c>
      <c r="C1952" t="s">
        <v>255</v>
      </c>
      <c r="D1952" t="s">
        <v>139</v>
      </c>
      <c r="E1952" t="s">
        <v>116</v>
      </c>
      <c r="F1952">
        <f>ventas_libreria[[#This Row],[precio_eur]]/100</f>
        <v>1.49</v>
      </c>
      <c r="G1952">
        <v>149</v>
      </c>
      <c r="H1952">
        <v>2</v>
      </c>
      <c r="I1952">
        <f>ventas_libreria[[#This Row],[precio]]*ventas_libreria[[#This Row],[cantidad]]</f>
        <v>2.98</v>
      </c>
      <c r="J1952">
        <v>58</v>
      </c>
      <c r="K1952" t="s">
        <v>30</v>
      </c>
      <c r="L1952" s="1">
        <v>45195</v>
      </c>
      <c r="M1952" t="s">
        <v>31</v>
      </c>
      <c r="N1952" t="s">
        <v>32</v>
      </c>
      <c r="O1952" t="s">
        <v>33</v>
      </c>
      <c r="P1952" t="s">
        <v>56</v>
      </c>
      <c r="Q1952">
        <v>5</v>
      </c>
      <c r="R1952">
        <f>IF(ventas_libreria[[#This Row],[valoracion_cliente]]="","Sin valoración",ventas_libreria[[#This Row],[valoracion_cliente]])</f>
        <v>5</v>
      </c>
    </row>
    <row r="1953" spans="1:18" x14ac:dyDescent="0.25">
      <c r="A1953" t="s">
        <v>2229</v>
      </c>
      <c r="B1953" t="s">
        <v>461</v>
      </c>
      <c r="C1953" t="s">
        <v>462</v>
      </c>
      <c r="D1953" t="s">
        <v>143</v>
      </c>
      <c r="E1953" t="s">
        <v>116</v>
      </c>
      <c r="F1953">
        <f>ventas_libreria[[#This Row],[precio_eur]]/100</f>
        <v>1.39</v>
      </c>
      <c r="G1953">
        <v>139</v>
      </c>
      <c r="H1953">
        <v>2</v>
      </c>
      <c r="I1953">
        <f>ventas_libreria[[#This Row],[precio]]*ventas_libreria[[#This Row],[cantidad]]</f>
        <v>2.78</v>
      </c>
      <c r="J1953">
        <v>16</v>
      </c>
      <c r="K1953" t="s">
        <v>62</v>
      </c>
      <c r="L1953" s="1">
        <v>45233</v>
      </c>
      <c r="M1953" t="s">
        <v>43</v>
      </c>
      <c r="N1953" t="s">
        <v>32</v>
      </c>
      <c r="O1953" t="s">
        <v>33</v>
      </c>
      <c r="P1953" t="s">
        <v>56</v>
      </c>
      <c r="Q1953">
        <v>5</v>
      </c>
      <c r="R1953">
        <f>IF(ventas_libreria[[#This Row],[valoracion_cliente]]="","Sin valoración",ventas_libreria[[#This Row],[valoracion_cliente]])</f>
        <v>5</v>
      </c>
    </row>
    <row r="1954" spans="1:18" x14ac:dyDescent="0.25">
      <c r="A1954" t="s">
        <v>2230</v>
      </c>
      <c r="B1954" t="s">
        <v>156</v>
      </c>
      <c r="C1954" t="s">
        <v>157</v>
      </c>
      <c r="D1954" t="s">
        <v>158</v>
      </c>
      <c r="E1954" t="s">
        <v>149</v>
      </c>
      <c r="F1954">
        <f>ventas_libreria[[#This Row],[precio_eur]]/100</f>
        <v>15.12</v>
      </c>
      <c r="G1954">
        <v>1512</v>
      </c>
      <c r="H1954">
        <v>1</v>
      </c>
      <c r="I1954">
        <f>ventas_libreria[[#This Row],[precio]]*ventas_libreria[[#This Row],[cantidad]]</f>
        <v>15.12</v>
      </c>
      <c r="J1954">
        <v>70</v>
      </c>
      <c r="K1954" t="s">
        <v>38</v>
      </c>
      <c r="L1954" s="1">
        <v>46021</v>
      </c>
      <c r="M1954" t="s">
        <v>31</v>
      </c>
      <c r="N1954" t="s">
        <v>22</v>
      </c>
      <c r="O1954" t="s">
        <v>49</v>
      </c>
      <c r="P1954" t="s">
        <v>50</v>
      </c>
      <c r="Q1954">
        <v>5</v>
      </c>
      <c r="R1954">
        <f>IF(ventas_libreria[[#This Row],[valoracion_cliente]]="","Sin valoración",ventas_libreria[[#This Row],[valoracion_cliente]])</f>
        <v>5</v>
      </c>
    </row>
    <row r="1955" spans="1:18" x14ac:dyDescent="0.25">
      <c r="A1955" t="s">
        <v>2231</v>
      </c>
      <c r="B1955" t="s">
        <v>446</v>
      </c>
      <c r="C1955" t="s">
        <v>447</v>
      </c>
      <c r="D1955" t="s">
        <v>262</v>
      </c>
      <c r="E1955" t="s">
        <v>263</v>
      </c>
      <c r="F1955">
        <f>ventas_libreria[[#This Row],[precio_eur]]/100</f>
        <v>1.99</v>
      </c>
      <c r="G1955">
        <v>199</v>
      </c>
      <c r="H1955">
        <v>1</v>
      </c>
      <c r="I1955">
        <f>ventas_libreria[[#This Row],[precio]]*ventas_libreria[[#This Row],[cantidad]]</f>
        <v>1.99</v>
      </c>
      <c r="J1955">
        <v>26</v>
      </c>
      <c r="K1955" t="s">
        <v>30</v>
      </c>
      <c r="L1955" s="1">
        <v>44959</v>
      </c>
      <c r="M1955" t="s">
        <v>21</v>
      </c>
      <c r="N1955" t="s">
        <v>22</v>
      </c>
      <c r="O1955" t="s">
        <v>98</v>
      </c>
      <c r="P1955" t="s">
        <v>84</v>
      </c>
      <c r="Q1955">
        <v>5</v>
      </c>
      <c r="R1955">
        <f>IF(ventas_libreria[[#This Row],[valoracion_cliente]]="","Sin valoración",ventas_libreria[[#This Row],[valoracion_cliente]])</f>
        <v>5</v>
      </c>
    </row>
    <row r="1956" spans="1:18" x14ac:dyDescent="0.25">
      <c r="A1956" t="s">
        <v>2232</v>
      </c>
      <c r="B1956" t="s">
        <v>129</v>
      </c>
      <c r="C1956" t="s">
        <v>130</v>
      </c>
      <c r="D1956" t="s">
        <v>131</v>
      </c>
      <c r="E1956" t="s">
        <v>107</v>
      </c>
      <c r="F1956">
        <f>ventas_libreria[[#This Row],[precio_eur]]/100</f>
        <v>1.59</v>
      </c>
      <c r="G1956">
        <v>159</v>
      </c>
      <c r="H1956">
        <v>1</v>
      </c>
      <c r="I1956">
        <f>ventas_libreria[[#This Row],[precio]]*ventas_libreria[[#This Row],[cantidad]]</f>
        <v>1.59</v>
      </c>
      <c r="J1956">
        <v>18</v>
      </c>
      <c r="K1956" t="s">
        <v>38</v>
      </c>
      <c r="L1956" s="1">
        <v>45846</v>
      </c>
      <c r="M1956" t="s">
        <v>43</v>
      </c>
      <c r="N1956" t="s">
        <v>32</v>
      </c>
      <c r="O1956" t="s">
        <v>33</v>
      </c>
      <c r="P1956" t="s">
        <v>24</v>
      </c>
      <c r="Q1956">
        <v>5</v>
      </c>
      <c r="R1956">
        <f>IF(ventas_libreria[[#This Row],[valoracion_cliente]]="","Sin valoración",ventas_libreria[[#This Row],[valoracion_cliente]])</f>
        <v>5</v>
      </c>
    </row>
    <row r="1957" spans="1:18" x14ac:dyDescent="0.25">
      <c r="A1957" t="s">
        <v>2233</v>
      </c>
      <c r="B1957" t="s">
        <v>406</v>
      </c>
      <c r="C1957" t="s">
        <v>407</v>
      </c>
      <c r="D1957" t="s">
        <v>88</v>
      </c>
      <c r="E1957" t="s">
        <v>77</v>
      </c>
      <c r="F1957">
        <f>ventas_libreria[[#This Row],[precio_eur]]/100</f>
        <v>13.09</v>
      </c>
      <c r="G1957">
        <v>1309</v>
      </c>
      <c r="H1957">
        <v>1</v>
      </c>
      <c r="I1957">
        <f>ventas_libreria[[#This Row],[precio]]*ventas_libreria[[#This Row],[cantidad]]</f>
        <v>13.09</v>
      </c>
      <c r="J1957">
        <v>6</v>
      </c>
      <c r="K1957" t="s">
        <v>62</v>
      </c>
      <c r="L1957" s="1">
        <v>45668</v>
      </c>
      <c r="M1957" t="s">
        <v>31</v>
      </c>
      <c r="N1957" t="s">
        <v>22</v>
      </c>
      <c r="O1957" t="s">
        <v>49</v>
      </c>
      <c r="P1957" t="s">
        <v>50</v>
      </c>
      <c r="Q1957">
        <v>5</v>
      </c>
      <c r="R1957">
        <f>IF(ventas_libreria[[#This Row],[valoracion_cliente]]="","Sin valoración",ventas_libreria[[#This Row],[valoracion_cliente]])</f>
        <v>5</v>
      </c>
    </row>
    <row r="1958" spans="1:18" x14ac:dyDescent="0.25">
      <c r="A1958" t="s">
        <v>2234</v>
      </c>
      <c r="B1958" t="s">
        <v>228</v>
      </c>
      <c r="C1958" t="s">
        <v>229</v>
      </c>
      <c r="D1958" t="s">
        <v>206</v>
      </c>
      <c r="E1958" t="s">
        <v>116</v>
      </c>
      <c r="F1958">
        <f>ventas_libreria[[#This Row],[precio_eur]]/100</f>
        <v>15.12</v>
      </c>
      <c r="G1958">
        <v>1512</v>
      </c>
      <c r="H1958">
        <v>1</v>
      </c>
      <c r="I1958">
        <f>ventas_libreria[[#This Row],[precio]]*ventas_libreria[[#This Row],[cantidad]]</f>
        <v>15.12</v>
      </c>
      <c r="J1958">
        <v>53</v>
      </c>
      <c r="K1958" t="s">
        <v>20</v>
      </c>
      <c r="L1958" s="1">
        <v>45759</v>
      </c>
      <c r="M1958" t="s">
        <v>21</v>
      </c>
      <c r="N1958" t="s">
        <v>32</v>
      </c>
      <c r="O1958" t="s">
        <v>33</v>
      </c>
      <c r="P1958" t="s">
        <v>24</v>
      </c>
      <c r="Q1958">
        <v>5</v>
      </c>
      <c r="R1958">
        <f>IF(ventas_libreria[[#This Row],[valoracion_cliente]]="","Sin valoración",ventas_libreria[[#This Row],[valoracion_cliente]])</f>
        <v>5</v>
      </c>
    </row>
    <row r="1959" spans="1:18" x14ac:dyDescent="0.25">
      <c r="A1959" t="s">
        <v>2235</v>
      </c>
      <c r="B1959" t="s">
        <v>69</v>
      </c>
      <c r="C1959" t="s">
        <v>70</v>
      </c>
      <c r="D1959" t="s">
        <v>71</v>
      </c>
      <c r="E1959" t="s">
        <v>72</v>
      </c>
      <c r="F1959">
        <f>ventas_libreria[[#This Row],[precio_eur]]/100</f>
        <v>1.69</v>
      </c>
      <c r="G1959">
        <v>169</v>
      </c>
      <c r="H1959">
        <v>1</v>
      </c>
      <c r="I1959">
        <f>ventas_libreria[[#This Row],[precio]]*ventas_libreria[[#This Row],[cantidad]]</f>
        <v>1.69</v>
      </c>
      <c r="J1959">
        <v>53</v>
      </c>
      <c r="K1959" t="s">
        <v>38</v>
      </c>
      <c r="L1959" s="1">
        <v>45817</v>
      </c>
      <c r="M1959" t="s">
        <v>43</v>
      </c>
      <c r="N1959" t="s">
        <v>32</v>
      </c>
      <c r="O1959" t="s">
        <v>33</v>
      </c>
      <c r="P1959" t="s">
        <v>34</v>
      </c>
      <c r="Q1959">
        <v>4</v>
      </c>
      <c r="R1959">
        <f>IF(ventas_libreria[[#This Row],[valoracion_cliente]]="","Sin valoración",ventas_libreria[[#This Row],[valoracion_cliente]])</f>
        <v>4</v>
      </c>
    </row>
    <row r="1960" spans="1:18" x14ac:dyDescent="0.25">
      <c r="A1960" t="s">
        <v>2236</v>
      </c>
      <c r="B1960" t="s">
        <v>176</v>
      </c>
      <c r="C1960" t="s">
        <v>177</v>
      </c>
      <c r="D1960" t="s">
        <v>178</v>
      </c>
      <c r="E1960" t="s">
        <v>179</v>
      </c>
      <c r="F1960">
        <f>ventas_libreria[[#This Row],[precio_eur]]/100</f>
        <v>1.59</v>
      </c>
      <c r="G1960">
        <v>159</v>
      </c>
      <c r="H1960">
        <v>2</v>
      </c>
      <c r="I1960">
        <f>ventas_libreria[[#This Row],[precio]]*ventas_libreria[[#This Row],[cantidad]]</f>
        <v>3.18</v>
      </c>
      <c r="J1960">
        <v>72</v>
      </c>
      <c r="K1960" t="s">
        <v>62</v>
      </c>
      <c r="L1960" s="1">
        <v>44958</v>
      </c>
      <c r="M1960" t="s">
        <v>21</v>
      </c>
      <c r="N1960" t="s">
        <v>32</v>
      </c>
      <c r="O1960" t="s">
        <v>33</v>
      </c>
      <c r="P1960" t="s">
        <v>84</v>
      </c>
      <c r="Q1960">
        <v>4</v>
      </c>
      <c r="R1960">
        <f>IF(ventas_libreria[[#This Row],[valoracion_cliente]]="","Sin valoración",ventas_libreria[[#This Row],[valoracion_cliente]])</f>
        <v>4</v>
      </c>
    </row>
    <row r="1961" spans="1:18" x14ac:dyDescent="0.25">
      <c r="A1961" t="s">
        <v>2237</v>
      </c>
      <c r="B1961" t="s">
        <v>273</v>
      </c>
      <c r="C1961" t="s">
        <v>274</v>
      </c>
      <c r="D1961" t="s">
        <v>262</v>
      </c>
      <c r="E1961" t="s">
        <v>263</v>
      </c>
      <c r="F1961">
        <f>ventas_libreria[[#This Row],[precio_eur]]/100</f>
        <v>17.52</v>
      </c>
      <c r="G1961">
        <v>1752</v>
      </c>
      <c r="H1961">
        <v>1</v>
      </c>
      <c r="I1961">
        <f>ventas_libreria[[#This Row],[precio]]*ventas_libreria[[#This Row],[cantidad]]</f>
        <v>17.52</v>
      </c>
      <c r="J1961">
        <v>43</v>
      </c>
      <c r="K1961" t="s">
        <v>20</v>
      </c>
      <c r="L1961" s="1">
        <v>45427</v>
      </c>
      <c r="M1961" t="s">
        <v>31</v>
      </c>
      <c r="N1961" t="s">
        <v>22</v>
      </c>
      <c r="O1961" t="s">
        <v>49</v>
      </c>
      <c r="P1961" t="s">
        <v>56</v>
      </c>
      <c r="Q1961">
        <v>5</v>
      </c>
      <c r="R1961">
        <f>IF(ventas_libreria[[#This Row],[valoracion_cliente]]="","Sin valoración",ventas_libreria[[#This Row],[valoracion_cliente]])</f>
        <v>5</v>
      </c>
    </row>
    <row r="1962" spans="1:18" x14ac:dyDescent="0.25">
      <c r="A1962" t="s">
        <v>2238</v>
      </c>
      <c r="B1962" t="s">
        <v>80</v>
      </c>
      <c r="C1962" t="s">
        <v>81</v>
      </c>
      <c r="D1962" t="s">
        <v>82</v>
      </c>
      <c r="E1962" t="s">
        <v>83</v>
      </c>
      <c r="F1962">
        <f>ventas_libreria[[#This Row],[precio_eur]]/100</f>
        <v>0.99</v>
      </c>
      <c r="G1962">
        <v>99</v>
      </c>
      <c r="H1962">
        <v>1</v>
      </c>
      <c r="I1962">
        <f>ventas_libreria[[#This Row],[precio]]*ventas_libreria[[#This Row],[cantidad]]</f>
        <v>0.99</v>
      </c>
      <c r="J1962">
        <v>52</v>
      </c>
      <c r="K1962" t="s">
        <v>38</v>
      </c>
      <c r="L1962" s="1">
        <v>45891</v>
      </c>
      <c r="M1962" t="s">
        <v>43</v>
      </c>
      <c r="N1962" t="s">
        <v>32</v>
      </c>
      <c r="O1962" t="s">
        <v>33</v>
      </c>
      <c r="P1962" t="s">
        <v>50</v>
      </c>
      <c r="Q1962">
        <v>5</v>
      </c>
      <c r="R1962">
        <f>IF(ventas_libreria[[#This Row],[valoracion_cliente]]="","Sin valoración",ventas_libreria[[#This Row],[valoracion_cliente]])</f>
        <v>5</v>
      </c>
    </row>
    <row r="1963" spans="1:18" x14ac:dyDescent="0.25">
      <c r="A1963" t="s">
        <v>2239</v>
      </c>
      <c r="B1963" t="s">
        <v>16</v>
      </c>
      <c r="C1963" t="s">
        <v>17</v>
      </c>
      <c r="D1963" t="s">
        <v>18</v>
      </c>
      <c r="E1963" t="s">
        <v>19</v>
      </c>
      <c r="F1963">
        <f>ventas_libreria[[#This Row],[precio_eur]]/100</f>
        <v>1.49</v>
      </c>
      <c r="G1963">
        <v>149</v>
      </c>
      <c r="H1963">
        <v>3</v>
      </c>
      <c r="I1963">
        <f>ventas_libreria[[#This Row],[precio]]*ventas_libreria[[#This Row],[cantidad]]</f>
        <v>4.47</v>
      </c>
      <c r="J1963">
        <v>54</v>
      </c>
      <c r="K1963" t="s">
        <v>38</v>
      </c>
      <c r="L1963" s="1">
        <v>45262</v>
      </c>
      <c r="M1963" t="s">
        <v>43</v>
      </c>
      <c r="N1963" t="s">
        <v>32</v>
      </c>
      <c r="O1963" t="s">
        <v>33</v>
      </c>
      <c r="P1963" t="s">
        <v>24</v>
      </c>
      <c r="Q1963">
        <v>5</v>
      </c>
      <c r="R1963">
        <f>IF(ventas_libreria[[#This Row],[valoracion_cliente]]="","Sin valoración",ventas_libreria[[#This Row],[valoracion_cliente]])</f>
        <v>5</v>
      </c>
    </row>
    <row r="1964" spans="1:18" x14ac:dyDescent="0.25">
      <c r="A1964" t="s">
        <v>2240</v>
      </c>
      <c r="B1964" t="s">
        <v>236</v>
      </c>
      <c r="C1964" t="s">
        <v>237</v>
      </c>
      <c r="D1964" t="s">
        <v>238</v>
      </c>
      <c r="E1964" t="s">
        <v>29</v>
      </c>
      <c r="F1964">
        <f>ventas_libreria[[#This Row],[precio_eur]]/100</f>
        <v>1.79</v>
      </c>
      <c r="G1964">
        <v>179</v>
      </c>
      <c r="H1964">
        <v>2</v>
      </c>
      <c r="I1964">
        <f>ventas_libreria[[#This Row],[precio]]*ventas_libreria[[#This Row],[cantidad]]</f>
        <v>3.58</v>
      </c>
      <c r="J1964">
        <v>29</v>
      </c>
      <c r="K1964" t="s">
        <v>20</v>
      </c>
      <c r="L1964" s="1">
        <v>45786</v>
      </c>
      <c r="M1964" t="s">
        <v>31</v>
      </c>
      <c r="N1964" t="s">
        <v>32</v>
      </c>
      <c r="O1964" t="s">
        <v>33</v>
      </c>
      <c r="P1964" t="s">
        <v>56</v>
      </c>
      <c r="Q1964">
        <v>3</v>
      </c>
      <c r="R1964">
        <f>IF(ventas_libreria[[#This Row],[valoracion_cliente]]="","Sin valoración",ventas_libreria[[#This Row],[valoracion_cliente]])</f>
        <v>3</v>
      </c>
    </row>
    <row r="1965" spans="1:18" x14ac:dyDescent="0.25">
      <c r="A1965" t="s">
        <v>2241</v>
      </c>
      <c r="B1965" t="s">
        <v>307</v>
      </c>
      <c r="C1965" t="s">
        <v>308</v>
      </c>
      <c r="D1965" t="s">
        <v>88</v>
      </c>
      <c r="E1965" t="s">
        <v>77</v>
      </c>
      <c r="F1965">
        <f>ventas_libreria[[#This Row],[precio_eur]]/100</f>
        <v>11.99</v>
      </c>
      <c r="G1965">
        <v>1199</v>
      </c>
      <c r="H1965">
        <v>1</v>
      </c>
      <c r="I1965">
        <f>ventas_libreria[[#This Row],[precio]]*ventas_libreria[[#This Row],[cantidad]]</f>
        <v>11.99</v>
      </c>
      <c r="J1965">
        <v>11</v>
      </c>
      <c r="K1965" t="s">
        <v>20</v>
      </c>
      <c r="L1965" s="1">
        <v>45122</v>
      </c>
      <c r="M1965" t="s">
        <v>31</v>
      </c>
      <c r="N1965" t="s">
        <v>22</v>
      </c>
      <c r="O1965" t="s">
        <v>49</v>
      </c>
      <c r="P1965" t="s">
        <v>56</v>
      </c>
      <c r="Q1965">
        <v>5</v>
      </c>
      <c r="R1965">
        <f>IF(ventas_libreria[[#This Row],[valoracion_cliente]]="","Sin valoración",ventas_libreria[[#This Row],[valoracion_cliente]])</f>
        <v>5</v>
      </c>
    </row>
    <row r="1966" spans="1:18" x14ac:dyDescent="0.25">
      <c r="A1966" t="s">
        <v>2242</v>
      </c>
      <c r="B1966" t="s">
        <v>52</v>
      </c>
      <c r="C1966" t="s">
        <v>53</v>
      </c>
      <c r="D1966" t="s">
        <v>54</v>
      </c>
      <c r="E1966" t="s">
        <v>55</v>
      </c>
      <c r="F1966">
        <f>ventas_libreria[[#This Row],[precio_eur]]/100</f>
        <v>1.25</v>
      </c>
      <c r="G1966">
        <v>125</v>
      </c>
      <c r="H1966">
        <v>1</v>
      </c>
      <c r="I1966">
        <f>ventas_libreria[[#This Row],[precio]]*ventas_libreria[[#This Row],[cantidad]]</f>
        <v>1.25</v>
      </c>
      <c r="J1966">
        <v>32</v>
      </c>
      <c r="K1966" t="s">
        <v>62</v>
      </c>
      <c r="L1966" s="1">
        <v>45228</v>
      </c>
      <c r="M1966" t="s">
        <v>21</v>
      </c>
      <c r="N1966" t="s">
        <v>22</v>
      </c>
      <c r="O1966" t="s">
        <v>49</v>
      </c>
      <c r="P1966" t="s">
        <v>24</v>
      </c>
      <c r="Q1966">
        <v>3</v>
      </c>
      <c r="R1966">
        <f>IF(ventas_libreria[[#This Row],[valoracion_cliente]]="","Sin valoración",ventas_libreria[[#This Row],[valoracion_cliente]])</f>
        <v>3</v>
      </c>
    </row>
    <row r="1967" spans="1:18" x14ac:dyDescent="0.25">
      <c r="A1967" t="s">
        <v>2243</v>
      </c>
      <c r="B1967" t="s">
        <v>307</v>
      </c>
      <c r="C1967" t="s">
        <v>308</v>
      </c>
      <c r="D1967" t="s">
        <v>88</v>
      </c>
      <c r="E1967" t="s">
        <v>77</v>
      </c>
      <c r="F1967">
        <f>ventas_libreria[[#This Row],[precio_eur]]/100</f>
        <v>9.27</v>
      </c>
      <c r="G1967">
        <v>927</v>
      </c>
      <c r="H1967">
        <v>1</v>
      </c>
      <c r="I1967">
        <f>ventas_libreria[[#This Row],[precio]]*ventas_libreria[[#This Row],[cantidad]]</f>
        <v>9.27</v>
      </c>
      <c r="J1967">
        <v>6</v>
      </c>
      <c r="K1967" t="s">
        <v>38</v>
      </c>
      <c r="L1967" s="1">
        <v>45139</v>
      </c>
      <c r="M1967" t="s">
        <v>21</v>
      </c>
      <c r="N1967" t="s">
        <v>32</v>
      </c>
      <c r="O1967" t="s">
        <v>33</v>
      </c>
      <c r="P1967" t="s">
        <v>50</v>
      </c>
      <c r="Q1967">
        <v>5</v>
      </c>
      <c r="R1967">
        <f>IF(ventas_libreria[[#This Row],[valoracion_cliente]]="","Sin valoración",ventas_libreria[[#This Row],[valoracion_cliente]])</f>
        <v>5</v>
      </c>
    </row>
    <row r="1968" spans="1:18" x14ac:dyDescent="0.25">
      <c r="A1968" t="s">
        <v>2244</v>
      </c>
      <c r="B1968" t="s">
        <v>318</v>
      </c>
      <c r="C1968" t="s">
        <v>319</v>
      </c>
      <c r="D1968" t="s">
        <v>167</v>
      </c>
      <c r="E1968" t="s">
        <v>61</v>
      </c>
      <c r="F1968">
        <f>ventas_libreria[[#This Row],[precio_eur]]/100</f>
        <v>1.89</v>
      </c>
      <c r="G1968">
        <v>189</v>
      </c>
      <c r="H1968">
        <v>1</v>
      </c>
      <c r="I1968">
        <f>ventas_libreria[[#This Row],[precio]]*ventas_libreria[[#This Row],[cantidad]]</f>
        <v>1.89</v>
      </c>
      <c r="J1968">
        <v>74</v>
      </c>
      <c r="K1968" t="s">
        <v>30</v>
      </c>
      <c r="L1968" s="1">
        <v>45723</v>
      </c>
      <c r="M1968" t="s">
        <v>21</v>
      </c>
      <c r="N1968" t="s">
        <v>22</v>
      </c>
      <c r="O1968" t="s">
        <v>132</v>
      </c>
      <c r="P1968" t="s">
        <v>84</v>
      </c>
      <c r="Q1968">
        <v>5</v>
      </c>
      <c r="R1968">
        <f>IF(ventas_libreria[[#This Row],[valoracion_cliente]]="","Sin valoración",ventas_libreria[[#This Row],[valoracion_cliente]])</f>
        <v>5</v>
      </c>
    </row>
    <row r="1969" spans="1:18" x14ac:dyDescent="0.25">
      <c r="A1969" t="s">
        <v>2245</v>
      </c>
      <c r="B1969" t="s">
        <v>193</v>
      </c>
      <c r="C1969" t="s">
        <v>194</v>
      </c>
      <c r="D1969" t="s">
        <v>195</v>
      </c>
      <c r="E1969" t="s">
        <v>48</v>
      </c>
      <c r="F1969">
        <f>ventas_libreria[[#This Row],[precio_eur]]/100</f>
        <v>21.89</v>
      </c>
      <c r="G1969">
        <v>2189</v>
      </c>
      <c r="H1969">
        <v>1</v>
      </c>
      <c r="I1969">
        <f>ventas_libreria[[#This Row],[precio]]*ventas_libreria[[#This Row],[cantidad]]</f>
        <v>21.89</v>
      </c>
      <c r="J1969">
        <v>36</v>
      </c>
      <c r="K1969" t="s">
        <v>20</v>
      </c>
      <c r="L1969" s="1">
        <v>45604</v>
      </c>
      <c r="M1969" t="s">
        <v>43</v>
      </c>
      <c r="N1969" t="s">
        <v>32</v>
      </c>
      <c r="O1969" t="s">
        <v>33</v>
      </c>
      <c r="P1969" t="s">
        <v>56</v>
      </c>
      <c r="Q1969">
        <v>4</v>
      </c>
      <c r="R1969">
        <f>IF(ventas_libreria[[#This Row],[valoracion_cliente]]="","Sin valoración",ventas_libreria[[#This Row],[valoracion_cliente]])</f>
        <v>4</v>
      </c>
    </row>
    <row r="1970" spans="1:18" x14ac:dyDescent="0.25">
      <c r="A1970" t="s">
        <v>2246</v>
      </c>
      <c r="B1970" t="s">
        <v>16</v>
      </c>
      <c r="C1970" t="s">
        <v>17</v>
      </c>
      <c r="D1970" t="s">
        <v>18</v>
      </c>
      <c r="E1970" t="s">
        <v>19</v>
      </c>
      <c r="F1970">
        <f>ventas_libreria[[#This Row],[precio_eur]]/100</f>
        <v>15.65</v>
      </c>
      <c r="G1970">
        <v>1565</v>
      </c>
      <c r="H1970">
        <v>1</v>
      </c>
      <c r="I1970">
        <f>ventas_libreria[[#This Row],[precio]]*ventas_libreria[[#This Row],[cantidad]]</f>
        <v>15.65</v>
      </c>
      <c r="J1970">
        <v>45</v>
      </c>
      <c r="K1970" t="s">
        <v>20</v>
      </c>
      <c r="L1970" s="1">
        <v>45633</v>
      </c>
      <c r="M1970" t="s">
        <v>43</v>
      </c>
      <c r="N1970" t="s">
        <v>32</v>
      </c>
      <c r="O1970" t="s">
        <v>33</v>
      </c>
      <c r="P1970" t="s">
        <v>34</v>
      </c>
      <c r="R1970" t="str">
        <f>IF(ventas_libreria[[#This Row],[valoracion_cliente]]="","Sin valoración",ventas_libreria[[#This Row],[valoracion_cliente]])</f>
        <v>Sin valoración</v>
      </c>
    </row>
    <row r="1971" spans="1:18" x14ac:dyDescent="0.25">
      <c r="A1971" t="s">
        <v>2247</v>
      </c>
      <c r="B1971" t="s">
        <v>260</v>
      </c>
      <c r="C1971" t="s">
        <v>261</v>
      </c>
      <c r="D1971" t="s">
        <v>262</v>
      </c>
      <c r="E1971" t="s">
        <v>263</v>
      </c>
      <c r="F1971">
        <f>ventas_libreria[[#This Row],[precio_eur]]/100</f>
        <v>2.19</v>
      </c>
      <c r="G1971">
        <v>219</v>
      </c>
      <c r="H1971">
        <v>1</v>
      </c>
      <c r="I1971">
        <f>ventas_libreria[[#This Row],[precio]]*ventas_libreria[[#This Row],[cantidad]]</f>
        <v>2.19</v>
      </c>
      <c r="J1971">
        <v>33</v>
      </c>
      <c r="K1971" t="s">
        <v>30</v>
      </c>
      <c r="L1971" s="1">
        <v>45447</v>
      </c>
      <c r="M1971" t="s">
        <v>43</v>
      </c>
      <c r="N1971" t="s">
        <v>32</v>
      </c>
      <c r="O1971" t="s">
        <v>33</v>
      </c>
      <c r="P1971" t="s">
        <v>34</v>
      </c>
      <c r="Q1971">
        <v>2</v>
      </c>
      <c r="R1971">
        <f>IF(ventas_libreria[[#This Row],[valoracion_cliente]]="","Sin valoración",ventas_libreria[[#This Row],[valoracion_cliente]])</f>
        <v>2</v>
      </c>
    </row>
    <row r="1972" spans="1:18" x14ac:dyDescent="0.25">
      <c r="A1972" t="s">
        <v>2248</v>
      </c>
      <c r="B1972" t="s">
        <v>125</v>
      </c>
      <c r="C1972" t="s">
        <v>126</v>
      </c>
      <c r="D1972" t="s">
        <v>127</v>
      </c>
      <c r="E1972" t="s">
        <v>29</v>
      </c>
      <c r="F1972">
        <f>ventas_libreria[[#This Row],[precio_eur]]/100</f>
        <v>15.21</v>
      </c>
      <c r="G1972">
        <v>1521</v>
      </c>
      <c r="H1972">
        <v>3</v>
      </c>
      <c r="I1972">
        <f>ventas_libreria[[#This Row],[precio]]*ventas_libreria[[#This Row],[cantidad]]</f>
        <v>45.63</v>
      </c>
      <c r="J1972">
        <v>35</v>
      </c>
      <c r="K1972" t="s">
        <v>30</v>
      </c>
      <c r="L1972" s="1">
        <v>45317</v>
      </c>
      <c r="M1972" t="s">
        <v>43</v>
      </c>
      <c r="N1972" t="s">
        <v>32</v>
      </c>
      <c r="O1972" t="s">
        <v>33</v>
      </c>
      <c r="P1972" t="s">
        <v>84</v>
      </c>
      <c r="Q1972">
        <v>1</v>
      </c>
      <c r="R1972">
        <f>IF(ventas_libreria[[#This Row],[valoracion_cliente]]="","Sin valoración",ventas_libreria[[#This Row],[valoracion_cliente]])</f>
        <v>1</v>
      </c>
    </row>
    <row r="1973" spans="1:18" x14ac:dyDescent="0.25">
      <c r="A1973" t="s">
        <v>2249</v>
      </c>
      <c r="B1973" t="s">
        <v>151</v>
      </c>
      <c r="C1973" t="s">
        <v>152</v>
      </c>
      <c r="D1973" t="s">
        <v>153</v>
      </c>
      <c r="E1973" t="s">
        <v>154</v>
      </c>
      <c r="F1973">
        <f>ventas_libreria[[#This Row],[precio_eur]]/100</f>
        <v>15.21</v>
      </c>
      <c r="G1973">
        <v>1521</v>
      </c>
      <c r="H1973">
        <v>4</v>
      </c>
      <c r="I1973">
        <f>ventas_libreria[[#This Row],[precio]]*ventas_libreria[[#This Row],[cantidad]]</f>
        <v>60.84</v>
      </c>
      <c r="J1973">
        <v>24</v>
      </c>
      <c r="K1973" t="s">
        <v>20</v>
      </c>
      <c r="L1973" s="1">
        <v>45048</v>
      </c>
      <c r="M1973" t="s">
        <v>21</v>
      </c>
      <c r="N1973" t="s">
        <v>32</v>
      </c>
      <c r="O1973" t="s">
        <v>33</v>
      </c>
      <c r="P1973" t="s">
        <v>50</v>
      </c>
      <c r="Q1973">
        <v>5</v>
      </c>
      <c r="R1973">
        <f>IF(ventas_libreria[[#This Row],[valoracion_cliente]]="","Sin valoración",ventas_libreria[[#This Row],[valoracion_cliente]])</f>
        <v>5</v>
      </c>
    </row>
    <row r="1974" spans="1:18" x14ac:dyDescent="0.25">
      <c r="A1974" t="s">
        <v>2250</v>
      </c>
      <c r="B1974" t="s">
        <v>186</v>
      </c>
      <c r="C1974" t="s">
        <v>187</v>
      </c>
      <c r="D1974" t="s">
        <v>188</v>
      </c>
      <c r="E1974" t="s">
        <v>189</v>
      </c>
      <c r="F1974">
        <f>ventas_libreria[[#This Row],[precio_eur]]/100</f>
        <v>1.99</v>
      </c>
      <c r="G1974">
        <v>199</v>
      </c>
      <c r="H1974">
        <v>3</v>
      </c>
      <c r="I1974">
        <f>ventas_libreria[[#This Row],[precio]]*ventas_libreria[[#This Row],[cantidad]]</f>
        <v>5.97</v>
      </c>
      <c r="J1974">
        <v>30</v>
      </c>
      <c r="K1974" t="s">
        <v>30</v>
      </c>
      <c r="L1974" s="1">
        <v>45283</v>
      </c>
      <c r="M1974" t="s">
        <v>43</v>
      </c>
      <c r="N1974" t="s">
        <v>32</v>
      </c>
      <c r="O1974" t="s">
        <v>33</v>
      </c>
      <c r="P1974" t="s">
        <v>56</v>
      </c>
      <c r="Q1974">
        <v>5</v>
      </c>
      <c r="R1974">
        <f>IF(ventas_libreria[[#This Row],[valoracion_cliente]]="","Sin valoración",ventas_libreria[[#This Row],[valoracion_cliente]])</f>
        <v>5</v>
      </c>
    </row>
    <row r="1975" spans="1:18" x14ac:dyDescent="0.25">
      <c r="A1975" t="s">
        <v>2251</v>
      </c>
      <c r="B1975" t="s">
        <v>201</v>
      </c>
      <c r="C1975" t="s">
        <v>202</v>
      </c>
      <c r="D1975" t="s">
        <v>47</v>
      </c>
      <c r="E1975" t="s">
        <v>107</v>
      </c>
      <c r="F1975">
        <f>ventas_libreria[[#This Row],[precio_eur]]/100</f>
        <v>12.51</v>
      </c>
      <c r="G1975">
        <v>1251</v>
      </c>
      <c r="H1975">
        <v>1</v>
      </c>
      <c r="I1975">
        <f>ventas_libreria[[#This Row],[precio]]*ventas_libreria[[#This Row],[cantidad]]</f>
        <v>12.51</v>
      </c>
      <c r="J1975">
        <v>12</v>
      </c>
      <c r="K1975" t="s">
        <v>30</v>
      </c>
      <c r="L1975" s="1">
        <v>45886</v>
      </c>
      <c r="M1975" t="s">
        <v>21</v>
      </c>
      <c r="N1975" t="s">
        <v>32</v>
      </c>
      <c r="O1975" t="s">
        <v>33</v>
      </c>
      <c r="P1975" t="s">
        <v>56</v>
      </c>
      <c r="Q1975">
        <v>5</v>
      </c>
      <c r="R1975">
        <f>IF(ventas_libreria[[#This Row],[valoracion_cliente]]="","Sin valoración",ventas_libreria[[#This Row],[valoracion_cliente]])</f>
        <v>5</v>
      </c>
    </row>
    <row r="1976" spans="1:18" x14ac:dyDescent="0.25">
      <c r="A1976" t="s">
        <v>2252</v>
      </c>
      <c r="B1976" t="s">
        <v>461</v>
      </c>
      <c r="C1976" t="s">
        <v>462</v>
      </c>
      <c r="D1976" t="s">
        <v>143</v>
      </c>
      <c r="E1976" t="s">
        <v>116</v>
      </c>
      <c r="F1976">
        <f>ventas_libreria[[#This Row],[precio_eur]]/100</f>
        <v>12.51</v>
      </c>
      <c r="G1976">
        <v>1251</v>
      </c>
      <c r="H1976">
        <v>1</v>
      </c>
      <c r="I1976">
        <f>ventas_libreria[[#This Row],[precio]]*ventas_libreria[[#This Row],[cantidad]]</f>
        <v>12.51</v>
      </c>
      <c r="J1976">
        <v>68</v>
      </c>
      <c r="K1976" t="s">
        <v>38</v>
      </c>
      <c r="L1976" s="1">
        <v>45815</v>
      </c>
      <c r="M1976" t="s">
        <v>31</v>
      </c>
      <c r="N1976" t="s">
        <v>32</v>
      </c>
      <c r="O1976" t="s">
        <v>33</v>
      </c>
      <c r="P1976" t="s">
        <v>84</v>
      </c>
      <c r="R1976" t="str">
        <f>IF(ventas_libreria[[#This Row],[valoracion_cliente]]="","Sin valoración",ventas_libreria[[#This Row],[valoracion_cliente]])</f>
        <v>Sin valoración</v>
      </c>
    </row>
    <row r="1977" spans="1:18" x14ac:dyDescent="0.25">
      <c r="A1977" t="s">
        <v>2253</v>
      </c>
      <c r="B1977" t="s">
        <v>314</v>
      </c>
      <c r="C1977" t="s">
        <v>315</v>
      </c>
      <c r="D1977" t="s">
        <v>217</v>
      </c>
      <c r="E1977" t="s">
        <v>55</v>
      </c>
      <c r="F1977">
        <f>ventas_libreria[[#This Row],[precio_eur]]/100</f>
        <v>16.649999999999999</v>
      </c>
      <c r="G1977">
        <v>1665</v>
      </c>
      <c r="H1977">
        <v>1</v>
      </c>
      <c r="I1977">
        <f>ventas_libreria[[#This Row],[precio]]*ventas_libreria[[#This Row],[cantidad]]</f>
        <v>16.649999999999999</v>
      </c>
      <c r="J1977">
        <v>33</v>
      </c>
      <c r="K1977" t="s">
        <v>38</v>
      </c>
      <c r="L1977" s="1">
        <v>45135</v>
      </c>
      <c r="M1977" t="s">
        <v>43</v>
      </c>
      <c r="N1977" t="s">
        <v>32</v>
      </c>
      <c r="O1977" t="s">
        <v>33</v>
      </c>
      <c r="P1977" t="s">
        <v>34</v>
      </c>
      <c r="Q1977">
        <v>4</v>
      </c>
      <c r="R1977">
        <f>IF(ventas_libreria[[#This Row],[valoracion_cliente]]="","Sin valoración",ventas_libreria[[#This Row],[valoracion_cliente]])</f>
        <v>4</v>
      </c>
    </row>
    <row r="1978" spans="1:18" x14ac:dyDescent="0.25">
      <c r="A1978" t="s">
        <v>2254</v>
      </c>
      <c r="B1978" t="s">
        <v>291</v>
      </c>
      <c r="C1978" t="s">
        <v>292</v>
      </c>
      <c r="D1978" t="s">
        <v>76</v>
      </c>
      <c r="E1978" t="s">
        <v>77</v>
      </c>
      <c r="F1978">
        <f>ventas_libreria[[#This Row],[precio_eur]]/100</f>
        <v>0.99</v>
      </c>
      <c r="G1978">
        <v>99</v>
      </c>
      <c r="H1978">
        <v>2</v>
      </c>
      <c r="I1978">
        <f>ventas_libreria[[#This Row],[precio]]*ventas_libreria[[#This Row],[cantidad]]</f>
        <v>1.98</v>
      </c>
      <c r="J1978">
        <v>8</v>
      </c>
      <c r="K1978" t="s">
        <v>62</v>
      </c>
      <c r="L1978" s="1">
        <v>45245</v>
      </c>
      <c r="M1978" t="s">
        <v>43</v>
      </c>
      <c r="N1978" t="s">
        <v>32</v>
      </c>
      <c r="O1978" t="s">
        <v>33</v>
      </c>
      <c r="P1978" t="s">
        <v>56</v>
      </c>
      <c r="Q1978">
        <v>5</v>
      </c>
      <c r="R1978">
        <f>IF(ventas_libreria[[#This Row],[valoracion_cliente]]="","Sin valoración",ventas_libreria[[#This Row],[valoracion_cliente]])</f>
        <v>5</v>
      </c>
    </row>
    <row r="1979" spans="1:18" x14ac:dyDescent="0.25">
      <c r="A1979" t="s">
        <v>2255</v>
      </c>
      <c r="B1979" t="s">
        <v>296</v>
      </c>
      <c r="C1979" t="s">
        <v>297</v>
      </c>
      <c r="D1979" t="s">
        <v>298</v>
      </c>
      <c r="E1979" t="s">
        <v>154</v>
      </c>
      <c r="F1979">
        <f>ventas_libreria[[#This Row],[precio_eur]]/100</f>
        <v>19.690000000000001</v>
      </c>
      <c r="G1979">
        <v>1969</v>
      </c>
      <c r="H1979">
        <v>1</v>
      </c>
      <c r="I1979">
        <f>ventas_libreria[[#This Row],[precio]]*ventas_libreria[[#This Row],[cantidad]]</f>
        <v>19.690000000000001</v>
      </c>
      <c r="J1979">
        <v>16</v>
      </c>
      <c r="K1979" t="s">
        <v>30</v>
      </c>
      <c r="L1979" s="1">
        <v>45760</v>
      </c>
      <c r="M1979" t="s">
        <v>31</v>
      </c>
      <c r="N1979" t="s">
        <v>32</v>
      </c>
      <c r="O1979" t="s">
        <v>33</v>
      </c>
      <c r="P1979" t="s">
        <v>56</v>
      </c>
      <c r="Q1979">
        <v>4</v>
      </c>
      <c r="R1979">
        <f>IF(ventas_libreria[[#This Row],[valoracion_cliente]]="","Sin valoración",ventas_libreria[[#This Row],[valoracion_cliente]])</f>
        <v>4</v>
      </c>
    </row>
    <row r="1980" spans="1:18" x14ac:dyDescent="0.25">
      <c r="A1980" t="s">
        <v>2256</v>
      </c>
      <c r="B1980" t="s">
        <v>602</v>
      </c>
      <c r="C1980" t="s">
        <v>603</v>
      </c>
      <c r="D1980" t="s">
        <v>217</v>
      </c>
      <c r="E1980" t="s">
        <v>55</v>
      </c>
      <c r="F1980">
        <f>ventas_libreria[[#This Row],[precio_eur]]/100</f>
        <v>16.11</v>
      </c>
      <c r="G1980">
        <v>1611</v>
      </c>
      <c r="H1980">
        <v>2</v>
      </c>
      <c r="I1980">
        <f>ventas_libreria[[#This Row],[precio]]*ventas_libreria[[#This Row],[cantidad]]</f>
        <v>32.22</v>
      </c>
      <c r="J1980">
        <v>32</v>
      </c>
      <c r="K1980" t="s">
        <v>62</v>
      </c>
      <c r="L1980" s="1">
        <v>45886</v>
      </c>
      <c r="M1980" t="s">
        <v>31</v>
      </c>
      <c r="N1980" t="s">
        <v>22</v>
      </c>
      <c r="O1980" t="s">
        <v>23</v>
      </c>
      <c r="P1980" t="s">
        <v>50</v>
      </c>
      <c r="Q1980">
        <v>4</v>
      </c>
      <c r="R1980">
        <f>IF(ventas_libreria[[#This Row],[valoracion_cliente]]="","Sin valoración",ventas_libreria[[#This Row],[valoracion_cliente]])</f>
        <v>4</v>
      </c>
    </row>
    <row r="1981" spans="1:18" x14ac:dyDescent="0.25">
      <c r="A1981" t="s">
        <v>2257</v>
      </c>
      <c r="B1981" t="s">
        <v>146</v>
      </c>
      <c r="C1981" t="s">
        <v>147</v>
      </c>
      <c r="D1981" t="s">
        <v>148</v>
      </c>
      <c r="E1981" t="s">
        <v>149</v>
      </c>
      <c r="F1981">
        <f>ventas_libreria[[#This Row],[precio_eur]]/100</f>
        <v>1.67</v>
      </c>
      <c r="G1981">
        <v>167</v>
      </c>
      <c r="H1981">
        <v>1</v>
      </c>
      <c r="I1981">
        <f>ventas_libreria[[#This Row],[precio]]*ventas_libreria[[#This Row],[cantidad]]</f>
        <v>1.67</v>
      </c>
      <c r="J1981">
        <v>35</v>
      </c>
      <c r="K1981" t="s">
        <v>20</v>
      </c>
      <c r="L1981" s="1">
        <v>45130</v>
      </c>
      <c r="M1981" t="s">
        <v>31</v>
      </c>
      <c r="N1981" t="s">
        <v>22</v>
      </c>
      <c r="O1981" t="s">
        <v>98</v>
      </c>
      <c r="P1981" t="s">
        <v>56</v>
      </c>
      <c r="Q1981">
        <v>5</v>
      </c>
      <c r="R1981">
        <f>IF(ventas_libreria[[#This Row],[valoracion_cliente]]="","Sin valoración",ventas_libreria[[#This Row],[valoracion_cliente]])</f>
        <v>5</v>
      </c>
    </row>
    <row r="1982" spans="1:18" x14ac:dyDescent="0.25">
      <c r="A1982" t="s">
        <v>2258</v>
      </c>
      <c r="B1982" t="s">
        <v>169</v>
      </c>
      <c r="C1982" t="s">
        <v>170</v>
      </c>
      <c r="D1982" t="s">
        <v>171</v>
      </c>
      <c r="E1982" t="s">
        <v>172</v>
      </c>
      <c r="F1982">
        <f>ventas_libreria[[#This Row],[precio_eur]]/100</f>
        <v>2.29</v>
      </c>
      <c r="G1982">
        <v>229</v>
      </c>
      <c r="H1982">
        <v>1</v>
      </c>
      <c r="I1982">
        <f>ventas_libreria[[#This Row],[precio]]*ventas_libreria[[#This Row],[cantidad]]</f>
        <v>2.29</v>
      </c>
      <c r="J1982">
        <v>56</v>
      </c>
      <c r="K1982" t="s">
        <v>62</v>
      </c>
      <c r="L1982" s="1">
        <v>45493</v>
      </c>
      <c r="M1982" t="s">
        <v>21</v>
      </c>
      <c r="N1982" t="s">
        <v>32</v>
      </c>
      <c r="O1982" t="s">
        <v>33</v>
      </c>
      <c r="P1982" t="s">
        <v>56</v>
      </c>
      <c r="Q1982">
        <v>4</v>
      </c>
      <c r="R1982">
        <f>IF(ventas_libreria[[#This Row],[valoracion_cliente]]="","Sin valoración",ventas_libreria[[#This Row],[valoracion_cliente]])</f>
        <v>4</v>
      </c>
    </row>
    <row r="1983" spans="1:18" x14ac:dyDescent="0.25">
      <c r="A1983" t="s">
        <v>2259</v>
      </c>
      <c r="B1983" t="s">
        <v>156</v>
      </c>
      <c r="C1983" t="s">
        <v>157</v>
      </c>
      <c r="D1983" t="s">
        <v>158</v>
      </c>
      <c r="E1983" t="s">
        <v>149</v>
      </c>
      <c r="F1983">
        <f>ventas_libreria[[#This Row],[precio_eur]]/100</f>
        <v>20.79</v>
      </c>
      <c r="G1983">
        <v>2079</v>
      </c>
      <c r="H1983">
        <v>1</v>
      </c>
      <c r="I1983">
        <f>ventas_libreria[[#This Row],[precio]]*ventas_libreria[[#This Row],[cantidad]]</f>
        <v>20.79</v>
      </c>
      <c r="J1983">
        <v>47</v>
      </c>
      <c r="K1983" t="s">
        <v>62</v>
      </c>
      <c r="L1983" s="1">
        <v>45658</v>
      </c>
      <c r="M1983" t="s">
        <v>31</v>
      </c>
      <c r="N1983" t="s">
        <v>32</v>
      </c>
      <c r="O1983" t="s">
        <v>33</v>
      </c>
      <c r="P1983" t="s">
        <v>56</v>
      </c>
      <c r="Q1983">
        <v>5</v>
      </c>
      <c r="R1983">
        <f>IF(ventas_libreria[[#This Row],[valoracion_cliente]]="","Sin valoración",ventas_libreria[[#This Row],[valoracion_cliente]])</f>
        <v>5</v>
      </c>
    </row>
    <row r="1984" spans="1:18" x14ac:dyDescent="0.25">
      <c r="A1984" t="s">
        <v>2260</v>
      </c>
      <c r="B1984" t="s">
        <v>95</v>
      </c>
      <c r="C1984" t="s">
        <v>96</v>
      </c>
      <c r="D1984" t="s">
        <v>97</v>
      </c>
      <c r="E1984" t="s">
        <v>29</v>
      </c>
      <c r="F1984">
        <f>ventas_libreria[[#This Row],[precio_eur]]/100</f>
        <v>18.79</v>
      </c>
      <c r="G1984">
        <v>1879</v>
      </c>
      <c r="H1984">
        <v>2</v>
      </c>
      <c r="I1984">
        <f>ventas_libreria[[#This Row],[precio]]*ventas_libreria[[#This Row],[cantidad]]</f>
        <v>37.58</v>
      </c>
      <c r="J1984">
        <v>59</v>
      </c>
      <c r="K1984" t="s">
        <v>62</v>
      </c>
      <c r="L1984" s="1">
        <v>45640</v>
      </c>
      <c r="M1984" t="s">
        <v>43</v>
      </c>
      <c r="N1984" t="s">
        <v>32</v>
      </c>
      <c r="O1984" t="s">
        <v>33</v>
      </c>
      <c r="P1984" t="s">
        <v>84</v>
      </c>
      <c r="Q1984">
        <v>4</v>
      </c>
      <c r="R1984">
        <f>IF(ventas_libreria[[#This Row],[valoracion_cliente]]="","Sin valoración",ventas_libreria[[#This Row],[valoracion_cliente]])</f>
        <v>4</v>
      </c>
    </row>
    <row r="1985" spans="1:18" x14ac:dyDescent="0.25">
      <c r="A1985" t="s">
        <v>2261</v>
      </c>
      <c r="B1985" t="s">
        <v>273</v>
      </c>
      <c r="C1985" t="s">
        <v>274</v>
      </c>
      <c r="D1985" t="s">
        <v>262</v>
      </c>
      <c r="E1985" t="s">
        <v>263</v>
      </c>
      <c r="F1985">
        <f>ventas_libreria[[#This Row],[precio_eur]]/100</f>
        <v>2.19</v>
      </c>
      <c r="G1985">
        <v>219</v>
      </c>
      <c r="H1985">
        <v>1</v>
      </c>
      <c r="I1985">
        <f>ventas_libreria[[#This Row],[precio]]*ventas_libreria[[#This Row],[cantidad]]</f>
        <v>2.19</v>
      </c>
      <c r="J1985">
        <v>19</v>
      </c>
      <c r="K1985" t="s">
        <v>30</v>
      </c>
      <c r="L1985" s="1">
        <v>45940</v>
      </c>
      <c r="M1985" t="s">
        <v>31</v>
      </c>
      <c r="N1985" t="s">
        <v>22</v>
      </c>
      <c r="O1985" t="s">
        <v>132</v>
      </c>
      <c r="P1985" t="s">
        <v>34</v>
      </c>
      <c r="Q1985">
        <v>5</v>
      </c>
      <c r="R1985">
        <f>IF(ventas_libreria[[#This Row],[valoracion_cliente]]="","Sin valoración",ventas_libreria[[#This Row],[valoracion_cliente]])</f>
        <v>5</v>
      </c>
    </row>
    <row r="1986" spans="1:18" x14ac:dyDescent="0.25">
      <c r="A1986" t="s">
        <v>2262</v>
      </c>
      <c r="B1986" t="s">
        <v>398</v>
      </c>
      <c r="C1986" t="s">
        <v>399</v>
      </c>
      <c r="D1986" t="s">
        <v>167</v>
      </c>
      <c r="E1986" t="s">
        <v>61</v>
      </c>
      <c r="F1986">
        <f>ventas_libreria[[#This Row],[precio_eur]]/100</f>
        <v>1.69</v>
      </c>
      <c r="G1986">
        <v>169</v>
      </c>
      <c r="H1986">
        <v>1</v>
      </c>
      <c r="I1986">
        <f>ventas_libreria[[#This Row],[precio]]*ventas_libreria[[#This Row],[cantidad]]</f>
        <v>1.69</v>
      </c>
      <c r="J1986">
        <v>73</v>
      </c>
      <c r="K1986" t="s">
        <v>62</v>
      </c>
      <c r="L1986" s="1">
        <v>45040</v>
      </c>
      <c r="M1986" t="s">
        <v>31</v>
      </c>
      <c r="N1986" t="s">
        <v>32</v>
      </c>
      <c r="O1986" t="s">
        <v>33</v>
      </c>
      <c r="P1986" t="s">
        <v>50</v>
      </c>
      <c r="Q1986">
        <v>5</v>
      </c>
      <c r="R1986">
        <f>IF(ventas_libreria[[#This Row],[valoracion_cliente]]="","Sin valoración",ventas_libreria[[#This Row],[valoracion_cliente]])</f>
        <v>5</v>
      </c>
    </row>
    <row r="1987" spans="1:18" x14ac:dyDescent="0.25">
      <c r="A1987" t="s">
        <v>2263</v>
      </c>
      <c r="B1987" t="s">
        <v>413</v>
      </c>
      <c r="C1987" t="s">
        <v>414</v>
      </c>
      <c r="D1987" t="s">
        <v>270</v>
      </c>
      <c r="E1987" t="s">
        <v>415</v>
      </c>
      <c r="F1987">
        <f>ventas_libreria[[#This Row],[precio_eur]]/100</f>
        <v>0.99</v>
      </c>
      <c r="G1987">
        <v>99</v>
      </c>
      <c r="H1987">
        <v>1</v>
      </c>
      <c r="I1987">
        <f>ventas_libreria[[#This Row],[precio]]*ventas_libreria[[#This Row],[cantidad]]</f>
        <v>0.99</v>
      </c>
      <c r="J1987">
        <v>44</v>
      </c>
      <c r="K1987" t="s">
        <v>38</v>
      </c>
      <c r="L1987" s="1">
        <v>45934</v>
      </c>
      <c r="M1987" t="s">
        <v>43</v>
      </c>
      <c r="N1987" t="s">
        <v>32</v>
      </c>
      <c r="O1987" t="s">
        <v>33</v>
      </c>
      <c r="P1987" t="s">
        <v>50</v>
      </c>
      <c r="Q1987">
        <v>4</v>
      </c>
      <c r="R1987">
        <f>IF(ventas_libreria[[#This Row],[valoracion_cliente]]="","Sin valoración",ventas_libreria[[#This Row],[valoracion_cliente]])</f>
        <v>4</v>
      </c>
    </row>
    <row r="1988" spans="1:18" x14ac:dyDescent="0.25">
      <c r="A1988" t="s">
        <v>2264</v>
      </c>
      <c r="B1988" t="s">
        <v>508</v>
      </c>
      <c r="C1988" t="s">
        <v>509</v>
      </c>
      <c r="D1988" t="s">
        <v>199</v>
      </c>
      <c r="E1988" t="s">
        <v>55</v>
      </c>
      <c r="F1988">
        <f>ventas_libreria[[#This Row],[precio_eur]]/100</f>
        <v>1.89</v>
      </c>
      <c r="G1988">
        <v>189</v>
      </c>
      <c r="H1988">
        <v>1</v>
      </c>
      <c r="I1988">
        <f>ventas_libreria[[#This Row],[precio]]*ventas_libreria[[#This Row],[cantidad]]</f>
        <v>1.89</v>
      </c>
      <c r="J1988">
        <v>61</v>
      </c>
      <c r="K1988" t="s">
        <v>30</v>
      </c>
      <c r="L1988" s="1">
        <v>45172</v>
      </c>
      <c r="M1988" t="s">
        <v>43</v>
      </c>
      <c r="N1988" t="s">
        <v>32</v>
      </c>
      <c r="O1988" t="s">
        <v>33</v>
      </c>
      <c r="P1988" t="s">
        <v>24</v>
      </c>
      <c r="Q1988">
        <v>5</v>
      </c>
      <c r="R1988">
        <f>IF(ventas_libreria[[#This Row],[valoracion_cliente]]="","Sin valoración",ventas_libreria[[#This Row],[valoracion_cliente]])</f>
        <v>5</v>
      </c>
    </row>
    <row r="1989" spans="1:18" x14ac:dyDescent="0.25">
      <c r="A1989" t="s">
        <v>2265</v>
      </c>
      <c r="B1989" t="s">
        <v>338</v>
      </c>
      <c r="C1989" t="s">
        <v>339</v>
      </c>
      <c r="D1989" t="s">
        <v>167</v>
      </c>
      <c r="E1989" t="s">
        <v>61</v>
      </c>
      <c r="F1989">
        <f>ventas_libreria[[#This Row],[precio_eur]]/100</f>
        <v>2.29</v>
      </c>
      <c r="G1989">
        <v>229</v>
      </c>
      <c r="H1989">
        <v>1</v>
      </c>
      <c r="I1989">
        <f>ventas_libreria[[#This Row],[precio]]*ventas_libreria[[#This Row],[cantidad]]</f>
        <v>2.29</v>
      </c>
      <c r="J1989">
        <v>33</v>
      </c>
      <c r="K1989" t="s">
        <v>62</v>
      </c>
      <c r="L1989" s="1">
        <v>45005</v>
      </c>
      <c r="M1989" t="s">
        <v>31</v>
      </c>
      <c r="N1989" t="s">
        <v>22</v>
      </c>
      <c r="O1989" t="s">
        <v>49</v>
      </c>
      <c r="P1989" t="s">
        <v>56</v>
      </c>
      <c r="Q1989">
        <v>2</v>
      </c>
      <c r="R1989">
        <f>IF(ventas_libreria[[#This Row],[valoracion_cliente]]="","Sin valoración",ventas_libreria[[#This Row],[valoracion_cliente]])</f>
        <v>2</v>
      </c>
    </row>
    <row r="1990" spans="1:18" x14ac:dyDescent="0.25">
      <c r="A1990" t="s">
        <v>2266</v>
      </c>
      <c r="B1990" t="s">
        <v>45</v>
      </c>
      <c r="C1990" t="s">
        <v>46</v>
      </c>
      <c r="D1990" t="s">
        <v>47</v>
      </c>
      <c r="E1990" t="s">
        <v>48</v>
      </c>
      <c r="F1990">
        <f>ventas_libreria[[#This Row],[precio_eur]]/100</f>
        <v>15.92</v>
      </c>
      <c r="G1990">
        <v>1592</v>
      </c>
      <c r="H1990">
        <v>4</v>
      </c>
      <c r="I1990">
        <f>ventas_libreria[[#This Row],[precio]]*ventas_libreria[[#This Row],[cantidad]]</f>
        <v>63.68</v>
      </c>
      <c r="J1990">
        <v>30</v>
      </c>
      <c r="K1990" t="s">
        <v>20</v>
      </c>
      <c r="L1990" s="1">
        <v>45514</v>
      </c>
      <c r="M1990" t="s">
        <v>31</v>
      </c>
      <c r="N1990" t="s">
        <v>32</v>
      </c>
      <c r="O1990" t="s">
        <v>33</v>
      </c>
      <c r="P1990" t="s">
        <v>50</v>
      </c>
      <c r="Q1990">
        <v>5</v>
      </c>
      <c r="R1990">
        <f>IF(ventas_libreria[[#This Row],[valoracion_cliente]]="","Sin valoración",ventas_libreria[[#This Row],[valoracion_cliente]])</f>
        <v>5</v>
      </c>
    </row>
    <row r="1991" spans="1:18" x14ac:dyDescent="0.25">
      <c r="A1991" t="s">
        <v>2267</v>
      </c>
      <c r="B1991" t="s">
        <v>134</v>
      </c>
      <c r="C1991" t="s">
        <v>135</v>
      </c>
      <c r="D1991" t="s">
        <v>106</v>
      </c>
      <c r="E1991" t="s">
        <v>107</v>
      </c>
      <c r="F1991">
        <f>ventas_libreria[[#This Row],[precio_eur]]/100</f>
        <v>13.41</v>
      </c>
      <c r="G1991">
        <v>1341</v>
      </c>
      <c r="H1991">
        <v>1</v>
      </c>
      <c r="I1991">
        <f>ventas_libreria[[#This Row],[precio]]*ventas_libreria[[#This Row],[cantidad]]</f>
        <v>13.41</v>
      </c>
      <c r="J1991">
        <v>11</v>
      </c>
      <c r="K1991" t="s">
        <v>38</v>
      </c>
      <c r="L1991" s="1">
        <v>45163</v>
      </c>
      <c r="M1991" t="s">
        <v>21</v>
      </c>
      <c r="N1991" t="s">
        <v>22</v>
      </c>
      <c r="O1991" t="s">
        <v>23</v>
      </c>
      <c r="P1991" t="s">
        <v>56</v>
      </c>
      <c r="Q1991">
        <v>3</v>
      </c>
      <c r="R1991">
        <f>IF(ventas_libreria[[#This Row],[valoracion_cliente]]="","Sin valoración",ventas_libreria[[#This Row],[valoracion_cliente]])</f>
        <v>3</v>
      </c>
    </row>
    <row r="1992" spans="1:18" x14ac:dyDescent="0.25">
      <c r="A1992" t="s">
        <v>2268</v>
      </c>
      <c r="B1992" t="s">
        <v>113</v>
      </c>
      <c r="C1992" t="s">
        <v>114</v>
      </c>
      <c r="D1992" t="s">
        <v>115</v>
      </c>
      <c r="E1992" t="s">
        <v>116</v>
      </c>
      <c r="F1992">
        <f>ventas_libreria[[#This Row],[precio_eur]]/100</f>
        <v>1.39</v>
      </c>
      <c r="G1992">
        <v>139</v>
      </c>
      <c r="H1992">
        <v>2</v>
      </c>
      <c r="I1992">
        <f>ventas_libreria[[#This Row],[precio]]*ventas_libreria[[#This Row],[cantidad]]</f>
        <v>2.78</v>
      </c>
      <c r="J1992">
        <v>56</v>
      </c>
      <c r="K1992" t="s">
        <v>38</v>
      </c>
      <c r="L1992" s="1">
        <v>45358</v>
      </c>
      <c r="M1992" t="s">
        <v>43</v>
      </c>
      <c r="N1992" t="s">
        <v>32</v>
      </c>
      <c r="O1992" t="s">
        <v>33</v>
      </c>
      <c r="P1992" t="s">
        <v>50</v>
      </c>
      <c r="Q1992">
        <v>4</v>
      </c>
      <c r="R1992">
        <f>IF(ventas_libreria[[#This Row],[valoracion_cliente]]="","Sin valoración",ventas_libreria[[#This Row],[valoracion_cliente]])</f>
        <v>4</v>
      </c>
    </row>
    <row r="1993" spans="1:18" x14ac:dyDescent="0.25">
      <c r="A1993" t="s">
        <v>2269</v>
      </c>
      <c r="B1993" t="s">
        <v>95</v>
      </c>
      <c r="C1993" t="s">
        <v>96</v>
      </c>
      <c r="D1993" t="s">
        <v>97</v>
      </c>
      <c r="E1993" t="s">
        <v>29</v>
      </c>
      <c r="F1993">
        <f>ventas_libreria[[#This Row],[precio_eur]]/100</f>
        <v>19.690000000000001</v>
      </c>
      <c r="G1993">
        <v>1969</v>
      </c>
      <c r="H1993">
        <v>1</v>
      </c>
      <c r="I1993">
        <f>ventas_libreria[[#This Row],[precio]]*ventas_libreria[[#This Row],[cantidad]]</f>
        <v>19.690000000000001</v>
      </c>
      <c r="J1993">
        <v>59</v>
      </c>
      <c r="K1993" t="s">
        <v>62</v>
      </c>
      <c r="L1993" s="1">
        <v>45541</v>
      </c>
      <c r="M1993" t="s">
        <v>21</v>
      </c>
      <c r="N1993" t="s">
        <v>22</v>
      </c>
      <c r="O1993" t="s">
        <v>49</v>
      </c>
      <c r="P1993" t="s">
        <v>84</v>
      </c>
      <c r="Q1993">
        <v>4</v>
      </c>
      <c r="R1993">
        <f>IF(ventas_libreria[[#This Row],[valoracion_cliente]]="","Sin valoración",ventas_libreria[[#This Row],[valoracion_cliente]])</f>
        <v>4</v>
      </c>
    </row>
    <row r="1994" spans="1:18" x14ac:dyDescent="0.25">
      <c r="A1994" t="s">
        <v>2270</v>
      </c>
      <c r="B1994" t="s">
        <v>36</v>
      </c>
      <c r="C1994" t="s">
        <v>37</v>
      </c>
      <c r="D1994" t="s">
        <v>28</v>
      </c>
      <c r="E1994" t="s">
        <v>29</v>
      </c>
      <c r="F1994">
        <f>ventas_libreria[[#This Row],[precio_eur]]/100</f>
        <v>20.79</v>
      </c>
      <c r="G1994">
        <v>2079</v>
      </c>
      <c r="H1994">
        <v>1</v>
      </c>
      <c r="I1994">
        <f>ventas_libreria[[#This Row],[precio]]*ventas_libreria[[#This Row],[cantidad]]</f>
        <v>20.79</v>
      </c>
      <c r="J1994">
        <v>44</v>
      </c>
      <c r="K1994" t="s">
        <v>62</v>
      </c>
      <c r="L1994" s="1">
        <v>45427</v>
      </c>
      <c r="M1994" t="s">
        <v>43</v>
      </c>
      <c r="N1994" t="s">
        <v>32</v>
      </c>
      <c r="O1994" t="s">
        <v>33</v>
      </c>
      <c r="P1994" t="s">
        <v>50</v>
      </c>
      <c r="Q1994">
        <v>4</v>
      </c>
      <c r="R1994">
        <f>IF(ventas_libreria[[#This Row],[valoracion_cliente]]="","Sin valoración",ventas_libreria[[#This Row],[valoracion_cliente]])</f>
        <v>4</v>
      </c>
    </row>
    <row r="1995" spans="1:18" x14ac:dyDescent="0.25">
      <c r="A1995" t="s">
        <v>2271</v>
      </c>
      <c r="B1995" t="s">
        <v>186</v>
      </c>
      <c r="C1995" t="s">
        <v>187</v>
      </c>
      <c r="D1995" t="s">
        <v>188</v>
      </c>
      <c r="E1995" t="s">
        <v>189</v>
      </c>
      <c r="F1995">
        <f>ventas_libreria[[#This Row],[precio_eur]]/100</f>
        <v>1.99</v>
      </c>
      <c r="G1995">
        <v>199</v>
      </c>
      <c r="H1995">
        <v>1</v>
      </c>
      <c r="I1995">
        <f>ventas_libreria[[#This Row],[precio]]*ventas_libreria[[#This Row],[cantidad]]</f>
        <v>1.99</v>
      </c>
      <c r="J1995">
        <v>43</v>
      </c>
      <c r="K1995" t="s">
        <v>62</v>
      </c>
      <c r="L1995" s="1">
        <v>45117</v>
      </c>
      <c r="M1995" t="s">
        <v>21</v>
      </c>
      <c r="N1995" t="s">
        <v>32</v>
      </c>
      <c r="O1995" t="s">
        <v>33</v>
      </c>
      <c r="P1995" t="s">
        <v>50</v>
      </c>
      <c r="Q1995">
        <v>5</v>
      </c>
      <c r="R1995">
        <f>IF(ventas_libreria[[#This Row],[valoracion_cliente]]="","Sin valoración",ventas_libreria[[#This Row],[valoracion_cliente]])</f>
        <v>5</v>
      </c>
    </row>
    <row r="1996" spans="1:18" x14ac:dyDescent="0.25">
      <c r="A1996" t="s">
        <v>2272</v>
      </c>
      <c r="B1996" t="s">
        <v>365</v>
      </c>
      <c r="C1996" t="s">
        <v>366</v>
      </c>
      <c r="D1996" t="s">
        <v>367</v>
      </c>
      <c r="E1996" t="s">
        <v>19</v>
      </c>
      <c r="F1996">
        <f>ventas_libreria[[#This Row],[precio_eur]]/100</f>
        <v>16.059999999999999</v>
      </c>
      <c r="G1996">
        <v>1606</v>
      </c>
      <c r="H1996">
        <v>1</v>
      </c>
      <c r="I1996">
        <f>ventas_libreria[[#This Row],[precio]]*ventas_libreria[[#This Row],[cantidad]]</f>
        <v>16.059999999999999</v>
      </c>
      <c r="J1996">
        <v>44</v>
      </c>
      <c r="K1996" t="s">
        <v>38</v>
      </c>
      <c r="L1996" s="1">
        <v>45265</v>
      </c>
      <c r="M1996" t="s">
        <v>31</v>
      </c>
      <c r="N1996" t="s">
        <v>32</v>
      </c>
      <c r="O1996" t="s">
        <v>33</v>
      </c>
      <c r="P1996" t="s">
        <v>84</v>
      </c>
      <c r="Q1996">
        <v>4</v>
      </c>
      <c r="R1996">
        <f>IF(ventas_libreria[[#This Row],[valoracion_cliente]]="","Sin valoración",ventas_libreria[[#This Row],[valoracion_cliente]])</f>
        <v>4</v>
      </c>
    </row>
    <row r="1997" spans="1:18" x14ac:dyDescent="0.25">
      <c r="A1997" t="s">
        <v>2273</v>
      </c>
      <c r="B1997" t="s">
        <v>109</v>
      </c>
      <c r="C1997" t="s">
        <v>110</v>
      </c>
      <c r="D1997" t="s">
        <v>111</v>
      </c>
      <c r="E1997" t="s">
        <v>55</v>
      </c>
      <c r="F1997">
        <f>ventas_libreria[[#This Row],[precio_eur]]/100</f>
        <v>16.91</v>
      </c>
      <c r="G1997">
        <v>1691</v>
      </c>
      <c r="H1997">
        <v>1</v>
      </c>
      <c r="I1997">
        <f>ventas_libreria[[#This Row],[precio]]*ventas_libreria[[#This Row],[cantidad]]</f>
        <v>16.91</v>
      </c>
      <c r="J1997">
        <v>27</v>
      </c>
      <c r="K1997" t="s">
        <v>20</v>
      </c>
      <c r="L1997" s="1">
        <v>45748</v>
      </c>
      <c r="M1997" t="s">
        <v>31</v>
      </c>
      <c r="N1997" t="s">
        <v>32</v>
      </c>
      <c r="O1997" t="s">
        <v>33</v>
      </c>
      <c r="P1997" t="s">
        <v>56</v>
      </c>
      <c r="Q1997">
        <v>5</v>
      </c>
      <c r="R1997">
        <f>IF(ventas_libreria[[#This Row],[valoracion_cliente]]="","Sin valoración",ventas_libreria[[#This Row],[valoracion_cliente]])</f>
        <v>5</v>
      </c>
    </row>
    <row r="1998" spans="1:18" x14ac:dyDescent="0.25">
      <c r="A1998" t="s">
        <v>2274</v>
      </c>
      <c r="B1998" t="s">
        <v>224</v>
      </c>
      <c r="C1998" t="s">
        <v>225</v>
      </c>
      <c r="D1998" t="s">
        <v>226</v>
      </c>
      <c r="E1998" t="s">
        <v>116</v>
      </c>
      <c r="F1998">
        <f>ventas_libreria[[#This Row],[precio_eur]]/100</f>
        <v>22.41</v>
      </c>
      <c r="G1998">
        <v>2241</v>
      </c>
      <c r="H1998">
        <v>1</v>
      </c>
      <c r="I1998">
        <f>ventas_libreria[[#This Row],[precio]]*ventas_libreria[[#This Row],[cantidad]]</f>
        <v>22.41</v>
      </c>
      <c r="J1998">
        <v>32</v>
      </c>
      <c r="K1998" t="s">
        <v>20</v>
      </c>
      <c r="L1998" s="1">
        <v>45314</v>
      </c>
      <c r="M1998" t="s">
        <v>43</v>
      </c>
      <c r="N1998" t="s">
        <v>32</v>
      </c>
      <c r="O1998" t="s">
        <v>33</v>
      </c>
      <c r="P1998" t="s">
        <v>24</v>
      </c>
      <c r="Q1998">
        <v>5</v>
      </c>
      <c r="R1998">
        <f>IF(ventas_libreria[[#This Row],[valoracion_cliente]]="","Sin valoración",ventas_libreria[[#This Row],[valoracion_cliente]])</f>
        <v>5</v>
      </c>
    </row>
    <row r="1999" spans="1:18" x14ac:dyDescent="0.25">
      <c r="A1999" t="s">
        <v>2275</v>
      </c>
      <c r="B1999" t="s">
        <v>104</v>
      </c>
      <c r="C1999" t="s">
        <v>105</v>
      </c>
      <c r="D1999" t="s">
        <v>106</v>
      </c>
      <c r="E1999" t="s">
        <v>107</v>
      </c>
      <c r="F1999">
        <f>ventas_libreria[[#This Row],[precio_eur]]/100</f>
        <v>16.39</v>
      </c>
      <c r="G1999">
        <v>1639</v>
      </c>
      <c r="H1999">
        <v>2</v>
      </c>
      <c r="I1999">
        <f>ventas_libreria[[#This Row],[precio]]*ventas_libreria[[#This Row],[cantidad]]</f>
        <v>32.78</v>
      </c>
      <c r="J1999">
        <v>21</v>
      </c>
      <c r="K1999" t="s">
        <v>62</v>
      </c>
      <c r="L1999" s="1">
        <v>45494</v>
      </c>
      <c r="M1999" t="s">
        <v>21</v>
      </c>
      <c r="N1999" t="s">
        <v>32</v>
      </c>
      <c r="O1999" t="s">
        <v>33</v>
      </c>
      <c r="P1999" t="s">
        <v>84</v>
      </c>
      <c r="Q1999">
        <v>5</v>
      </c>
      <c r="R1999">
        <f>IF(ventas_libreria[[#This Row],[valoracion_cliente]]="","Sin valoración",ventas_libreria[[#This Row],[valoracion_cliente]])</f>
        <v>5</v>
      </c>
    </row>
    <row r="2000" spans="1:18" x14ac:dyDescent="0.25">
      <c r="A2000" t="s">
        <v>2276</v>
      </c>
      <c r="B2000" t="s">
        <v>240</v>
      </c>
      <c r="C2000" t="s">
        <v>241</v>
      </c>
      <c r="D2000" t="s">
        <v>54</v>
      </c>
      <c r="E2000" t="s">
        <v>172</v>
      </c>
      <c r="F2000">
        <f>ventas_libreria[[#This Row],[precio_eur]]/100</f>
        <v>16.39</v>
      </c>
      <c r="G2000">
        <v>1639</v>
      </c>
      <c r="H2000">
        <v>1</v>
      </c>
      <c r="I2000">
        <f>ventas_libreria[[#This Row],[precio]]*ventas_libreria[[#This Row],[cantidad]]</f>
        <v>16.39</v>
      </c>
      <c r="J2000">
        <v>19</v>
      </c>
      <c r="K2000" t="s">
        <v>62</v>
      </c>
      <c r="L2000" s="1">
        <v>45699</v>
      </c>
      <c r="M2000" t="s">
        <v>43</v>
      </c>
      <c r="N2000" t="s">
        <v>32</v>
      </c>
      <c r="O2000" t="s">
        <v>33</v>
      </c>
      <c r="P2000" t="s">
        <v>50</v>
      </c>
      <c r="Q2000">
        <v>3</v>
      </c>
      <c r="R2000">
        <f>IF(ventas_libreria[[#This Row],[valoracion_cliente]]="","Sin valoración",ventas_libreria[[#This Row],[valoracion_cliente]])</f>
        <v>3</v>
      </c>
    </row>
    <row r="2001" spans="1:18" x14ac:dyDescent="0.25">
      <c r="A2001" t="s">
        <v>2277</v>
      </c>
      <c r="B2001" t="s">
        <v>413</v>
      </c>
      <c r="C2001" t="s">
        <v>414</v>
      </c>
      <c r="D2001" t="s">
        <v>270</v>
      </c>
      <c r="E2001" t="s">
        <v>415</v>
      </c>
      <c r="F2001">
        <f>ventas_libreria[[#This Row],[precio_eur]]/100</f>
        <v>8.42</v>
      </c>
      <c r="G2001">
        <v>842</v>
      </c>
      <c r="H2001">
        <v>1</v>
      </c>
      <c r="I2001">
        <f>ventas_libreria[[#This Row],[precio]]*ventas_libreria[[#This Row],[cantidad]]</f>
        <v>8.42</v>
      </c>
      <c r="J2001">
        <v>35</v>
      </c>
      <c r="K2001" t="s">
        <v>20</v>
      </c>
      <c r="L2001" s="1">
        <v>45123</v>
      </c>
      <c r="M2001" t="s">
        <v>21</v>
      </c>
      <c r="N2001" t="s">
        <v>22</v>
      </c>
      <c r="O2001" t="s">
        <v>132</v>
      </c>
      <c r="P2001" t="s">
        <v>56</v>
      </c>
      <c r="Q2001">
        <v>1</v>
      </c>
      <c r="R2001">
        <f>IF(ventas_libreria[[#This Row],[valoracion_cliente]]="","Sin valoración",ventas_libreria[[#This Row],[valoracion_cliente]])</f>
        <v>1</v>
      </c>
    </row>
    <row r="2002" spans="1:18" x14ac:dyDescent="0.25">
      <c r="A2002" t="s">
        <v>2278</v>
      </c>
      <c r="B2002" t="s">
        <v>327</v>
      </c>
      <c r="C2002" t="s">
        <v>328</v>
      </c>
      <c r="D2002" t="s">
        <v>288</v>
      </c>
      <c r="E2002" t="s">
        <v>289</v>
      </c>
      <c r="F2002">
        <f>ventas_libreria[[#This Row],[precio_eur]]/100</f>
        <v>19.46</v>
      </c>
      <c r="G2002">
        <v>1946</v>
      </c>
      <c r="H2002">
        <v>1</v>
      </c>
      <c r="I2002">
        <f>ventas_libreria[[#This Row],[precio]]*ventas_libreria[[#This Row],[cantidad]]</f>
        <v>19.46</v>
      </c>
      <c r="J2002">
        <v>74</v>
      </c>
      <c r="K2002" t="s">
        <v>30</v>
      </c>
      <c r="L2002" s="1">
        <v>45392</v>
      </c>
      <c r="M2002" t="s">
        <v>31</v>
      </c>
      <c r="N2002" t="s">
        <v>32</v>
      </c>
      <c r="O2002" t="s">
        <v>33</v>
      </c>
      <c r="P2002" t="s">
        <v>24</v>
      </c>
      <c r="R2002" t="str">
        <f>IF(ventas_libreria[[#This Row],[valoracion_cliente]]="","Sin valoración",ventas_libreria[[#This Row],[valoracion_cliente]])</f>
        <v>Sin valoración</v>
      </c>
    </row>
    <row r="2003" spans="1:18" x14ac:dyDescent="0.25">
      <c r="A2003" t="s">
        <v>2279</v>
      </c>
      <c r="B2003" t="s">
        <v>160</v>
      </c>
      <c r="C2003" t="s">
        <v>161</v>
      </c>
      <c r="D2003" t="s">
        <v>162</v>
      </c>
      <c r="E2003" t="s">
        <v>29</v>
      </c>
      <c r="F2003">
        <f>ventas_libreria[[#This Row],[precio_eur]]/100</f>
        <v>15.21</v>
      </c>
      <c r="G2003">
        <v>1521</v>
      </c>
      <c r="H2003">
        <v>1</v>
      </c>
      <c r="I2003">
        <f>ventas_libreria[[#This Row],[precio]]*ventas_libreria[[#This Row],[cantidad]]</f>
        <v>15.21</v>
      </c>
      <c r="J2003">
        <v>41</v>
      </c>
      <c r="K2003" t="s">
        <v>20</v>
      </c>
      <c r="L2003" s="1">
        <v>45554</v>
      </c>
      <c r="M2003" t="s">
        <v>43</v>
      </c>
      <c r="N2003" t="s">
        <v>32</v>
      </c>
      <c r="O2003" t="s">
        <v>33</v>
      </c>
      <c r="P2003" t="s">
        <v>84</v>
      </c>
      <c r="Q2003">
        <v>4</v>
      </c>
      <c r="R2003">
        <f>IF(ventas_libreria[[#This Row],[valoracion_cliente]]="","Sin valoración",ventas_libreria[[#This Row],[valoracion_cliente]])</f>
        <v>4</v>
      </c>
    </row>
    <row r="2004" spans="1:18" x14ac:dyDescent="0.25">
      <c r="A2004" t="s">
        <v>2280</v>
      </c>
      <c r="B2004" t="s">
        <v>224</v>
      </c>
      <c r="C2004" t="s">
        <v>225</v>
      </c>
      <c r="D2004" t="s">
        <v>226</v>
      </c>
      <c r="E2004" t="s">
        <v>116</v>
      </c>
      <c r="F2004">
        <f>ventas_libreria[[#This Row],[precio_eur]]/100</f>
        <v>2.4900000000000002</v>
      </c>
      <c r="G2004">
        <v>249</v>
      </c>
      <c r="H2004">
        <v>1</v>
      </c>
      <c r="I2004">
        <f>ventas_libreria[[#This Row],[precio]]*ventas_libreria[[#This Row],[cantidad]]</f>
        <v>2.4900000000000002</v>
      </c>
      <c r="J2004">
        <v>34</v>
      </c>
      <c r="K2004" t="s">
        <v>20</v>
      </c>
      <c r="L2004" s="1">
        <v>45852</v>
      </c>
      <c r="M2004" t="s">
        <v>31</v>
      </c>
      <c r="N2004" t="s">
        <v>22</v>
      </c>
      <c r="O2004" t="s">
        <v>132</v>
      </c>
      <c r="P2004" t="s">
        <v>34</v>
      </c>
      <c r="Q2004">
        <v>5</v>
      </c>
      <c r="R2004">
        <f>IF(ventas_libreria[[#This Row],[valoracion_cliente]]="","Sin valoración",ventas_libreria[[#This Row],[valoracion_cliente]])</f>
        <v>5</v>
      </c>
    </row>
    <row r="2005" spans="1:18" x14ac:dyDescent="0.25">
      <c r="A2005" t="s">
        <v>2281</v>
      </c>
      <c r="B2005" t="s">
        <v>332</v>
      </c>
      <c r="C2005" t="s">
        <v>333</v>
      </c>
      <c r="D2005" t="s">
        <v>334</v>
      </c>
      <c r="E2005" t="s">
        <v>116</v>
      </c>
      <c r="F2005">
        <f>ventas_libreria[[#This Row],[precio_eur]]/100</f>
        <v>1.69</v>
      </c>
      <c r="G2005">
        <v>169</v>
      </c>
      <c r="H2005">
        <v>1</v>
      </c>
      <c r="I2005">
        <f>ventas_libreria[[#This Row],[precio]]*ventas_libreria[[#This Row],[cantidad]]</f>
        <v>1.69</v>
      </c>
      <c r="J2005">
        <v>41</v>
      </c>
      <c r="K2005" t="s">
        <v>30</v>
      </c>
      <c r="L2005" s="1">
        <v>45771</v>
      </c>
      <c r="M2005" t="s">
        <v>31</v>
      </c>
      <c r="N2005" t="s">
        <v>32</v>
      </c>
      <c r="O2005" t="s">
        <v>33</v>
      </c>
      <c r="P2005" t="s">
        <v>50</v>
      </c>
      <c r="Q2005">
        <v>4</v>
      </c>
      <c r="R2005">
        <f>IF(ventas_libreria[[#This Row],[valoracion_cliente]]="","Sin valoración",ventas_libreria[[#This Row],[valoracion_cliente]])</f>
        <v>4</v>
      </c>
    </row>
    <row r="2006" spans="1:18" x14ac:dyDescent="0.25">
      <c r="A2006" t="s">
        <v>2282</v>
      </c>
      <c r="B2006" t="s">
        <v>204</v>
      </c>
      <c r="C2006" t="s">
        <v>205</v>
      </c>
      <c r="D2006" t="s">
        <v>206</v>
      </c>
      <c r="E2006" t="s">
        <v>116</v>
      </c>
      <c r="F2006">
        <f>ventas_libreria[[#This Row],[precio_eur]]/100</f>
        <v>14.19</v>
      </c>
      <c r="G2006">
        <v>1419</v>
      </c>
      <c r="H2006">
        <v>3</v>
      </c>
      <c r="I2006">
        <f>ventas_libreria[[#This Row],[precio]]*ventas_libreria[[#This Row],[cantidad]]</f>
        <v>42.57</v>
      </c>
      <c r="J2006">
        <v>50</v>
      </c>
      <c r="K2006" t="s">
        <v>62</v>
      </c>
      <c r="L2006" s="1">
        <v>45633</v>
      </c>
      <c r="M2006" t="s">
        <v>31</v>
      </c>
      <c r="N2006" t="s">
        <v>22</v>
      </c>
      <c r="O2006" t="s">
        <v>132</v>
      </c>
      <c r="P2006" t="s">
        <v>50</v>
      </c>
      <c r="Q2006">
        <v>5</v>
      </c>
      <c r="R2006">
        <f>IF(ventas_libreria[[#This Row],[valoracion_cliente]]="","Sin valoración",ventas_libreria[[#This Row],[valoracion_cliente]])</f>
        <v>5</v>
      </c>
    </row>
    <row r="2007" spans="1:18" x14ac:dyDescent="0.25">
      <c r="A2007" t="s">
        <v>2283</v>
      </c>
      <c r="B2007" t="s">
        <v>228</v>
      </c>
      <c r="C2007" t="s">
        <v>229</v>
      </c>
      <c r="D2007" t="s">
        <v>206</v>
      </c>
      <c r="E2007" t="s">
        <v>116</v>
      </c>
      <c r="F2007">
        <f>ventas_libreria[[#This Row],[precio_eur]]/100</f>
        <v>15.12</v>
      </c>
      <c r="G2007">
        <v>1512</v>
      </c>
      <c r="H2007">
        <v>2</v>
      </c>
      <c r="I2007">
        <f>ventas_libreria[[#This Row],[precio]]*ventas_libreria[[#This Row],[cantidad]]</f>
        <v>30.24</v>
      </c>
      <c r="J2007">
        <v>42</v>
      </c>
      <c r="K2007" t="s">
        <v>20</v>
      </c>
      <c r="L2007" s="1">
        <v>45475</v>
      </c>
      <c r="M2007" t="s">
        <v>21</v>
      </c>
      <c r="N2007" t="s">
        <v>22</v>
      </c>
      <c r="O2007" t="s">
        <v>132</v>
      </c>
      <c r="P2007" t="s">
        <v>34</v>
      </c>
      <c r="Q2007">
        <v>3</v>
      </c>
      <c r="R2007">
        <f>IF(ventas_libreria[[#This Row],[valoracion_cliente]]="","Sin valoración",ventas_libreria[[#This Row],[valoracion_cliente]])</f>
        <v>3</v>
      </c>
    </row>
    <row r="2008" spans="1:18" x14ac:dyDescent="0.25">
      <c r="A2008" t="s">
        <v>2284</v>
      </c>
      <c r="B2008" t="s">
        <v>291</v>
      </c>
      <c r="C2008" t="s">
        <v>292</v>
      </c>
      <c r="D2008" t="s">
        <v>76</v>
      </c>
      <c r="E2008" t="s">
        <v>77</v>
      </c>
      <c r="F2008">
        <f>ventas_libreria[[#This Row],[precio_eur]]/100</f>
        <v>7.92</v>
      </c>
      <c r="G2008">
        <v>792</v>
      </c>
      <c r="H2008">
        <v>1</v>
      </c>
      <c r="I2008">
        <f>ventas_libreria[[#This Row],[precio]]*ventas_libreria[[#This Row],[cantidad]]</f>
        <v>7.92</v>
      </c>
      <c r="J2008">
        <v>6</v>
      </c>
      <c r="K2008" t="s">
        <v>38</v>
      </c>
      <c r="L2008" s="1">
        <v>45958</v>
      </c>
      <c r="M2008" t="s">
        <v>31</v>
      </c>
      <c r="N2008" t="s">
        <v>22</v>
      </c>
      <c r="O2008" t="s">
        <v>67</v>
      </c>
      <c r="P2008" t="s">
        <v>24</v>
      </c>
      <c r="Q2008">
        <v>4</v>
      </c>
      <c r="R2008">
        <f>IF(ventas_libreria[[#This Row],[valoracion_cliente]]="","Sin valoración",ventas_libreria[[#This Row],[valoracion_cliente]])</f>
        <v>4</v>
      </c>
    </row>
    <row r="2009" spans="1:18" x14ac:dyDescent="0.25">
      <c r="A2009" t="s">
        <v>2285</v>
      </c>
      <c r="B2009" t="s">
        <v>74</v>
      </c>
      <c r="C2009" t="s">
        <v>75</v>
      </c>
      <c r="D2009" t="s">
        <v>76</v>
      </c>
      <c r="E2009" t="s">
        <v>77</v>
      </c>
      <c r="F2009">
        <f>ventas_libreria[[#This Row],[precio_eur]]/100</f>
        <v>12.72</v>
      </c>
      <c r="G2009">
        <v>1272</v>
      </c>
      <c r="H2009">
        <v>1</v>
      </c>
      <c r="I2009">
        <f>ventas_libreria[[#This Row],[precio]]*ventas_libreria[[#This Row],[cantidad]]</f>
        <v>12.72</v>
      </c>
      <c r="J2009">
        <v>11</v>
      </c>
      <c r="K2009" t="s">
        <v>38</v>
      </c>
      <c r="L2009" s="1">
        <v>45488</v>
      </c>
      <c r="M2009" t="s">
        <v>43</v>
      </c>
      <c r="N2009" t="s">
        <v>32</v>
      </c>
      <c r="O2009" t="s">
        <v>33</v>
      </c>
      <c r="P2009" t="s">
        <v>50</v>
      </c>
      <c r="Q2009">
        <v>4</v>
      </c>
      <c r="R2009">
        <f>IF(ventas_libreria[[#This Row],[valoracion_cliente]]="","Sin valoración",ventas_libreria[[#This Row],[valoracion_cliente]])</f>
        <v>4</v>
      </c>
    </row>
    <row r="2010" spans="1:18" x14ac:dyDescent="0.25">
      <c r="A2010" t="s">
        <v>2286</v>
      </c>
      <c r="B2010" t="s">
        <v>16</v>
      </c>
      <c r="C2010" t="s">
        <v>17</v>
      </c>
      <c r="D2010" t="s">
        <v>18</v>
      </c>
      <c r="E2010" t="s">
        <v>19</v>
      </c>
      <c r="F2010">
        <f>ventas_libreria[[#This Row],[precio_eur]]/100</f>
        <v>16.39</v>
      </c>
      <c r="G2010">
        <v>1639</v>
      </c>
      <c r="H2010">
        <v>3</v>
      </c>
      <c r="I2010">
        <f>ventas_libreria[[#This Row],[precio]]*ventas_libreria[[#This Row],[cantidad]]</f>
        <v>49.17</v>
      </c>
      <c r="J2010">
        <v>34</v>
      </c>
      <c r="K2010" t="s">
        <v>38</v>
      </c>
      <c r="L2010" s="1">
        <v>45255</v>
      </c>
      <c r="M2010" t="s">
        <v>31</v>
      </c>
      <c r="N2010" t="s">
        <v>32</v>
      </c>
      <c r="O2010" t="s">
        <v>33</v>
      </c>
      <c r="P2010" t="s">
        <v>56</v>
      </c>
      <c r="Q2010">
        <v>1</v>
      </c>
      <c r="R2010">
        <f>IF(ventas_libreria[[#This Row],[valoracion_cliente]]="","Sin valoración",ventas_libreria[[#This Row],[valoracion_cliente]])</f>
        <v>1</v>
      </c>
    </row>
    <row r="2011" spans="1:18" x14ac:dyDescent="0.25">
      <c r="A2011" t="s">
        <v>2287</v>
      </c>
      <c r="B2011" t="s">
        <v>291</v>
      </c>
      <c r="C2011" t="s">
        <v>292</v>
      </c>
      <c r="D2011" t="s">
        <v>76</v>
      </c>
      <c r="E2011" t="s">
        <v>77</v>
      </c>
      <c r="F2011">
        <f>ventas_libreria[[#This Row],[precio_eur]]/100</f>
        <v>0.99</v>
      </c>
      <c r="G2011">
        <v>99</v>
      </c>
      <c r="H2011">
        <v>1</v>
      </c>
      <c r="I2011">
        <f>ventas_libreria[[#This Row],[precio]]*ventas_libreria[[#This Row],[cantidad]]</f>
        <v>0.99</v>
      </c>
      <c r="J2011">
        <v>8</v>
      </c>
      <c r="K2011" t="s">
        <v>20</v>
      </c>
      <c r="L2011" s="1">
        <v>45900</v>
      </c>
      <c r="M2011" t="s">
        <v>43</v>
      </c>
      <c r="N2011" t="s">
        <v>32</v>
      </c>
      <c r="O2011" t="s">
        <v>33</v>
      </c>
      <c r="P2011" t="s">
        <v>34</v>
      </c>
      <c r="Q2011">
        <v>4</v>
      </c>
      <c r="R2011">
        <f>IF(ventas_libreria[[#This Row],[valoracion_cliente]]="","Sin valoración",ventas_libreria[[#This Row],[valoracion_cliente]])</f>
        <v>4</v>
      </c>
    </row>
    <row r="2012" spans="1:18" x14ac:dyDescent="0.25">
      <c r="A2012" t="s">
        <v>2288</v>
      </c>
      <c r="B2012" t="s">
        <v>276</v>
      </c>
      <c r="C2012" t="s">
        <v>277</v>
      </c>
      <c r="D2012" t="s">
        <v>278</v>
      </c>
      <c r="E2012" t="s">
        <v>189</v>
      </c>
      <c r="F2012">
        <f>ventas_libreria[[#This Row],[precio_eur]]/100</f>
        <v>1.79</v>
      </c>
      <c r="G2012">
        <v>179</v>
      </c>
      <c r="H2012">
        <v>1</v>
      </c>
      <c r="I2012">
        <f>ventas_libreria[[#This Row],[precio]]*ventas_libreria[[#This Row],[cantidad]]</f>
        <v>1.79</v>
      </c>
      <c r="J2012">
        <v>74</v>
      </c>
      <c r="K2012" t="s">
        <v>30</v>
      </c>
      <c r="L2012" s="1">
        <v>45741</v>
      </c>
      <c r="M2012" t="s">
        <v>21</v>
      </c>
      <c r="N2012" t="s">
        <v>22</v>
      </c>
      <c r="O2012" t="s">
        <v>67</v>
      </c>
      <c r="P2012" t="s">
        <v>50</v>
      </c>
      <c r="Q2012">
        <v>4</v>
      </c>
      <c r="R2012">
        <f>IF(ventas_libreria[[#This Row],[valoracion_cliente]]="","Sin valoración",ventas_libreria[[#This Row],[valoracion_cliente]])</f>
        <v>4</v>
      </c>
    </row>
    <row r="2013" spans="1:18" x14ac:dyDescent="0.25">
      <c r="A2013" t="s">
        <v>2289</v>
      </c>
      <c r="B2013" t="s">
        <v>406</v>
      </c>
      <c r="C2013" t="s">
        <v>407</v>
      </c>
      <c r="D2013" t="s">
        <v>88</v>
      </c>
      <c r="E2013" t="s">
        <v>77</v>
      </c>
      <c r="F2013">
        <f>ventas_libreria[[#This Row],[precio_eur]]/100</f>
        <v>1.25</v>
      </c>
      <c r="G2013">
        <v>125</v>
      </c>
      <c r="H2013">
        <v>1</v>
      </c>
      <c r="I2013">
        <f>ventas_libreria[[#This Row],[precio]]*ventas_libreria[[#This Row],[cantidad]]</f>
        <v>1.25</v>
      </c>
      <c r="J2013">
        <v>9</v>
      </c>
      <c r="K2013" t="s">
        <v>38</v>
      </c>
      <c r="L2013" s="1">
        <v>45768</v>
      </c>
      <c r="M2013" t="s">
        <v>43</v>
      </c>
      <c r="N2013" t="s">
        <v>32</v>
      </c>
      <c r="O2013" t="s">
        <v>33</v>
      </c>
      <c r="P2013" t="s">
        <v>56</v>
      </c>
      <c r="Q2013">
        <v>4</v>
      </c>
      <c r="R2013">
        <f>IF(ventas_libreria[[#This Row],[valoracion_cliente]]="","Sin valoración",ventas_libreria[[#This Row],[valoracion_cliente]])</f>
        <v>4</v>
      </c>
    </row>
    <row r="2014" spans="1:18" x14ac:dyDescent="0.25">
      <c r="A2014" t="s">
        <v>2290</v>
      </c>
      <c r="B2014" t="s">
        <v>375</v>
      </c>
      <c r="C2014" t="s">
        <v>376</v>
      </c>
      <c r="D2014" t="s">
        <v>377</v>
      </c>
      <c r="E2014" t="s">
        <v>29</v>
      </c>
      <c r="F2014">
        <f>ventas_libreria[[#This Row],[precio_eur]]/100</f>
        <v>1.59</v>
      </c>
      <c r="G2014">
        <v>159</v>
      </c>
      <c r="H2014">
        <v>4</v>
      </c>
      <c r="I2014">
        <f>ventas_libreria[[#This Row],[precio]]*ventas_libreria[[#This Row],[cantidad]]</f>
        <v>6.36</v>
      </c>
      <c r="J2014">
        <v>44</v>
      </c>
      <c r="K2014" t="s">
        <v>30</v>
      </c>
      <c r="L2014" s="1">
        <v>45684</v>
      </c>
      <c r="M2014" t="s">
        <v>21</v>
      </c>
      <c r="N2014" t="s">
        <v>22</v>
      </c>
      <c r="O2014" t="s">
        <v>23</v>
      </c>
      <c r="P2014" t="s">
        <v>34</v>
      </c>
      <c r="Q2014">
        <v>3</v>
      </c>
      <c r="R2014">
        <f>IF(ventas_libreria[[#This Row],[valoracion_cliente]]="","Sin valoración",ventas_libreria[[#This Row],[valoracion_cliente]])</f>
        <v>3</v>
      </c>
    </row>
    <row r="2015" spans="1:18" x14ac:dyDescent="0.25">
      <c r="A2015" t="s">
        <v>2291</v>
      </c>
      <c r="B2015" t="s">
        <v>671</v>
      </c>
      <c r="C2015" t="s">
        <v>672</v>
      </c>
      <c r="D2015" t="s">
        <v>673</v>
      </c>
      <c r="E2015" t="s">
        <v>116</v>
      </c>
      <c r="F2015">
        <f>ventas_libreria[[#This Row],[precio_eur]]/100</f>
        <v>1.29</v>
      </c>
      <c r="G2015">
        <v>129</v>
      </c>
      <c r="H2015">
        <v>2</v>
      </c>
      <c r="I2015">
        <f>ventas_libreria[[#This Row],[precio]]*ventas_libreria[[#This Row],[cantidad]]</f>
        <v>2.58</v>
      </c>
      <c r="J2015">
        <v>31</v>
      </c>
      <c r="K2015" t="s">
        <v>62</v>
      </c>
      <c r="L2015" s="1">
        <v>45610</v>
      </c>
      <c r="M2015" t="s">
        <v>31</v>
      </c>
      <c r="N2015" t="s">
        <v>22</v>
      </c>
      <c r="O2015" t="s">
        <v>67</v>
      </c>
      <c r="P2015" t="s">
        <v>34</v>
      </c>
      <c r="Q2015">
        <v>5</v>
      </c>
      <c r="R2015">
        <f>IF(ventas_libreria[[#This Row],[valoracion_cliente]]="","Sin valoración",ventas_libreria[[#This Row],[valoracion_cliente]])</f>
        <v>5</v>
      </c>
    </row>
    <row r="2016" spans="1:18" x14ac:dyDescent="0.25">
      <c r="A2016" t="s">
        <v>2292</v>
      </c>
      <c r="B2016" t="s">
        <v>208</v>
      </c>
      <c r="C2016" t="s">
        <v>209</v>
      </c>
      <c r="D2016" t="s">
        <v>106</v>
      </c>
      <c r="E2016" t="s">
        <v>107</v>
      </c>
      <c r="F2016">
        <f>ventas_libreria[[#This Row],[precio_eur]]/100</f>
        <v>16.39</v>
      </c>
      <c r="G2016">
        <v>1639</v>
      </c>
      <c r="H2016">
        <v>1</v>
      </c>
      <c r="I2016">
        <f>ventas_libreria[[#This Row],[precio]]*ventas_libreria[[#This Row],[cantidad]]</f>
        <v>16.39</v>
      </c>
      <c r="J2016">
        <v>15</v>
      </c>
      <c r="K2016" t="s">
        <v>38</v>
      </c>
      <c r="L2016" s="1">
        <v>45847</v>
      </c>
      <c r="M2016" t="s">
        <v>21</v>
      </c>
      <c r="N2016" t="s">
        <v>22</v>
      </c>
      <c r="O2016" t="s">
        <v>67</v>
      </c>
      <c r="P2016" t="s">
        <v>34</v>
      </c>
      <c r="Q2016">
        <v>3</v>
      </c>
      <c r="R2016">
        <f>IF(ventas_libreria[[#This Row],[valoracion_cliente]]="","Sin valoración",ventas_libreria[[#This Row],[valoracion_cliente]])</f>
        <v>3</v>
      </c>
    </row>
    <row r="2017" spans="1:18" x14ac:dyDescent="0.25">
      <c r="A2017" t="s">
        <v>2293</v>
      </c>
      <c r="B2017" t="s">
        <v>273</v>
      </c>
      <c r="C2017" t="s">
        <v>274</v>
      </c>
      <c r="D2017" t="s">
        <v>262</v>
      </c>
      <c r="E2017" t="s">
        <v>263</v>
      </c>
      <c r="F2017">
        <f>ventas_libreria[[#This Row],[precio_eur]]/100</f>
        <v>19.71</v>
      </c>
      <c r="G2017">
        <v>1971</v>
      </c>
      <c r="H2017">
        <v>3</v>
      </c>
      <c r="I2017">
        <f>ventas_libreria[[#This Row],[precio]]*ventas_libreria[[#This Row],[cantidad]]</f>
        <v>59.13</v>
      </c>
      <c r="J2017">
        <v>63</v>
      </c>
      <c r="K2017" t="s">
        <v>20</v>
      </c>
      <c r="L2017" s="1">
        <v>45363</v>
      </c>
      <c r="M2017" t="s">
        <v>31</v>
      </c>
      <c r="N2017" t="s">
        <v>32</v>
      </c>
      <c r="O2017" t="s">
        <v>33</v>
      </c>
      <c r="P2017" t="s">
        <v>84</v>
      </c>
      <c r="Q2017">
        <v>5</v>
      </c>
      <c r="R2017">
        <f>IF(ventas_libreria[[#This Row],[valoracion_cliente]]="","Sin valoración",ventas_libreria[[#This Row],[valoracion_cliente]])</f>
        <v>5</v>
      </c>
    </row>
    <row r="2018" spans="1:18" x14ac:dyDescent="0.25">
      <c r="A2018" t="s">
        <v>2294</v>
      </c>
      <c r="B2018" t="s">
        <v>530</v>
      </c>
      <c r="C2018" t="s">
        <v>531</v>
      </c>
      <c r="D2018" t="s">
        <v>195</v>
      </c>
      <c r="E2018" t="s">
        <v>48</v>
      </c>
      <c r="F2018">
        <f>ventas_libreria[[#This Row],[precio_eur]]/100</f>
        <v>1.99</v>
      </c>
      <c r="G2018">
        <v>199</v>
      </c>
      <c r="H2018">
        <v>2</v>
      </c>
      <c r="I2018">
        <f>ventas_libreria[[#This Row],[precio]]*ventas_libreria[[#This Row],[cantidad]]</f>
        <v>3.98</v>
      </c>
      <c r="J2018">
        <v>67</v>
      </c>
      <c r="K2018" t="s">
        <v>30</v>
      </c>
      <c r="L2018" s="1">
        <v>44993</v>
      </c>
      <c r="M2018" t="s">
        <v>43</v>
      </c>
      <c r="N2018" t="s">
        <v>32</v>
      </c>
      <c r="O2018" t="s">
        <v>33</v>
      </c>
      <c r="P2018" t="s">
        <v>50</v>
      </c>
      <c r="Q2018">
        <v>4</v>
      </c>
      <c r="R2018">
        <f>IF(ventas_libreria[[#This Row],[valoracion_cliente]]="","Sin valoración",ventas_libreria[[#This Row],[valoracion_cliente]])</f>
        <v>4</v>
      </c>
    </row>
    <row r="2019" spans="1:18" x14ac:dyDescent="0.25">
      <c r="A2019" t="s">
        <v>2295</v>
      </c>
      <c r="B2019" t="s">
        <v>268</v>
      </c>
      <c r="C2019" t="s">
        <v>269</v>
      </c>
      <c r="D2019" t="s">
        <v>270</v>
      </c>
      <c r="E2019" t="s">
        <v>83</v>
      </c>
      <c r="F2019">
        <f>ventas_libreria[[#This Row],[precio_eur]]/100</f>
        <v>8.7200000000000006</v>
      </c>
      <c r="G2019">
        <v>872</v>
      </c>
      <c r="H2019">
        <v>2</v>
      </c>
      <c r="I2019">
        <f>ventas_libreria[[#This Row],[precio]]*ventas_libreria[[#This Row],[cantidad]]</f>
        <v>17.440000000000001</v>
      </c>
      <c r="J2019">
        <v>55</v>
      </c>
      <c r="K2019" t="s">
        <v>30</v>
      </c>
      <c r="L2019" s="1">
        <v>45266</v>
      </c>
      <c r="M2019" t="s">
        <v>21</v>
      </c>
      <c r="N2019" t="s">
        <v>32</v>
      </c>
      <c r="O2019" t="s">
        <v>33</v>
      </c>
      <c r="P2019" t="s">
        <v>56</v>
      </c>
      <c r="R2019" t="str">
        <f>IF(ventas_libreria[[#This Row],[valoracion_cliente]]="","Sin valoración",ventas_libreria[[#This Row],[valoracion_cliente]])</f>
        <v>Sin valoración</v>
      </c>
    </row>
    <row r="2020" spans="1:18" x14ac:dyDescent="0.25">
      <c r="A2020" t="s">
        <v>2296</v>
      </c>
      <c r="B2020" t="s">
        <v>156</v>
      </c>
      <c r="C2020" t="s">
        <v>157</v>
      </c>
      <c r="D2020" t="s">
        <v>158</v>
      </c>
      <c r="E2020" t="s">
        <v>149</v>
      </c>
      <c r="F2020">
        <f>ventas_libreria[[#This Row],[precio_eur]]/100</f>
        <v>1.89</v>
      </c>
      <c r="G2020">
        <v>189</v>
      </c>
      <c r="H2020">
        <v>3</v>
      </c>
      <c r="I2020">
        <f>ventas_libreria[[#This Row],[precio]]*ventas_libreria[[#This Row],[cantidad]]</f>
        <v>5.67</v>
      </c>
      <c r="J2020">
        <v>75</v>
      </c>
      <c r="K2020" t="s">
        <v>62</v>
      </c>
      <c r="L2020" s="1">
        <v>45112</v>
      </c>
      <c r="M2020" t="s">
        <v>43</v>
      </c>
      <c r="N2020" t="s">
        <v>32</v>
      </c>
      <c r="O2020" t="s">
        <v>33</v>
      </c>
      <c r="P2020" t="s">
        <v>56</v>
      </c>
      <c r="Q2020">
        <v>5</v>
      </c>
      <c r="R2020">
        <f>IF(ventas_libreria[[#This Row],[valoracion_cliente]]="","Sin valoración",ventas_libreria[[#This Row],[valoracion_cliente]])</f>
        <v>5</v>
      </c>
    </row>
    <row r="2021" spans="1:18" x14ac:dyDescent="0.25">
      <c r="A2021" t="s">
        <v>2297</v>
      </c>
      <c r="B2021" t="s">
        <v>193</v>
      </c>
      <c r="C2021" t="s">
        <v>194</v>
      </c>
      <c r="D2021" t="s">
        <v>195</v>
      </c>
      <c r="E2021" t="s">
        <v>48</v>
      </c>
      <c r="F2021">
        <f>ventas_libreria[[#This Row],[precio_eur]]/100</f>
        <v>15.92</v>
      </c>
      <c r="G2021">
        <v>1592</v>
      </c>
      <c r="H2021">
        <v>1</v>
      </c>
      <c r="I2021">
        <f>ventas_libreria[[#This Row],[precio]]*ventas_libreria[[#This Row],[cantidad]]</f>
        <v>15.92</v>
      </c>
      <c r="J2021">
        <v>28</v>
      </c>
      <c r="K2021" t="s">
        <v>62</v>
      </c>
      <c r="L2021" s="1">
        <v>45944</v>
      </c>
      <c r="M2021" t="s">
        <v>21</v>
      </c>
      <c r="N2021" t="s">
        <v>22</v>
      </c>
      <c r="O2021" t="s">
        <v>49</v>
      </c>
      <c r="P2021" t="s">
        <v>50</v>
      </c>
      <c r="Q2021">
        <v>5</v>
      </c>
      <c r="R2021">
        <f>IF(ventas_libreria[[#This Row],[valoracion_cliente]]="","Sin valoración",ventas_libreria[[#This Row],[valoracion_cliente]])</f>
        <v>5</v>
      </c>
    </row>
    <row r="2022" spans="1:18" x14ac:dyDescent="0.25">
      <c r="A2022" t="s">
        <v>2298</v>
      </c>
      <c r="B2022" t="s">
        <v>16</v>
      </c>
      <c r="C2022" t="s">
        <v>17</v>
      </c>
      <c r="D2022" t="s">
        <v>18</v>
      </c>
      <c r="E2022" t="s">
        <v>19</v>
      </c>
      <c r="F2022">
        <f>ventas_libreria[[#This Row],[precio_eur]]/100</f>
        <v>1.49</v>
      </c>
      <c r="G2022">
        <v>149</v>
      </c>
      <c r="H2022">
        <v>2</v>
      </c>
      <c r="I2022">
        <f>ventas_libreria[[#This Row],[precio]]*ventas_libreria[[#This Row],[cantidad]]</f>
        <v>2.98</v>
      </c>
      <c r="J2022">
        <v>52</v>
      </c>
      <c r="K2022" t="s">
        <v>62</v>
      </c>
      <c r="L2022" s="1">
        <v>44992</v>
      </c>
      <c r="M2022" t="s">
        <v>43</v>
      </c>
      <c r="N2022" t="s">
        <v>32</v>
      </c>
      <c r="O2022" t="s">
        <v>33</v>
      </c>
      <c r="P2022" t="s">
        <v>34</v>
      </c>
      <c r="Q2022">
        <v>4</v>
      </c>
      <c r="R2022">
        <f>IF(ventas_libreria[[#This Row],[valoracion_cliente]]="","Sin valoración",ventas_libreria[[#This Row],[valoracion_cliente]])</f>
        <v>4</v>
      </c>
    </row>
    <row r="2023" spans="1:18" x14ac:dyDescent="0.25">
      <c r="A2023" t="s">
        <v>2299</v>
      </c>
      <c r="B2023" t="s">
        <v>137</v>
      </c>
      <c r="C2023" t="s">
        <v>138</v>
      </c>
      <c r="D2023" t="s">
        <v>139</v>
      </c>
      <c r="E2023" t="s">
        <v>116</v>
      </c>
      <c r="F2023">
        <f>ventas_libreria[[#This Row],[precio_eur]]/100</f>
        <v>10.96</v>
      </c>
      <c r="G2023">
        <v>1096</v>
      </c>
      <c r="H2023">
        <v>1</v>
      </c>
      <c r="I2023">
        <f>ventas_libreria[[#This Row],[precio]]*ventas_libreria[[#This Row],[cantidad]]</f>
        <v>10.96</v>
      </c>
      <c r="J2023">
        <v>55</v>
      </c>
      <c r="K2023" t="s">
        <v>20</v>
      </c>
      <c r="L2023" s="1">
        <v>45784</v>
      </c>
      <c r="M2023" t="s">
        <v>43</v>
      </c>
      <c r="N2023" t="s">
        <v>32</v>
      </c>
      <c r="O2023" t="s">
        <v>33</v>
      </c>
      <c r="P2023" t="s">
        <v>84</v>
      </c>
      <c r="Q2023">
        <v>3</v>
      </c>
      <c r="R2023">
        <f>IF(ventas_libreria[[#This Row],[valoracion_cliente]]="","Sin valoración",ventas_libreria[[#This Row],[valoracion_cliente]])</f>
        <v>3</v>
      </c>
    </row>
    <row r="2024" spans="1:18" x14ac:dyDescent="0.25">
      <c r="A2024" t="s">
        <v>2300</v>
      </c>
      <c r="B2024" t="s">
        <v>437</v>
      </c>
      <c r="C2024" t="s">
        <v>438</v>
      </c>
      <c r="D2024" t="s">
        <v>178</v>
      </c>
      <c r="E2024" t="s">
        <v>55</v>
      </c>
      <c r="F2024">
        <f>ventas_libreria[[#This Row],[precio_eur]]/100</f>
        <v>15.21</v>
      </c>
      <c r="G2024">
        <v>1521</v>
      </c>
      <c r="H2024">
        <v>1</v>
      </c>
      <c r="I2024">
        <f>ventas_libreria[[#This Row],[precio]]*ventas_libreria[[#This Row],[cantidad]]</f>
        <v>15.21</v>
      </c>
      <c r="J2024">
        <v>74</v>
      </c>
      <c r="K2024" t="s">
        <v>20</v>
      </c>
      <c r="L2024" s="1">
        <v>45600</v>
      </c>
      <c r="M2024" t="s">
        <v>21</v>
      </c>
      <c r="N2024" t="s">
        <v>22</v>
      </c>
      <c r="O2024" t="s">
        <v>67</v>
      </c>
      <c r="P2024" t="s">
        <v>56</v>
      </c>
      <c r="Q2024">
        <v>5</v>
      </c>
      <c r="R2024">
        <f>IF(ventas_libreria[[#This Row],[valoracion_cliente]]="","Sin valoración",ventas_libreria[[#This Row],[valoracion_cliente]])</f>
        <v>5</v>
      </c>
    </row>
    <row r="2025" spans="1:18" x14ac:dyDescent="0.25">
      <c r="A2025" t="s">
        <v>2301</v>
      </c>
      <c r="B2025" t="s">
        <v>109</v>
      </c>
      <c r="C2025" t="s">
        <v>110</v>
      </c>
      <c r="D2025" t="s">
        <v>111</v>
      </c>
      <c r="E2025" t="s">
        <v>55</v>
      </c>
      <c r="F2025">
        <f>ventas_libreria[[#This Row],[precio_eur]]/100</f>
        <v>1.99</v>
      </c>
      <c r="G2025">
        <v>199</v>
      </c>
      <c r="H2025">
        <v>2</v>
      </c>
      <c r="I2025">
        <f>ventas_libreria[[#This Row],[precio]]*ventas_libreria[[#This Row],[cantidad]]</f>
        <v>3.98</v>
      </c>
      <c r="J2025">
        <v>23</v>
      </c>
      <c r="K2025" t="s">
        <v>62</v>
      </c>
      <c r="L2025" s="1">
        <v>45281</v>
      </c>
      <c r="M2025" t="s">
        <v>43</v>
      </c>
      <c r="N2025" t="s">
        <v>32</v>
      </c>
      <c r="O2025" t="s">
        <v>33</v>
      </c>
      <c r="P2025" t="s">
        <v>56</v>
      </c>
      <c r="Q2025">
        <v>3</v>
      </c>
      <c r="R2025">
        <f>IF(ventas_libreria[[#This Row],[valoracion_cliente]]="","Sin valoración",ventas_libreria[[#This Row],[valoracion_cliente]])</f>
        <v>3</v>
      </c>
    </row>
    <row r="2026" spans="1:18" x14ac:dyDescent="0.25">
      <c r="A2026" t="s">
        <v>2302</v>
      </c>
      <c r="B2026" t="s">
        <v>461</v>
      </c>
      <c r="C2026" t="s">
        <v>462</v>
      </c>
      <c r="D2026" t="s">
        <v>143</v>
      </c>
      <c r="E2026" t="s">
        <v>116</v>
      </c>
      <c r="F2026">
        <f>ventas_libreria[[#This Row],[precio_eur]]/100</f>
        <v>1.46</v>
      </c>
      <c r="G2026">
        <v>146</v>
      </c>
      <c r="H2026">
        <v>1</v>
      </c>
      <c r="I2026">
        <f>ventas_libreria[[#This Row],[precio]]*ventas_libreria[[#This Row],[cantidad]]</f>
        <v>1.46</v>
      </c>
      <c r="J2026">
        <v>27</v>
      </c>
      <c r="K2026" t="s">
        <v>20</v>
      </c>
      <c r="L2026" s="1">
        <v>45547</v>
      </c>
      <c r="M2026" t="s">
        <v>21</v>
      </c>
      <c r="N2026" t="s">
        <v>32</v>
      </c>
      <c r="O2026" t="s">
        <v>33</v>
      </c>
      <c r="P2026" t="s">
        <v>56</v>
      </c>
      <c r="Q2026">
        <v>5</v>
      </c>
      <c r="R2026">
        <f>IF(ventas_libreria[[#This Row],[valoracion_cliente]]="","Sin valoración",ventas_libreria[[#This Row],[valoracion_cliente]])</f>
        <v>5</v>
      </c>
    </row>
    <row r="2027" spans="1:18" x14ac:dyDescent="0.25">
      <c r="A2027" t="s">
        <v>2303</v>
      </c>
      <c r="B2027" t="s">
        <v>418</v>
      </c>
      <c r="C2027" t="s">
        <v>419</v>
      </c>
      <c r="D2027" t="s">
        <v>420</v>
      </c>
      <c r="E2027" t="s">
        <v>149</v>
      </c>
      <c r="F2027">
        <f>ventas_libreria[[#This Row],[precio_eur]]/100</f>
        <v>1.69</v>
      </c>
      <c r="G2027">
        <v>169</v>
      </c>
      <c r="H2027">
        <v>2</v>
      </c>
      <c r="I2027">
        <f>ventas_libreria[[#This Row],[precio]]*ventas_libreria[[#This Row],[cantidad]]</f>
        <v>3.38</v>
      </c>
      <c r="J2027">
        <v>34</v>
      </c>
      <c r="K2027" t="s">
        <v>38</v>
      </c>
      <c r="L2027" s="1">
        <v>45891</v>
      </c>
      <c r="M2027" t="s">
        <v>21</v>
      </c>
      <c r="N2027" t="s">
        <v>32</v>
      </c>
      <c r="O2027" t="s">
        <v>33</v>
      </c>
      <c r="P2027" t="s">
        <v>84</v>
      </c>
      <c r="Q2027">
        <v>3</v>
      </c>
      <c r="R2027">
        <f>IF(ventas_libreria[[#This Row],[valoracion_cliente]]="","Sin valoración",ventas_libreria[[#This Row],[valoracion_cliente]])</f>
        <v>3</v>
      </c>
    </row>
    <row r="2028" spans="1:18" x14ac:dyDescent="0.25">
      <c r="A2028" t="s">
        <v>2304</v>
      </c>
      <c r="B2028" t="s">
        <v>602</v>
      </c>
      <c r="C2028" t="s">
        <v>603</v>
      </c>
      <c r="D2028" t="s">
        <v>217</v>
      </c>
      <c r="E2028" t="s">
        <v>55</v>
      </c>
      <c r="F2028">
        <f>ventas_libreria[[#This Row],[precio_eur]]/100</f>
        <v>1.79</v>
      </c>
      <c r="G2028">
        <v>179</v>
      </c>
      <c r="H2028">
        <v>1</v>
      </c>
      <c r="I2028">
        <f>ventas_libreria[[#This Row],[precio]]*ventas_libreria[[#This Row],[cantidad]]</f>
        <v>1.79</v>
      </c>
      <c r="J2028">
        <v>31</v>
      </c>
      <c r="K2028" t="s">
        <v>30</v>
      </c>
      <c r="L2028" s="1">
        <v>44932</v>
      </c>
      <c r="M2028" t="s">
        <v>21</v>
      </c>
      <c r="N2028" t="s">
        <v>22</v>
      </c>
      <c r="O2028" t="s">
        <v>67</v>
      </c>
      <c r="P2028" t="s">
        <v>84</v>
      </c>
      <c r="Q2028">
        <v>3</v>
      </c>
      <c r="R2028">
        <f>IF(ventas_libreria[[#This Row],[valoracion_cliente]]="","Sin valoración",ventas_libreria[[#This Row],[valoracion_cliente]])</f>
        <v>3</v>
      </c>
    </row>
    <row r="2029" spans="1:18" x14ac:dyDescent="0.25">
      <c r="A2029" t="s">
        <v>2305</v>
      </c>
      <c r="B2029" t="s">
        <v>276</v>
      </c>
      <c r="C2029" t="s">
        <v>277</v>
      </c>
      <c r="D2029" t="s">
        <v>278</v>
      </c>
      <c r="E2029" t="s">
        <v>189</v>
      </c>
      <c r="F2029">
        <f>ventas_libreria[[#This Row],[precio_eur]]/100</f>
        <v>1.79</v>
      </c>
      <c r="G2029">
        <v>179</v>
      </c>
      <c r="H2029">
        <v>1</v>
      </c>
      <c r="I2029">
        <f>ventas_libreria[[#This Row],[precio]]*ventas_libreria[[#This Row],[cantidad]]</f>
        <v>1.79</v>
      </c>
      <c r="J2029">
        <v>50</v>
      </c>
      <c r="K2029" t="s">
        <v>30</v>
      </c>
      <c r="L2029" s="1">
        <v>45584</v>
      </c>
      <c r="M2029" t="s">
        <v>21</v>
      </c>
      <c r="N2029" t="s">
        <v>32</v>
      </c>
      <c r="O2029" t="s">
        <v>33</v>
      </c>
      <c r="P2029" t="s">
        <v>34</v>
      </c>
      <c r="Q2029">
        <v>5</v>
      </c>
      <c r="R2029">
        <f>IF(ventas_libreria[[#This Row],[valoracion_cliente]]="","Sin valoración",ventas_libreria[[#This Row],[valoracion_cliente]])</f>
        <v>5</v>
      </c>
    </row>
    <row r="2030" spans="1:18" x14ac:dyDescent="0.25">
      <c r="A2030" t="s">
        <v>2306</v>
      </c>
      <c r="B2030" t="s">
        <v>113</v>
      </c>
      <c r="C2030" t="s">
        <v>114</v>
      </c>
      <c r="D2030" t="s">
        <v>115</v>
      </c>
      <c r="E2030" t="s">
        <v>116</v>
      </c>
      <c r="F2030">
        <f>ventas_libreria[[#This Row],[precio_eur]]/100</f>
        <v>12.51</v>
      </c>
      <c r="G2030">
        <v>1251</v>
      </c>
      <c r="H2030">
        <v>1</v>
      </c>
      <c r="I2030">
        <f>ventas_libreria[[#This Row],[precio]]*ventas_libreria[[#This Row],[cantidad]]</f>
        <v>12.51</v>
      </c>
      <c r="J2030">
        <v>68</v>
      </c>
      <c r="K2030" t="s">
        <v>30</v>
      </c>
      <c r="L2030" s="1">
        <v>45062</v>
      </c>
      <c r="M2030" t="s">
        <v>31</v>
      </c>
      <c r="N2030" t="s">
        <v>22</v>
      </c>
      <c r="O2030" t="s">
        <v>132</v>
      </c>
      <c r="P2030" t="s">
        <v>84</v>
      </c>
      <c r="Q2030">
        <v>5</v>
      </c>
      <c r="R2030">
        <f>IF(ventas_libreria[[#This Row],[valoracion_cliente]]="","Sin valoración",ventas_libreria[[#This Row],[valoracion_cliente]])</f>
        <v>5</v>
      </c>
    </row>
    <row r="2031" spans="1:18" x14ac:dyDescent="0.25">
      <c r="A2031" t="s">
        <v>2307</v>
      </c>
      <c r="B2031" t="s">
        <v>156</v>
      </c>
      <c r="C2031" t="s">
        <v>157</v>
      </c>
      <c r="D2031" t="s">
        <v>158</v>
      </c>
      <c r="E2031" t="s">
        <v>149</v>
      </c>
      <c r="F2031">
        <f>ventas_libreria[[#This Row],[precio_eur]]/100</f>
        <v>19.84</v>
      </c>
      <c r="G2031">
        <v>1984</v>
      </c>
      <c r="H2031">
        <v>2</v>
      </c>
      <c r="I2031">
        <f>ventas_libreria[[#This Row],[precio]]*ventas_libreria[[#This Row],[cantidad]]</f>
        <v>39.68</v>
      </c>
      <c r="J2031">
        <v>56</v>
      </c>
      <c r="K2031" t="s">
        <v>38</v>
      </c>
      <c r="L2031" s="1">
        <v>45837</v>
      </c>
      <c r="M2031" t="s">
        <v>43</v>
      </c>
      <c r="N2031" t="s">
        <v>32</v>
      </c>
      <c r="O2031" t="s">
        <v>33</v>
      </c>
      <c r="P2031" t="s">
        <v>84</v>
      </c>
      <c r="Q2031">
        <v>1</v>
      </c>
      <c r="R2031">
        <f>IF(ventas_libreria[[#This Row],[valoracion_cliente]]="","Sin valoración",ventas_libreria[[#This Row],[valoracion_cliente]])</f>
        <v>1</v>
      </c>
    </row>
    <row r="2032" spans="1:18" x14ac:dyDescent="0.25">
      <c r="A2032" t="s">
        <v>2308</v>
      </c>
      <c r="B2032" t="s">
        <v>121</v>
      </c>
      <c r="C2032" t="s">
        <v>122</v>
      </c>
      <c r="D2032" t="s">
        <v>123</v>
      </c>
      <c r="E2032" t="s">
        <v>48</v>
      </c>
      <c r="F2032">
        <f>ventas_libreria[[#This Row],[precio_eur]]/100</f>
        <v>15.21</v>
      </c>
      <c r="G2032">
        <v>1521</v>
      </c>
      <c r="H2032">
        <v>2</v>
      </c>
      <c r="I2032">
        <f>ventas_libreria[[#This Row],[precio]]*ventas_libreria[[#This Row],[cantidad]]</f>
        <v>30.42</v>
      </c>
      <c r="J2032">
        <v>34</v>
      </c>
      <c r="K2032" t="s">
        <v>38</v>
      </c>
      <c r="L2032" s="1">
        <v>45842</v>
      </c>
      <c r="M2032" t="s">
        <v>31</v>
      </c>
      <c r="N2032" t="s">
        <v>32</v>
      </c>
      <c r="O2032" t="s">
        <v>33</v>
      </c>
      <c r="P2032" t="s">
        <v>84</v>
      </c>
      <c r="R2032" t="str">
        <f>IF(ventas_libreria[[#This Row],[valoracion_cliente]]="","Sin valoración",ventas_libreria[[#This Row],[valoracion_cliente]])</f>
        <v>Sin valoración</v>
      </c>
    </row>
    <row r="2033" spans="1:18" x14ac:dyDescent="0.25">
      <c r="A2033" t="s">
        <v>2309</v>
      </c>
      <c r="B2033" t="s">
        <v>286</v>
      </c>
      <c r="C2033" t="s">
        <v>287</v>
      </c>
      <c r="D2033" t="s">
        <v>288</v>
      </c>
      <c r="E2033" t="s">
        <v>289</v>
      </c>
      <c r="F2033">
        <f>ventas_libreria[[#This Row],[precio_eur]]/100</f>
        <v>18.61</v>
      </c>
      <c r="G2033">
        <v>1861</v>
      </c>
      <c r="H2033">
        <v>1</v>
      </c>
      <c r="I2033">
        <f>ventas_libreria[[#This Row],[precio]]*ventas_libreria[[#This Row],[cantidad]]</f>
        <v>18.61</v>
      </c>
      <c r="J2033">
        <v>20</v>
      </c>
      <c r="K2033" t="s">
        <v>62</v>
      </c>
      <c r="L2033" s="1">
        <v>45729</v>
      </c>
      <c r="M2033" t="s">
        <v>21</v>
      </c>
      <c r="N2033" t="s">
        <v>22</v>
      </c>
      <c r="O2033" t="s">
        <v>49</v>
      </c>
      <c r="P2033" t="s">
        <v>24</v>
      </c>
      <c r="Q2033">
        <v>1</v>
      </c>
      <c r="R2033">
        <f>IF(ventas_libreria[[#This Row],[valoracion_cliente]]="","Sin valoración",ventas_libreria[[#This Row],[valoracion_cliente]])</f>
        <v>1</v>
      </c>
    </row>
    <row r="2034" spans="1:18" x14ac:dyDescent="0.25">
      <c r="A2034" t="s">
        <v>2310</v>
      </c>
      <c r="B2034" t="s">
        <v>156</v>
      </c>
      <c r="C2034" t="s">
        <v>157</v>
      </c>
      <c r="D2034" t="s">
        <v>158</v>
      </c>
      <c r="E2034" t="s">
        <v>149</v>
      </c>
      <c r="F2034">
        <f>ventas_libreria[[#This Row],[precio_eur]]/100</f>
        <v>16.059999999999999</v>
      </c>
      <c r="G2034">
        <v>1606</v>
      </c>
      <c r="H2034">
        <v>1</v>
      </c>
      <c r="I2034">
        <f>ventas_libreria[[#This Row],[precio]]*ventas_libreria[[#This Row],[cantidad]]</f>
        <v>16.059999999999999</v>
      </c>
      <c r="J2034">
        <v>72</v>
      </c>
      <c r="K2034" t="s">
        <v>62</v>
      </c>
      <c r="L2034" s="1">
        <v>45561</v>
      </c>
      <c r="M2034" t="s">
        <v>21</v>
      </c>
      <c r="N2034" t="s">
        <v>22</v>
      </c>
      <c r="O2034" t="s">
        <v>67</v>
      </c>
      <c r="P2034" t="s">
        <v>50</v>
      </c>
      <c r="Q2034">
        <v>4</v>
      </c>
      <c r="R2034">
        <f>IF(ventas_libreria[[#This Row],[valoracion_cliente]]="","Sin valoración",ventas_libreria[[#This Row],[valoracion_cliente]])</f>
        <v>4</v>
      </c>
    </row>
    <row r="2035" spans="1:18" x14ac:dyDescent="0.25">
      <c r="A2035" t="s">
        <v>2311</v>
      </c>
      <c r="B2035" t="s">
        <v>276</v>
      </c>
      <c r="C2035" t="s">
        <v>277</v>
      </c>
      <c r="D2035" t="s">
        <v>278</v>
      </c>
      <c r="E2035" t="s">
        <v>189</v>
      </c>
      <c r="F2035">
        <f>ventas_libreria[[#This Row],[precio_eur]]/100</f>
        <v>16.11</v>
      </c>
      <c r="G2035">
        <v>1611</v>
      </c>
      <c r="H2035">
        <v>1</v>
      </c>
      <c r="I2035">
        <f>ventas_libreria[[#This Row],[precio]]*ventas_libreria[[#This Row],[cantidad]]</f>
        <v>16.11</v>
      </c>
      <c r="J2035">
        <v>34</v>
      </c>
      <c r="K2035" t="s">
        <v>20</v>
      </c>
      <c r="L2035" s="1">
        <v>45741</v>
      </c>
      <c r="M2035" t="s">
        <v>31</v>
      </c>
      <c r="N2035" t="s">
        <v>32</v>
      </c>
      <c r="O2035" t="s">
        <v>33</v>
      </c>
      <c r="P2035" t="s">
        <v>24</v>
      </c>
      <c r="R2035" t="str">
        <f>IF(ventas_libreria[[#This Row],[valoracion_cliente]]="","Sin valoración",ventas_libreria[[#This Row],[valoracion_cliente]])</f>
        <v>Sin valoración</v>
      </c>
    </row>
    <row r="2036" spans="1:18" x14ac:dyDescent="0.25">
      <c r="A2036" t="s">
        <v>2312</v>
      </c>
      <c r="B2036" t="s">
        <v>197</v>
      </c>
      <c r="C2036" t="s">
        <v>198</v>
      </c>
      <c r="D2036" t="s">
        <v>199</v>
      </c>
      <c r="E2036" t="s">
        <v>55</v>
      </c>
      <c r="F2036">
        <f>ventas_libreria[[#This Row],[precio_eur]]/100</f>
        <v>1.75</v>
      </c>
      <c r="G2036">
        <v>175</v>
      </c>
      <c r="H2036">
        <v>1</v>
      </c>
      <c r="I2036">
        <f>ventas_libreria[[#This Row],[precio]]*ventas_libreria[[#This Row],[cantidad]]</f>
        <v>1.75</v>
      </c>
      <c r="J2036">
        <v>42</v>
      </c>
      <c r="K2036" t="s">
        <v>20</v>
      </c>
      <c r="L2036" s="1">
        <v>45080</v>
      </c>
      <c r="M2036" t="s">
        <v>31</v>
      </c>
      <c r="N2036" t="s">
        <v>22</v>
      </c>
      <c r="O2036" t="s">
        <v>67</v>
      </c>
      <c r="P2036" t="s">
        <v>84</v>
      </c>
      <c r="Q2036">
        <v>5</v>
      </c>
      <c r="R2036">
        <f>IF(ventas_libreria[[#This Row],[valoracion_cliente]]="","Sin valoración",ventas_libreria[[#This Row],[valoracion_cliente]])</f>
        <v>5</v>
      </c>
    </row>
    <row r="2037" spans="1:18" x14ac:dyDescent="0.25">
      <c r="A2037" t="s">
        <v>2313</v>
      </c>
      <c r="B2037" t="s">
        <v>186</v>
      </c>
      <c r="C2037" t="s">
        <v>187</v>
      </c>
      <c r="D2037" t="s">
        <v>188</v>
      </c>
      <c r="E2037" t="s">
        <v>189</v>
      </c>
      <c r="F2037">
        <f>ventas_libreria[[#This Row],[precio_eur]]/100</f>
        <v>20.89</v>
      </c>
      <c r="G2037">
        <v>2089</v>
      </c>
      <c r="H2037">
        <v>2</v>
      </c>
      <c r="I2037">
        <f>ventas_libreria[[#This Row],[precio]]*ventas_libreria[[#This Row],[cantidad]]</f>
        <v>41.78</v>
      </c>
      <c r="J2037">
        <v>56</v>
      </c>
      <c r="K2037" t="s">
        <v>20</v>
      </c>
      <c r="L2037" s="1">
        <v>45641</v>
      </c>
      <c r="M2037" t="s">
        <v>31</v>
      </c>
      <c r="N2037" t="s">
        <v>22</v>
      </c>
      <c r="O2037" t="s">
        <v>49</v>
      </c>
      <c r="P2037" t="s">
        <v>34</v>
      </c>
      <c r="Q2037">
        <v>5</v>
      </c>
      <c r="R2037">
        <f>IF(ventas_libreria[[#This Row],[valoracion_cliente]]="","Sin valoración",ventas_libreria[[#This Row],[valoracion_cliente]])</f>
        <v>5</v>
      </c>
    </row>
    <row r="2038" spans="1:18" x14ac:dyDescent="0.25">
      <c r="A2038" t="s">
        <v>2314</v>
      </c>
      <c r="B2038" t="s">
        <v>327</v>
      </c>
      <c r="C2038" t="s">
        <v>328</v>
      </c>
      <c r="D2038" t="s">
        <v>288</v>
      </c>
      <c r="E2038" t="s">
        <v>289</v>
      </c>
      <c r="F2038">
        <f>ventas_libreria[[#This Row],[precio_eur]]/100</f>
        <v>20.61</v>
      </c>
      <c r="G2038">
        <v>2061</v>
      </c>
      <c r="H2038">
        <v>1</v>
      </c>
      <c r="I2038">
        <f>ventas_libreria[[#This Row],[precio]]*ventas_libreria[[#This Row],[cantidad]]</f>
        <v>20.61</v>
      </c>
      <c r="J2038">
        <v>45</v>
      </c>
      <c r="K2038" t="s">
        <v>30</v>
      </c>
      <c r="L2038" s="1">
        <v>45035</v>
      </c>
      <c r="M2038" t="s">
        <v>31</v>
      </c>
      <c r="N2038" t="s">
        <v>32</v>
      </c>
      <c r="O2038" t="s">
        <v>33</v>
      </c>
      <c r="P2038" t="s">
        <v>84</v>
      </c>
      <c r="R2038" t="str">
        <f>IF(ventas_libreria[[#This Row],[valoracion_cliente]]="","Sin valoración",ventas_libreria[[#This Row],[valoracion_cliente]])</f>
        <v>Sin valoración</v>
      </c>
    </row>
    <row r="2039" spans="1:18" x14ac:dyDescent="0.25">
      <c r="A2039" t="s">
        <v>2315</v>
      </c>
      <c r="B2039" t="s">
        <v>137</v>
      </c>
      <c r="C2039" t="s">
        <v>138</v>
      </c>
      <c r="D2039" t="s">
        <v>139</v>
      </c>
      <c r="E2039" t="s">
        <v>116</v>
      </c>
      <c r="F2039">
        <f>ventas_libreria[[#This Row],[precio_eur]]/100</f>
        <v>10.96</v>
      </c>
      <c r="G2039">
        <v>1096</v>
      </c>
      <c r="H2039">
        <v>1</v>
      </c>
      <c r="I2039">
        <f>ventas_libreria[[#This Row],[precio]]*ventas_libreria[[#This Row],[cantidad]]</f>
        <v>10.96</v>
      </c>
      <c r="J2039">
        <v>22</v>
      </c>
      <c r="K2039" t="s">
        <v>38</v>
      </c>
      <c r="L2039" s="1">
        <v>45948</v>
      </c>
      <c r="M2039" t="s">
        <v>21</v>
      </c>
      <c r="N2039" t="s">
        <v>22</v>
      </c>
      <c r="O2039" t="s">
        <v>67</v>
      </c>
      <c r="P2039" t="s">
        <v>24</v>
      </c>
      <c r="R2039" t="str">
        <f>IF(ventas_libreria[[#This Row],[valoracion_cliente]]="","Sin valoración",ventas_libreria[[#This Row],[valoracion_cliente]])</f>
        <v>Sin valoración</v>
      </c>
    </row>
    <row r="2040" spans="1:18" x14ac:dyDescent="0.25">
      <c r="A2040" t="s">
        <v>2316</v>
      </c>
      <c r="B2040" t="s">
        <v>384</v>
      </c>
      <c r="C2040" t="s">
        <v>385</v>
      </c>
      <c r="D2040" t="s">
        <v>158</v>
      </c>
      <c r="E2040" t="s">
        <v>149</v>
      </c>
      <c r="F2040">
        <f>ventas_libreria[[#This Row],[precio_eur]]/100</f>
        <v>2.19</v>
      </c>
      <c r="G2040">
        <v>219</v>
      </c>
      <c r="H2040">
        <v>1</v>
      </c>
      <c r="I2040">
        <f>ventas_libreria[[#This Row],[precio]]*ventas_libreria[[#This Row],[cantidad]]</f>
        <v>2.19</v>
      </c>
      <c r="J2040">
        <v>47</v>
      </c>
      <c r="K2040" t="s">
        <v>38</v>
      </c>
      <c r="L2040" s="1">
        <v>45185</v>
      </c>
      <c r="M2040" t="s">
        <v>31</v>
      </c>
      <c r="N2040" t="s">
        <v>22</v>
      </c>
      <c r="O2040" t="s">
        <v>23</v>
      </c>
      <c r="P2040" t="s">
        <v>50</v>
      </c>
      <c r="R2040" t="str">
        <f>IF(ventas_libreria[[#This Row],[valoracion_cliente]]="","Sin valoración",ventas_libreria[[#This Row],[valoracion_cliente]])</f>
        <v>Sin valoración</v>
      </c>
    </row>
    <row r="2041" spans="1:18" x14ac:dyDescent="0.25">
      <c r="A2041" t="s">
        <v>2317</v>
      </c>
      <c r="B2041" t="s">
        <v>273</v>
      </c>
      <c r="C2041" t="s">
        <v>274</v>
      </c>
      <c r="D2041" t="s">
        <v>262</v>
      </c>
      <c r="E2041" t="s">
        <v>263</v>
      </c>
      <c r="F2041">
        <f>ventas_libreria[[#This Row],[precio_eur]]/100</f>
        <v>2.2999999999999998</v>
      </c>
      <c r="G2041">
        <v>230</v>
      </c>
      <c r="H2041">
        <v>1</v>
      </c>
      <c r="I2041">
        <f>ventas_libreria[[#This Row],[precio]]*ventas_libreria[[#This Row],[cantidad]]</f>
        <v>2.2999999999999998</v>
      </c>
      <c r="J2041">
        <v>41</v>
      </c>
      <c r="K2041" t="s">
        <v>20</v>
      </c>
      <c r="L2041" s="1">
        <v>45987</v>
      </c>
      <c r="M2041" t="s">
        <v>21</v>
      </c>
      <c r="N2041" t="s">
        <v>22</v>
      </c>
      <c r="O2041" t="s">
        <v>23</v>
      </c>
      <c r="P2041" t="s">
        <v>84</v>
      </c>
      <c r="Q2041">
        <v>5</v>
      </c>
      <c r="R2041">
        <f>IF(ventas_libreria[[#This Row],[valoracion_cliente]]="","Sin valoración",ventas_libreria[[#This Row],[valoracion_cliente]])</f>
        <v>5</v>
      </c>
    </row>
    <row r="2042" spans="1:18" x14ac:dyDescent="0.25">
      <c r="A2042" t="s">
        <v>2318</v>
      </c>
      <c r="B2042" t="s">
        <v>129</v>
      </c>
      <c r="C2042" t="s">
        <v>130</v>
      </c>
      <c r="D2042" t="s">
        <v>131</v>
      </c>
      <c r="E2042" t="s">
        <v>107</v>
      </c>
      <c r="F2042">
        <f>ventas_libreria[[#This Row],[precio_eur]]/100</f>
        <v>14.31</v>
      </c>
      <c r="G2042">
        <v>1431</v>
      </c>
      <c r="H2042">
        <v>1</v>
      </c>
      <c r="I2042">
        <f>ventas_libreria[[#This Row],[precio]]*ventas_libreria[[#This Row],[cantidad]]</f>
        <v>14.31</v>
      </c>
      <c r="J2042">
        <v>15</v>
      </c>
      <c r="K2042" t="s">
        <v>30</v>
      </c>
      <c r="L2042" s="1">
        <v>45599</v>
      </c>
      <c r="M2042" t="s">
        <v>43</v>
      </c>
      <c r="N2042" t="s">
        <v>32</v>
      </c>
      <c r="O2042" t="s">
        <v>33</v>
      </c>
      <c r="P2042" t="s">
        <v>24</v>
      </c>
      <c r="Q2042">
        <v>4</v>
      </c>
      <c r="R2042">
        <f>IF(ventas_libreria[[#This Row],[valoracion_cliente]]="","Sin valoración",ventas_libreria[[#This Row],[valoracion_cliente]])</f>
        <v>4</v>
      </c>
    </row>
    <row r="2043" spans="1:18" x14ac:dyDescent="0.25">
      <c r="A2043" t="s">
        <v>2319</v>
      </c>
      <c r="B2043" t="s">
        <v>64</v>
      </c>
      <c r="C2043" t="s">
        <v>65</v>
      </c>
      <c r="D2043" t="s">
        <v>66</v>
      </c>
      <c r="E2043" t="s">
        <v>29</v>
      </c>
      <c r="F2043">
        <f>ventas_libreria[[#This Row],[precio_eur]]/100</f>
        <v>1.65</v>
      </c>
      <c r="G2043">
        <v>165</v>
      </c>
      <c r="H2043">
        <v>1</v>
      </c>
      <c r="I2043">
        <f>ventas_libreria[[#This Row],[precio]]*ventas_libreria[[#This Row],[cantidad]]</f>
        <v>1.65</v>
      </c>
      <c r="J2043">
        <v>18</v>
      </c>
      <c r="K2043" t="s">
        <v>62</v>
      </c>
      <c r="L2043" s="1">
        <v>45560</v>
      </c>
      <c r="M2043" t="s">
        <v>43</v>
      </c>
      <c r="N2043" t="s">
        <v>32</v>
      </c>
      <c r="O2043" t="s">
        <v>33</v>
      </c>
      <c r="P2043" t="s">
        <v>84</v>
      </c>
      <c r="Q2043">
        <v>4</v>
      </c>
      <c r="R2043">
        <f>IF(ventas_libreria[[#This Row],[valoracion_cliente]]="","Sin valoración",ventas_libreria[[#This Row],[valoracion_cliente]])</f>
        <v>4</v>
      </c>
    </row>
    <row r="2044" spans="1:18" x14ac:dyDescent="0.25">
      <c r="A2044" t="s">
        <v>2320</v>
      </c>
      <c r="B2044" t="s">
        <v>151</v>
      </c>
      <c r="C2044" t="s">
        <v>152</v>
      </c>
      <c r="D2044" t="s">
        <v>153</v>
      </c>
      <c r="E2044" t="s">
        <v>154</v>
      </c>
      <c r="F2044">
        <f>ventas_libreria[[#This Row],[precio_eur]]/100</f>
        <v>1.69</v>
      </c>
      <c r="G2044">
        <v>169</v>
      </c>
      <c r="H2044">
        <v>4</v>
      </c>
      <c r="I2044">
        <f>ventas_libreria[[#This Row],[precio]]*ventas_libreria[[#This Row],[cantidad]]</f>
        <v>6.76</v>
      </c>
      <c r="J2044">
        <v>68</v>
      </c>
      <c r="K2044" t="s">
        <v>30</v>
      </c>
      <c r="L2044" s="1">
        <v>45376</v>
      </c>
      <c r="M2044" t="s">
        <v>43</v>
      </c>
      <c r="N2044" t="s">
        <v>32</v>
      </c>
      <c r="O2044" t="s">
        <v>33</v>
      </c>
      <c r="P2044" t="s">
        <v>34</v>
      </c>
      <c r="Q2044">
        <v>5</v>
      </c>
      <c r="R2044">
        <f>IF(ventas_libreria[[#This Row],[valoracion_cliente]]="","Sin valoración",ventas_libreria[[#This Row],[valoracion_cliente]])</f>
        <v>5</v>
      </c>
    </row>
    <row r="2045" spans="1:18" x14ac:dyDescent="0.25">
      <c r="A2045" t="s">
        <v>2321</v>
      </c>
      <c r="B2045" t="s">
        <v>446</v>
      </c>
      <c r="C2045" t="s">
        <v>447</v>
      </c>
      <c r="D2045" t="s">
        <v>262</v>
      </c>
      <c r="E2045" t="s">
        <v>263</v>
      </c>
      <c r="F2045">
        <f>ventas_libreria[[#This Row],[precio_eur]]/100</f>
        <v>1.99</v>
      </c>
      <c r="G2045">
        <v>199</v>
      </c>
      <c r="H2045">
        <v>1</v>
      </c>
      <c r="I2045">
        <f>ventas_libreria[[#This Row],[precio]]*ventas_libreria[[#This Row],[cantidad]]</f>
        <v>1.99</v>
      </c>
      <c r="J2045">
        <v>44</v>
      </c>
      <c r="K2045" t="s">
        <v>20</v>
      </c>
      <c r="L2045" s="1">
        <v>45015</v>
      </c>
      <c r="M2045" t="s">
        <v>43</v>
      </c>
      <c r="N2045" t="s">
        <v>32</v>
      </c>
      <c r="O2045" t="s">
        <v>33</v>
      </c>
      <c r="P2045" t="s">
        <v>84</v>
      </c>
      <c r="Q2045">
        <v>5</v>
      </c>
      <c r="R2045">
        <f>IF(ventas_libreria[[#This Row],[valoracion_cliente]]="","Sin valoración",ventas_libreria[[#This Row],[valoracion_cliente]])</f>
        <v>5</v>
      </c>
    </row>
    <row r="2046" spans="1:18" x14ac:dyDescent="0.25">
      <c r="A2046" t="s">
        <v>2322</v>
      </c>
      <c r="B2046" t="s">
        <v>80</v>
      </c>
      <c r="C2046" t="s">
        <v>81</v>
      </c>
      <c r="D2046" t="s">
        <v>82</v>
      </c>
      <c r="E2046" t="s">
        <v>83</v>
      </c>
      <c r="F2046">
        <f>ventas_libreria[[#This Row],[precio_eur]]/100</f>
        <v>8.91</v>
      </c>
      <c r="G2046">
        <v>891</v>
      </c>
      <c r="H2046">
        <v>1</v>
      </c>
      <c r="I2046">
        <f>ventas_libreria[[#This Row],[precio]]*ventas_libreria[[#This Row],[cantidad]]</f>
        <v>8.91</v>
      </c>
      <c r="J2046">
        <v>17</v>
      </c>
      <c r="K2046" t="s">
        <v>38</v>
      </c>
      <c r="L2046" s="1">
        <v>45839</v>
      </c>
      <c r="M2046" t="s">
        <v>43</v>
      </c>
      <c r="N2046" t="s">
        <v>32</v>
      </c>
      <c r="O2046" t="s">
        <v>33</v>
      </c>
      <c r="P2046" t="s">
        <v>84</v>
      </c>
      <c r="Q2046">
        <v>4</v>
      </c>
      <c r="R2046">
        <f>IF(ventas_libreria[[#This Row],[valoracion_cliente]]="","Sin valoración",ventas_libreria[[#This Row],[valoracion_cliente]])</f>
        <v>4</v>
      </c>
    </row>
    <row r="2047" spans="1:18" x14ac:dyDescent="0.25">
      <c r="A2047" t="s">
        <v>2323</v>
      </c>
      <c r="B2047" t="s">
        <v>113</v>
      </c>
      <c r="C2047" t="s">
        <v>114</v>
      </c>
      <c r="D2047" t="s">
        <v>115</v>
      </c>
      <c r="E2047" t="s">
        <v>116</v>
      </c>
      <c r="F2047">
        <f>ventas_libreria[[#This Row],[precio_eur]]/100</f>
        <v>11.81</v>
      </c>
      <c r="G2047">
        <v>1181</v>
      </c>
      <c r="H2047">
        <v>4</v>
      </c>
      <c r="I2047">
        <f>ventas_libreria[[#This Row],[precio]]*ventas_libreria[[#This Row],[cantidad]]</f>
        <v>47.24</v>
      </c>
      <c r="J2047">
        <v>37</v>
      </c>
      <c r="K2047" t="s">
        <v>20</v>
      </c>
      <c r="L2047" s="1">
        <v>45967</v>
      </c>
      <c r="M2047" t="s">
        <v>43</v>
      </c>
      <c r="N2047" t="s">
        <v>32</v>
      </c>
      <c r="O2047" t="s">
        <v>33</v>
      </c>
      <c r="P2047" t="s">
        <v>84</v>
      </c>
      <c r="Q2047">
        <v>5</v>
      </c>
      <c r="R2047">
        <f>IF(ventas_libreria[[#This Row],[valoracion_cliente]]="","Sin valoración",ventas_libreria[[#This Row],[valoracion_cliente]])</f>
        <v>5</v>
      </c>
    </row>
    <row r="2048" spans="1:18" x14ac:dyDescent="0.25">
      <c r="A2048" t="s">
        <v>2324</v>
      </c>
      <c r="B2048" t="s">
        <v>186</v>
      </c>
      <c r="C2048" t="s">
        <v>187</v>
      </c>
      <c r="D2048" t="s">
        <v>188</v>
      </c>
      <c r="E2048" t="s">
        <v>189</v>
      </c>
      <c r="F2048">
        <f>ventas_libreria[[#This Row],[precio_eur]]/100</f>
        <v>1.99</v>
      </c>
      <c r="G2048">
        <v>199</v>
      </c>
      <c r="H2048">
        <v>2</v>
      </c>
      <c r="I2048">
        <f>ventas_libreria[[#This Row],[precio]]*ventas_libreria[[#This Row],[cantidad]]</f>
        <v>3.98</v>
      </c>
      <c r="J2048">
        <v>62</v>
      </c>
      <c r="K2048" t="s">
        <v>30</v>
      </c>
      <c r="L2048" s="1">
        <v>45128</v>
      </c>
      <c r="M2048" t="s">
        <v>31</v>
      </c>
      <c r="N2048" t="s">
        <v>32</v>
      </c>
      <c r="O2048" t="s">
        <v>33</v>
      </c>
      <c r="P2048" t="s">
        <v>50</v>
      </c>
      <c r="Q2048">
        <v>4</v>
      </c>
      <c r="R2048">
        <f>IF(ventas_libreria[[#This Row],[valoracion_cliente]]="","Sin valoración",ventas_libreria[[#This Row],[valoracion_cliente]])</f>
        <v>4</v>
      </c>
    </row>
    <row r="2049" spans="1:18" x14ac:dyDescent="0.25">
      <c r="A2049" t="s">
        <v>2325</v>
      </c>
      <c r="B2049" t="s">
        <v>424</v>
      </c>
      <c r="C2049" t="s">
        <v>425</v>
      </c>
      <c r="D2049" t="s">
        <v>426</v>
      </c>
      <c r="E2049" t="s">
        <v>55</v>
      </c>
      <c r="F2049">
        <f>ventas_libreria[[#This Row],[precio_eur]]/100</f>
        <v>16.059999999999999</v>
      </c>
      <c r="G2049">
        <v>1606</v>
      </c>
      <c r="H2049">
        <v>1</v>
      </c>
      <c r="I2049">
        <f>ventas_libreria[[#This Row],[precio]]*ventas_libreria[[#This Row],[cantidad]]</f>
        <v>16.059999999999999</v>
      </c>
      <c r="J2049">
        <v>64</v>
      </c>
      <c r="K2049" t="s">
        <v>62</v>
      </c>
      <c r="L2049" s="1">
        <v>45656</v>
      </c>
      <c r="M2049" t="s">
        <v>31</v>
      </c>
      <c r="N2049" t="s">
        <v>22</v>
      </c>
      <c r="O2049" t="s">
        <v>132</v>
      </c>
      <c r="P2049" t="s">
        <v>50</v>
      </c>
      <c r="Q2049">
        <v>3</v>
      </c>
      <c r="R2049">
        <f>IF(ventas_libreria[[#This Row],[valoracion_cliente]]="","Sin valoración",ventas_libreria[[#This Row],[valoracion_cliente]])</f>
        <v>3</v>
      </c>
    </row>
    <row r="2050" spans="1:18" x14ac:dyDescent="0.25">
      <c r="A2050" t="s">
        <v>2326</v>
      </c>
      <c r="B2050" t="s">
        <v>240</v>
      </c>
      <c r="C2050" t="s">
        <v>241</v>
      </c>
      <c r="D2050" t="s">
        <v>54</v>
      </c>
      <c r="E2050" t="s">
        <v>172</v>
      </c>
      <c r="F2050">
        <f>ventas_libreria[[#This Row],[precio_eur]]/100</f>
        <v>12.66</v>
      </c>
      <c r="G2050">
        <v>1266</v>
      </c>
      <c r="H2050">
        <v>1</v>
      </c>
      <c r="I2050">
        <f>ventas_libreria[[#This Row],[precio]]*ventas_libreria[[#This Row],[cantidad]]</f>
        <v>12.66</v>
      </c>
      <c r="J2050">
        <v>41</v>
      </c>
      <c r="K2050" t="s">
        <v>62</v>
      </c>
      <c r="L2050" s="1">
        <v>45183</v>
      </c>
      <c r="M2050" t="s">
        <v>43</v>
      </c>
      <c r="N2050" t="s">
        <v>32</v>
      </c>
      <c r="O2050" t="s">
        <v>33</v>
      </c>
      <c r="P2050" t="s">
        <v>34</v>
      </c>
      <c r="Q2050">
        <v>4</v>
      </c>
      <c r="R2050">
        <f>IF(ventas_libreria[[#This Row],[valoracion_cliente]]="","Sin valoración",ventas_libreria[[#This Row],[valoracion_cliente]])</f>
        <v>4</v>
      </c>
    </row>
    <row r="2051" spans="1:18" x14ac:dyDescent="0.25">
      <c r="A2051" t="s">
        <v>2327</v>
      </c>
      <c r="B2051" t="s">
        <v>91</v>
      </c>
      <c r="C2051" t="s">
        <v>92</v>
      </c>
      <c r="D2051" t="s">
        <v>93</v>
      </c>
      <c r="E2051" t="s">
        <v>72</v>
      </c>
      <c r="F2051">
        <f>ventas_libreria[[#This Row],[precio_eur]]/100</f>
        <v>11.81</v>
      </c>
      <c r="G2051">
        <v>1181</v>
      </c>
      <c r="H2051">
        <v>1</v>
      </c>
      <c r="I2051">
        <f>ventas_libreria[[#This Row],[precio]]*ventas_libreria[[#This Row],[cantidad]]</f>
        <v>11.81</v>
      </c>
      <c r="J2051">
        <v>65</v>
      </c>
      <c r="K2051" t="s">
        <v>38</v>
      </c>
      <c r="L2051" s="1">
        <v>45818</v>
      </c>
      <c r="M2051" t="s">
        <v>43</v>
      </c>
      <c r="N2051" t="s">
        <v>32</v>
      </c>
      <c r="O2051" t="s">
        <v>33</v>
      </c>
      <c r="P2051" t="s">
        <v>56</v>
      </c>
      <c r="Q2051">
        <v>3</v>
      </c>
      <c r="R2051">
        <f>IF(ventas_libreria[[#This Row],[valoracion_cliente]]="","Sin valoración",ventas_libreria[[#This Row],[valoracion_cliente]])</f>
        <v>3</v>
      </c>
    </row>
    <row r="2052" spans="1:18" x14ac:dyDescent="0.25">
      <c r="A2052" t="s">
        <v>2328</v>
      </c>
      <c r="B2052" t="s">
        <v>348</v>
      </c>
      <c r="C2052" t="s">
        <v>349</v>
      </c>
      <c r="D2052" t="s">
        <v>350</v>
      </c>
      <c r="E2052" t="s">
        <v>116</v>
      </c>
      <c r="F2052">
        <f>ventas_libreria[[#This Row],[precio_eur]]/100</f>
        <v>20.89</v>
      </c>
      <c r="G2052">
        <v>2089</v>
      </c>
      <c r="H2052">
        <v>1</v>
      </c>
      <c r="I2052">
        <f>ventas_libreria[[#This Row],[precio]]*ventas_libreria[[#This Row],[cantidad]]</f>
        <v>20.89</v>
      </c>
      <c r="J2052">
        <v>48</v>
      </c>
      <c r="K2052" t="s">
        <v>30</v>
      </c>
      <c r="L2052" s="1">
        <v>45250</v>
      </c>
      <c r="M2052" t="s">
        <v>31</v>
      </c>
      <c r="N2052" t="s">
        <v>22</v>
      </c>
      <c r="O2052" t="s">
        <v>67</v>
      </c>
      <c r="P2052" t="s">
        <v>34</v>
      </c>
      <c r="R2052" t="str">
        <f>IF(ventas_libreria[[#This Row],[valoracion_cliente]]="","Sin valoración",ventas_libreria[[#This Row],[valoracion_cliente]])</f>
        <v>Sin valoración</v>
      </c>
    </row>
    <row r="2053" spans="1:18" x14ac:dyDescent="0.25">
      <c r="A2053" t="s">
        <v>2329</v>
      </c>
      <c r="B2053" t="s">
        <v>332</v>
      </c>
      <c r="C2053" t="s">
        <v>333</v>
      </c>
      <c r="D2053" t="s">
        <v>334</v>
      </c>
      <c r="E2053" t="s">
        <v>116</v>
      </c>
      <c r="F2053">
        <f>ventas_libreria[[#This Row],[precio_eur]]/100</f>
        <v>13.52</v>
      </c>
      <c r="G2053">
        <v>1352</v>
      </c>
      <c r="H2053">
        <v>1</v>
      </c>
      <c r="I2053">
        <f>ventas_libreria[[#This Row],[precio]]*ventas_libreria[[#This Row],[cantidad]]</f>
        <v>13.52</v>
      </c>
      <c r="J2053">
        <v>52</v>
      </c>
      <c r="K2053" t="s">
        <v>30</v>
      </c>
      <c r="L2053" s="1">
        <v>45412</v>
      </c>
      <c r="M2053" t="s">
        <v>31</v>
      </c>
      <c r="N2053" t="s">
        <v>32</v>
      </c>
      <c r="O2053" t="s">
        <v>33</v>
      </c>
      <c r="P2053" t="s">
        <v>84</v>
      </c>
      <c r="Q2053">
        <v>4</v>
      </c>
      <c r="R2053">
        <f>IF(ventas_libreria[[#This Row],[valoracion_cliente]]="","Sin valoración",ventas_libreria[[#This Row],[valoracion_cliente]])</f>
        <v>4</v>
      </c>
    </row>
    <row r="2054" spans="1:18" x14ac:dyDescent="0.25">
      <c r="A2054" t="s">
        <v>2330</v>
      </c>
      <c r="B2054" t="s">
        <v>276</v>
      </c>
      <c r="C2054" t="s">
        <v>277</v>
      </c>
      <c r="D2054" t="s">
        <v>278</v>
      </c>
      <c r="E2054" t="s">
        <v>189</v>
      </c>
      <c r="F2054">
        <f>ventas_libreria[[#This Row],[precio_eur]]/100</f>
        <v>1.79</v>
      </c>
      <c r="G2054">
        <v>179</v>
      </c>
      <c r="H2054">
        <v>1</v>
      </c>
      <c r="I2054">
        <f>ventas_libreria[[#This Row],[precio]]*ventas_libreria[[#This Row],[cantidad]]</f>
        <v>1.79</v>
      </c>
      <c r="J2054">
        <v>71</v>
      </c>
      <c r="K2054" t="s">
        <v>20</v>
      </c>
      <c r="L2054" s="1">
        <v>46014</v>
      </c>
      <c r="M2054" t="s">
        <v>21</v>
      </c>
      <c r="N2054" t="s">
        <v>22</v>
      </c>
      <c r="O2054" t="s">
        <v>23</v>
      </c>
      <c r="P2054" t="s">
        <v>34</v>
      </c>
      <c r="R2054" t="str">
        <f>IF(ventas_libreria[[#This Row],[valoracion_cliente]]="","Sin valoración",ventas_libreria[[#This Row],[valoracion_cliente]])</f>
        <v>Sin valoración</v>
      </c>
    </row>
    <row r="2055" spans="1:18" x14ac:dyDescent="0.25">
      <c r="A2055" t="s">
        <v>2331</v>
      </c>
      <c r="B2055" t="s">
        <v>165</v>
      </c>
      <c r="C2055" t="s">
        <v>166</v>
      </c>
      <c r="D2055" t="s">
        <v>167</v>
      </c>
      <c r="E2055" t="s">
        <v>61</v>
      </c>
      <c r="F2055">
        <f>ventas_libreria[[#This Row],[precio_eur]]/100</f>
        <v>12.66</v>
      </c>
      <c r="G2055">
        <v>1266</v>
      </c>
      <c r="H2055">
        <v>4</v>
      </c>
      <c r="I2055">
        <f>ventas_libreria[[#This Row],[precio]]*ventas_libreria[[#This Row],[cantidad]]</f>
        <v>50.64</v>
      </c>
      <c r="J2055">
        <v>28</v>
      </c>
      <c r="K2055" t="s">
        <v>20</v>
      </c>
      <c r="L2055" s="1">
        <v>45696</v>
      </c>
      <c r="M2055" t="s">
        <v>21</v>
      </c>
      <c r="N2055" t="s">
        <v>32</v>
      </c>
      <c r="O2055" t="s">
        <v>33</v>
      </c>
      <c r="P2055" t="s">
        <v>84</v>
      </c>
      <c r="Q2055">
        <v>4</v>
      </c>
      <c r="R2055">
        <f>IF(ventas_libreria[[#This Row],[valoracion_cliente]]="","Sin valoración",ventas_libreria[[#This Row],[valoracion_cliente]])</f>
        <v>4</v>
      </c>
    </row>
    <row r="2056" spans="1:18" x14ac:dyDescent="0.25">
      <c r="A2056" t="s">
        <v>2332</v>
      </c>
      <c r="B2056" t="s">
        <v>424</v>
      </c>
      <c r="C2056" t="s">
        <v>425</v>
      </c>
      <c r="D2056" t="s">
        <v>426</v>
      </c>
      <c r="E2056" t="s">
        <v>55</v>
      </c>
      <c r="F2056">
        <f>ventas_libreria[[#This Row],[precio_eur]]/100</f>
        <v>1.89</v>
      </c>
      <c r="G2056">
        <v>189</v>
      </c>
      <c r="H2056">
        <v>1</v>
      </c>
      <c r="I2056">
        <f>ventas_libreria[[#This Row],[precio]]*ventas_libreria[[#This Row],[cantidad]]</f>
        <v>1.89</v>
      </c>
      <c r="J2056">
        <v>43</v>
      </c>
      <c r="K2056" t="s">
        <v>20</v>
      </c>
      <c r="L2056" s="1">
        <v>45012</v>
      </c>
      <c r="M2056" t="s">
        <v>31</v>
      </c>
      <c r="N2056" t="s">
        <v>22</v>
      </c>
      <c r="O2056" t="s">
        <v>23</v>
      </c>
      <c r="P2056" t="s">
        <v>34</v>
      </c>
      <c r="Q2056">
        <v>4</v>
      </c>
      <c r="R2056">
        <f>IF(ventas_libreria[[#This Row],[valoracion_cliente]]="","Sin valoración",ventas_libreria[[#This Row],[valoracion_cliente]])</f>
        <v>4</v>
      </c>
    </row>
    <row r="2057" spans="1:18" x14ac:dyDescent="0.25">
      <c r="A2057" t="s">
        <v>2333</v>
      </c>
      <c r="B2057" t="s">
        <v>201</v>
      </c>
      <c r="C2057" t="s">
        <v>202</v>
      </c>
      <c r="D2057" t="s">
        <v>47</v>
      </c>
      <c r="E2057" t="s">
        <v>107</v>
      </c>
      <c r="F2057">
        <f>ventas_libreria[[#This Row],[precio_eur]]/100</f>
        <v>1.39</v>
      </c>
      <c r="G2057">
        <v>139</v>
      </c>
      <c r="H2057">
        <v>2</v>
      </c>
      <c r="I2057">
        <f>ventas_libreria[[#This Row],[precio]]*ventas_libreria[[#This Row],[cantidad]]</f>
        <v>2.78</v>
      </c>
      <c r="J2057">
        <v>22</v>
      </c>
      <c r="K2057" t="s">
        <v>30</v>
      </c>
      <c r="L2057" s="1">
        <v>45969</v>
      </c>
      <c r="M2057" t="s">
        <v>43</v>
      </c>
      <c r="N2057" t="s">
        <v>32</v>
      </c>
      <c r="O2057" t="s">
        <v>33</v>
      </c>
      <c r="P2057" t="s">
        <v>56</v>
      </c>
      <c r="Q2057">
        <v>3</v>
      </c>
      <c r="R2057">
        <f>IF(ventas_libreria[[#This Row],[valoracion_cliente]]="","Sin valoración",ventas_libreria[[#This Row],[valoracion_cliente]])</f>
        <v>3</v>
      </c>
    </row>
    <row r="2058" spans="1:18" x14ac:dyDescent="0.25">
      <c r="A2058" t="s">
        <v>2334</v>
      </c>
      <c r="B2058" t="s">
        <v>69</v>
      </c>
      <c r="C2058" t="s">
        <v>70</v>
      </c>
      <c r="D2058" t="s">
        <v>71</v>
      </c>
      <c r="E2058" t="s">
        <v>72</v>
      </c>
      <c r="F2058">
        <f>ventas_libreria[[#This Row],[precio_eur]]/100</f>
        <v>14.36</v>
      </c>
      <c r="G2058">
        <v>1436</v>
      </c>
      <c r="H2058">
        <v>3</v>
      </c>
      <c r="I2058">
        <f>ventas_libreria[[#This Row],[precio]]*ventas_libreria[[#This Row],[cantidad]]</f>
        <v>43.08</v>
      </c>
      <c r="J2058">
        <v>56</v>
      </c>
      <c r="K2058" t="s">
        <v>20</v>
      </c>
      <c r="L2058" s="1">
        <v>45537</v>
      </c>
      <c r="M2058" t="s">
        <v>43</v>
      </c>
      <c r="N2058" t="s">
        <v>32</v>
      </c>
      <c r="O2058" t="s">
        <v>33</v>
      </c>
      <c r="P2058" t="s">
        <v>34</v>
      </c>
      <c r="Q2058">
        <v>1</v>
      </c>
      <c r="R2058">
        <f>IF(ventas_libreria[[#This Row],[valoracion_cliente]]="","Sin valoración",ventas_libreria[[#This Row],[valoracion_cliente]])</f>
        <v>1</v>
      </c>
    </row>
    <row r="2059" spans="1:18" x14ac:dyDescent="0.25">
      <c r="A2059" t="s">
        <v>2335</v>
      </c>
      <c r="B2059" t="s">
        <v>141</v>
      </c>
      <c r="C2059" t="s">
        <v>142</v>
      </c>
      <c r="D2059" t="s">
        <v>143</v>
      </c>
      <c r="E2059" t="s">
        <v>116</v>
      </c>
      <c r="F2059">
        <f>ventas_libreria[[#This Row],[precio_eur]]/100</f>
        <v>13.41</v>
      </c>
      <c r="G2059">
        <v>1341</v>
      </c>
      <c r="H2059">
        <v>1</v>
      </c>
      <c r="I2059">
        <f>ventas_libreria[[#This Row],[precio]]*ventas_libreria[[#This Row],[cantidad]]</f>
        <v>13.41</v>
      </c>
      <c r="J2059">
        <v>23</v>
      </c>
      <c r="K2059" t="s">
        <v>38</v>
      </c>
      <c r="L2059" s="1">
        <v>45668</v>
      </c>
      <c r="M2059" t="s">
        <v>43</v>
      </c>
      <c r="N2059" t="s">
        <v>32</v>
      </c>
      <c r="O2059" t="s">
        <v>33</v>
      </c>
      <c r="P2059" t="s">
        <v>84</v>
      </c>
      <c r="Q2059">
        <v>5</v>
      </c>
      <c r="R2059">
        <f>IF(ventas_libreria[[#This Row],[valoracion_cliente]]="","Sin valoración",ventas_libreria[[#This Row],[valoracion_cliente]])</f>
        <v>5</v>
      </c>
    </row>
    <row r="2060" spans="1:18" x14ac:dyDescent="0.25">
      <c r="A2060" t="s">
        <v>2336</v>
      </c>
      <c r="B2060" t="s">
        <v>52</v>
      </c>
      <c r="C2060" t="s">
        <v>53</v>
      </c>
      <c r="D2060" t="s">
        <v>54</v>
      </c>
      <c r="E2060" t="s">
        <v>55</v>
      </c>
      <c r="F2060">
        <f>ventas_libreria[[#This Row],[precio_eur]]/100</f>
        <v>13.75</v>
      </c>
      <c r="G2060">
        <v>1375</v>
      </c>
      <c r="H2060">
        <v>2</v>
      </c>
      <c r="I2060">
        <f>ventas_libreria[[#This Row],[precio]]*ventas_libreria[[#This Row],[cantidad]]</f>
        <v>27.5</v>
      </c>
      <c r="J2060">
        <v>41</v>
      </c>
      <c r="K2060" t="s">
        <v>38</v>
      </c>
      <c r="L2060" s="1">
        <v>45176</v>
      </c>
      <c r="M2060" t="s">
        <v>21</v>
      </c>
      <c r="N2060" t="s">
        <v>32</v>
      </c>
      <c r="O2060" t="s">
        <v>33</v>
      </c>
      <c r="P2060" t="s">
        <v>56</v>
      </c>
      <c r="Q2060">
        <v>5</v>
      </c>
      <c r="R2060">
        <f>IF(ventas_libreria[[#This Row],[valoracion_cliente]]="","Sin valoración",ventas_libreria[[#This Row],[valoracion_cliente]])</f>
        <v>5</v>
      </c>
    </row>
    <row r="2061" spans="1:18" x14ac:dyDescent="0.25">
      <c r="A2061" t="s">
        <v>2337</v>
      </c>
      <c r="B2061" t="s">
        <v>403</v>
      </c>
      <c r="C2061" t="s">
        <v>404</v>
      </c>
      <c r="D2061" t="s">
        <v>123</v>
      </c>
      <c r="E2061" t="s">
        <v>48</v>
      </c>
      <c r="F2061">
        <f>ventas_libreria[[#This Row],[precio_eur]]/100</f>
        <v>32.89</v>
      </c>
      <c r="G2061">
        <v>3289</v>
      </c>
      <c r="H2061">
        <v>1</v>
      </c>
      <c r="I2061">
        <f>ventas_libreria[[#This Row],[precio]]*ventas_libreria[[#This Row],[cantidad]]</f>
        <v>32.89</v>
      </c>
      <c r="J2061">
        <v>66</v>
      </c>
      <c r="K2061" t="s">
        <v>30</v>
      </c>
      <c r="L2061" s="1">
        <v>45044</v>
      </c>
      <c r="M2061" t="s">
        <v>43</v>
      </c>
      <c r="N2061" t="s">
        <v>32</v>
      </c>
      <c r="O2061" t="s">
        <v>33</v>
      </c>
      <c r="P2061" t="s">
        <v>84</v>
      </c>
      <c r="Q2061">
        <v>3</v>
      </c>
      <c r="R2061">
        <f>IF(ventas_libreria[[#This Row],[valoracion_cliente]]="","Sin valoración",ventas_libreria[[#This Row],[valoracion_cliente]])</f>
        <v>3</v>
      </c>
    </row>
    <row r="2062" spans="1:18" x14ac:dyDescent="0.25">
      <c r="A2062" t="s">
        <v>2338</v>
      </c>
      <c r="B2062" t="s">
        <v>273</v>
      </c>
      <c r="C2062" t="s">
        <v>274</v>
      </c>
      <c r="D2062" t="s">
        <v>262</v>
      </c>
      <c r="E2062" t="s">
        <v>263</v>
      </c>
      <c r="F2062">
        <f>ventas_libreria[[#This Row],[precio_eur]]/100</f>
        <v>2.19</v>
      </c>
      <c r="G2062">
        <v>219</v>
      </c>
      <c r="H2062">
        <v>1</v>
      </c>
      <c r="I2062">
        <f>ventas_libreria[[#This Row],[precio]]*ventas_libreria[[#This Row],[cantidad]]</f>
        <v>2.19</v>
      </c>
      <c r="J2062">
        <v>60</v>
      </c>
      <c r="K2062" t="s">
        <v>30</v>
      </c>
      <c r="L2062" s="1">
        <v>45435</v>
      </c>
      <c r="M2062" t="s">
        <v>21</v>
      </c>
      <c r="N2062" t="s">
        <v>32</v>
      </c>
      <c r="O2062" t="s">
        <v>33</v>
      </c>
      <c r="P2062" t="s">
        <v>34</v>
      </c>
      <c r="R2062" t="str">
        <f>IF(ventas_libreria[[#This Row],[valoracion_cliente]]="","Sin valoración",ventas_libreria[[#This Row],[valoracion_cliente]])</f>
        <v>Sin valoración</v>
      </c>
    </row>
    <row r="2063" spans="1:18" x14ac:dyDescent="0.25">
      <c r="A2063" t="s">
        <v>2339</v>
      </c>
      <c r="B2063" t="s">
        <v>204</v>
      </c>
      <c r="C2063" t="s">
        <v>205</v>
      </c>
      <c r="D2063" t="s">
        <v>206</v>
      </c>
      <c r="E2063" t="s">
        <v>116</v>
      </c>
      <c r="F2063">
        <f>ventas_libreria[[#This Row],[precio_eur]]/100</f>
        <v>13.55</v>
      </c>
      <c r="G2063">
        <v>1355</v>
      </c>
      <c r="H2063">
        <v>3</v>
      </c>
      <c r="I2063">
        <f>ventas_libreria[[#This Row],[precio]]*ventas_libreria[[#This Row],[cantidad]]</f>
        <v>40.650000000000006</v>
      </c>
      <c r="J2063">
        <v>61</v>
      </c>
      <c r="K2063" t="s">
        <v>20</v>
      </c>
      <c r="L2063" s="1">
        <v>45724</v>
      </c>
      <c r="M2063" t="s">
        <v>31</v>
      </c>
      <c r="N2063" t="s">
        <v>32</v>
      </c>
      <c r="O2063" t="s">
        <v>33</v>
      </c>
      <c r="P2063" t="s">
        <v>24</v>
      </c>
      <c r="Q2063">
        <v>4</v>
      </c>
      <c r="R2063">
        <f>IF(ventas_libreria[[#This Row],[valoracion_cliente]]="","Sin valoración",ventas_libreria[[#This Row],[valoracion_cliente]])</f>
        <v>4</v>
      </c>
    </row>
    <row r="2064" spans="1:18" x14ac:dyDescent="0.25">
      <c r="A2064" t="s">
        <v>2340</v>
      </c>
      <c r="B2064" t="s">
        <v>95</v>
      </c>
      <c r="C2064" t="s">
        <v>96</v>
      </c>
      <c r="D2064" t="s">
        <v>97</v>
      </c>
      <c r="E2064" t="s">
        <v>29</v>
      </c>
      <c r="F2064">
        <f>ventas_libreria[[#This Row],[precio_eur]]/100</f>
        <v>18.79</v>
      </c>
      <c r="G2064">
        <v>1879</v>
      </c>
      <c r="H2064">
        <v>1</v>
      </c>
      <c r="I2064">
        <f>ventas_libreria[[#This Row],[precio]]*ventas_libreria[[#This Row],[cantidad]]</f>
        <v>18.79</v>
      </c>
      <c r="J2064">
        <v>39</v>
      </c>
      <c r="K2064" t="s">
        <v>20</v>
      </c>
      <c r="L2064" s="1">
        <v>45549</v>
      </c>
      <c r="M2064" t="s">
        <v>31</v>
      </c>
      <c r="N2064" t="s">
        <v>22</v>
      </c>
      <c r="O2064" t="s">
        <v>132</v>
      </c>
      <c r="P2064" t="s">
        <v>84</v>
      </c>
      <c r="Q2064">
        <v>5</v>
      </c>
      <c r="R2064">
        <f>IF(ventas_libreria[[#This Row],[valoracion_cliente]]="","Sin valoración",ventas_libreria[[#This Row],[valoracion_cliente]])</f>
        <v>5</v>
      </c>
    </row>
    <row r="2065" spans="1:18" x14ac:dyDescent="0.25">
      <c r="A2065" t="s">
        <v>2341</v>
      </c>
      <c r="B2065" t="s">
        <v>137</v>
      </c>
      <c r="C2065" t="s">
        <v>138</v>
      </c>
      <c r="D2065" t="s">
        <v>139</v>
      </c>
      <c r="E2065" t="s">
        <v>116</v>
      </c>
      <c r="F2065">
        <f>ventas_libreria[[#This Row],[precio_eur]]/100</f>
        <v>1.29</v>
      </c>
      <c r="G2065">
        <v>129</v>
      </c>
      <c r="H2065">
        <v>1</v>
      </c>
      <c r="I2065">
        <f>ventas_libreria[[#This Row],[precio]]*ventas_libreria[[#This Row],[cantidad]]</f>
        <v>1.29</v>
      </c>
      <c r="J2065">
        <v>22</v>
      </c>
      <c r="K2065" t="s">
        <v>20</v>
      </c>
      <c r="L2065" s="1">
        <v>46015</v>
      </c>
      <c r="M2065" t="s">
        <v>31</v>
      </c>
      <c r="N2065" t="s">
        <v>32</v>
      </c>
      <c r="O2065" t="s">
        <v>33</v>
      </c>
      <c r="P2065" t="s">
        <v>56</v>
      </c>
      <c r="R2065" t="str">
        <f>IF(ventas_libreria[[#This Row],[valoracion_cliente]]="","Sin valoración",ventas_libreria[[#This Row],[valoracion_cliente]])</f>
        <v>Sin valoración</v>
      </c>
    </row>
    <row r="2066" spans="1:18" x14ac:dyDescent="0.25">
      <c r="A2066" t="s">
        <v>2342</v>
      </c>
      <c r="B2066" t="s">
        <v>113</v>
      </c>
      <c r="C2066" t="s">
        <v>114</v>
      </c>
      <c r="D2066" t="s">
        <v>115</v>
      </c>
      <c r="E2066" t="s">
        <v>116</v>
      </c>
      <c r="F2066">
        <f>ventas_libreria[[#This Row],[precio_eur]]/100</f>
        <v>1.39</v>
      </c>
      <c r="G2066">
        <v>139</v>
      </c>
      <c r="H2066">
        <v>1</v>
      </c>
      <c r="I2066">
        <f>ventas_libreria[[#This Row],[precio]]*ventas_libreria[[#This Row],[cantidad]]</f>
        <v>1.39</v>
      </c>
      <c r="J2066">
        <v>26</v>
      </c>
      <c r="K2066" t="s">
        <v>62</v>
      </c>
      <c r="L2066" s="1">
        <v>45970</v>
      </c>
      <c r="M2066" t="s">
        <v>31</v>
      </c>
      <c r="N2066" t="s">
        <v>22</v>
      </c>
      <c r="O2066" t="s">
        <v>132</v>
      </c>
      <c r="P2066" t="s">
        <v>84</v>
      </c>
      <c r="Q2066">
        <v>3</v>
      </c>
      <c r="R2066">
        <f>IF(ventas_libreria[[#This Row],[valoracion_cliente]]="","Sin valoración",ventas_libreria[[#This Row],[valoracion_cliente]])</f>
        <v>3</v>
      </c>
    </row>
    <row r="2067" spans="1:18" x14ac:dyDescent="0.25">
      <c r="A2067" t="s">
        <v>2343</v>
      </c>
      <c r="B2067" t="s">
        <v>109</v>
      </c>
      <c r="C2067" t="s">
        <v>110</v>
      </c>
      <c r="D2067" t="s">
        <v>111</v>
      </c>
      <c r="E2067" t="s">
        <v>55</v>
      </c>
      <c r="F2067">
        <f>ventas_libreria[[#This Row],[precio_eur]]/100</f>
        <v>1.99</v>
      </c>
      <c r="G2067">
        <v>199</v>
      </c>
      <c r="H2067">
        <v>1</v>
      </c>
      <c r="I2067">
        <f>ventas_libreria[[#This Row],[precio]]*ventas_libreria[[#This Row],[cantidad]]</f>
        <v>1.99</v>
      </c>
      <c r="J2067">
        <v>50</v>
      </c>
      <c r="K2067" t="s">
        <v>20</v>
      </c>
      <c r="L2067" s="1">
        <v>45152</v>
      </c>
      <c r="M2067" t="s">
        <v>43</v>
      </c>
      <c r="N2067" t="s">
        <v>32</v>
      </c>
      <c r="O2067" t="s">
        <v>33</v>
      </c>
      <c r="P2067" t="s">
        <v>34</v>
      </c>
      <c r="Q2067">
        <v>5</v>
      </c>
      <c r="R2067">
        <f>IF(ventas_libreria[[#This Row],[valoracion_cliente]]="","Sin valoración",ventas_libreria[[#This Row],[valoracion_cliente]])</f>
        <v>5</v>
      </c>
    </row>
    <row r="2068" spans="1:18" x14ac:dyDescent="0.25">
      <c r="A2068" t="s">
        <v>2344</v>
      </c>
      <c r="B2068" t="s">
        <v>201</v>
      </c>
      <c r="C2068" t="s">
        <v>202</v>
      </c>
      <c r="D2068" t="s">
        <v>47</v>
      </c>
      <c r="E2068" t="s">
        <v>107</v>
      </c>
      <c r="F2068">
        <f>ventas_libreria[[#This Row],[precio_eur]]/100</f>
        <v>12.51</v>
      </c>
      <c r="G2068">
        <v>1251</v>
      </c>
      <c r="H2068">
        <v>1</v>
      </c>
      <c r="I2068">
        <f>ventas_libreria[[#This Row],[precio]]*ventas_libreria[[#This Row],[cantidad]]</f>
        <v>12.51</v>
      </c>
      <c r="J2068">
        <v>19</v>
      </c>
      <c r="K2068" t="s">
        <v>20</v>
      </c>
      <c r="L2068" s="1">
        <v>44991</v>
      </c>
      <c r="M2068" t="s">
        <v>21</v>
      </c>
      <c r="N2068" t="s">
        <v>22</v>
      </c>
      <c r="O2068" t="s">
        <v>49</v>
      </c>
      <c r="P2068" t="s">
        <v>34</v>
      </c>
      <c r="Q2068">
        <v>5</v>
      </c>
      <c r="R2068">
        <f>IF(ventas_libreria[[#This Row],[valoracion_cliente]]="","Sin valoración",ventas_libreria[[#This Row],[valoracion_cliente]])</f>
        <v>5</v>
      </c>
    </row>
    <row r="2069" spans="1:18" x14ac:dyDescent="0.25">
      <c r="A2069" t="s">
        <v>2345</v>
      </c>
      <c r="B2069" t="s">
        <v>362</v>
      </c>
      <c r="C2069" t="s">
        <v>363</v>
      </c>
      <c r="D2069" t="s">
        <v>249</v>
      </c>
      <c r="E2069" t="s">
        <v>172</v>
      </c>
      <c r="F2069">
        <f>ventas_libreria[[#This Row],[precio_eur]]/100</f>
        <v>12.16</v>
      </c>
      <c r="G2069">
        <v>1216</v>
      </c>
      <c r="H2069">
        <v>3</v>
      </c>
      <c r="I2069">
        <f>ventas_libreria[[#This Row],[precio]]*ventas_libreria[[#This Row],[cantidad]]</f>
        <v>36.480000000000004</v>
      </c>
      <c r="J2069">
        <v>56</v>
      </c>
      <c r="K2069" t="s">
        <v>38</v>
      </c>
      <c r="L2069" s="1">
        <v>45618</v>
      </c>
      <c r="M2069" t="s">
        <v>21</v>
      </c>
      <c r="N2069" t="s">
        <v>22</v>
      </c>
      <c r="O2069" t="s">
        <v>132</v>
      </c>
      <c r="P2069" t="s">
        <v>50</v>
      </c>
      <c r="Q2069">
        <v>5</v>
      </c>
      <c r="R2069">
        <f>IF(ventas_libreria[[#This Row],[valoracion_cliente]]="","Sin valoración",ventas_libreria[[#This Row],[valoracion_cliente]])</f>
        <v>5</v>
      </c>
    </row>
    <row r="2070" spans="1:18" x14ac:dyDescent="0.25">
      <c r="A2070" t="s">
        <v>2346</v>
      </c>
      <c r="B2070" t="s">
        <v>80</v>
      </c>
      <c r="C2070" t="s">
        <v>81</v>
      </c>
      <c r="D2070" t="s">
        <v>82</v>
      </c>
      <c r="E2070" t="s">
        <v>83</v>
      </c>
      <c r="F2070">
        <f>ventas_libreria[[#This Row],[precio_eur]]/100</f>
        <v>10.89</v>
      </c>
      <c r="G2070">
        <v>1089</v>
      </c>
      <c r="H2070">
        <v>1</v>
      </c>
      <c r="I2070">
        <f>ventas_libreria[[#This Row],[precio]]*ventas_libreria[[#This Row],[cantidad]]</f>
        <v>10.89</v>
      </c>
      <c r="J2070">
        <v>56</v>
      </c>
      <c r="K2070" t="s">
        <v>20</v>
      </c>
      <c r="L2070" s="1">
        <v>45489</v>
      </c>
      <c r="M2070" t="s">
        <v>31</v>
      </c>
      <c r="N2070" t="s">
        <v>22</v>
      </c>
      <c r="O2070" t="s">
        <v>49</v>
      </c>
      <c r="P2070" t="s">
        <v>34</v>
      </c>
      <c r="Q2070">
        <v>5</v>
      </c>
      <c r="R2070">
        <f>IF(ventas_libreria[[#This Row],[valoracion_cliente]]="","Sin valoración",ventas_libreria[[#This Row],[valoracion_cliente]])</f>
        <v>5</v>
      </c>
    </row>
    <row r="2071" spans="1:18" x14ac:dyDescent="0.25">
      <c r="A2071" t="s">
        <v>2347</v>
      </c>
      <c r="B2071" t="s">
        <v>273</v>
      </c>
      <c r="C2071" t="s">
        <v>274</v>
      </c>
      <c r="D2071" t="s">
        <v>262</v>
      </c>
      <c r="E2071" t="s">
        <v>263</v>
      </c>
      <c r="F2071">
        <f>ventas_libreria[[#This Row],[precio_eur]]/100</f>
        <v>17.52</v>
      </c>
      <c r="G2071">
        <v>1752</v>
      </c>
      <c r="H2071">
        <v>1</v>
      </c>
      <c r="I2071">
        <f>ventas_libreria[[#This Row],[precio]]*ventas_libreria[[#This Row],[cantidad]]</f>
        <v>17.52</v>
      </c>
      <c r="J2071">
        <v>23</v>
      </c>
      <c r="K2071" t="s">
        <v>62</v>
      </c>
      <c r="L2071" s="1">
        <v>45002</v>
      </c>
      <c r="M2071" t="s">
        <v>21</v>
      </c>
      <c r="N2071" t="s">
        <v>32</v>
      </c>
      <c r="O2071" t="s">
        <v>33</v>
      </c>
      <c r="P2071" t="s">
        <v>24</v>
      </c>
      <c r="R2071" t="str">
        <f>IF(ventas_libreria[[#This Row],[valoracion_cliente]]="","Sin valoración",ventas_libreria[[#This Row],[valoracion_cliente]])</f>
        <v>Sin valoración</v>
      </c>
    </row>
    <row r="2072" spans="1:18" x14ac:dyDescent="0.25">
      <c r="A2072" t="s">
        <v>2348</v>
      </c>
      <c r="B2072" t="s">
        <v>151</v>
      </c>
      <c r="C2072" t="s">
        <v>152</v>
      </c>
      <c r="D2072" t="s">
        <v>153</v>
      </c>
      <c r="E2072" t="s">
        <v>154</v>
      </c>
      <c r="F2072">
        <f>ventas_libreria[[#This Row],[precio_eur]]/100</f>
        <v>15.21</v>
      </c>
      <c r="G2072">
        <v>1521</v>
      </c>
      <c r="H2072">
        <v>1</v>
      </c>
      <c r="I2072">
        <f>ventas_libreria[[#This Row],[precio]]*ventas_libreria[[#This Row],[cantidad]]</f>
        <v>15.21</v>
      </c>
      <c r="J2072">
        <v>54</v>
      </c>
      <c r="K2072" t="s">
        <v>20</v>
      </c>
      <c r="L2072" s="1">
        <v>45648</v>
      </c>
      <c r="M2072" t="s">
        <v>21</v>
      </c>
      <c r="N2072" t="s">
        <v>22</v>
      </c>
      <c r="O2072" t="s">
        <v>98</v>
      </c>
      <c r="P2072" t="s">
        <v>34</v>
      </c>
      <c r="Q2072">
        <v>3</v>
      </c>
      <c r="R2072">
        <f>IF(ventas_libreria[[#This Row],[valoracion_cliente]]="","Sin valoración",ventas_libreria[[#This Row],[valoracion_cliente]])</f>
        <v>3</v>
      </c>
    </row>
    <row r="2073" spans="1:18" x14ac:dyDescent="0.25">
      <c r="A2073" t="s">
        <v>2349</v>
      </c>
      <c r="B2073" t="s">
        <v>265</v>
      </c>
      <c r="C2073" t="s">
        <v>266</v>
      </c>
      <c r="D2073" t="s">
        <v>162</v>
      </c>
      <c r="E2073" t="s">
        <v>29</v>
      </c>
      <c r="F2073">
        <f>ventas_libreria[[#This Row],[precio_eur]]/100</f>
        <v>13.52</v>
      </c>
      <c r="G2073">
        <v>1352</v>
      </c>
      <c r="H2073">
        <v>2</v>
      </c>
      <c r="I2073">
        <f>ventas_libreria[[#This Row],[precio]]*ventas_libreria[[#This Row],[cantidad]]</f>
        <v>27.04</v>
      </c>
      <c r="J2073">
        <v>49</v>
      </c>
      <c r="K2073" t="s">
        <v>30</v>
      </c>
      <c r="L2073" s="1">
        <v>45934</v>
      </c>
      <c r="M2073" t="s">
        <v>31</v>
      </c>
      <c r="N2073" t="s">
        <v>22</v>
      </c>
      <c r="O2073" t="s">
        <v>49</v>
      </c>
      <c r="P2073" t="s">
        <v>24</v>
      </c>
      <c r="Q2073">
        <v>1</v>
      </c>
      <c r="R2073">
        <f>IF(ventas_libreria[[#This Row],[valoracion_cliente]]="","Sin valoración",ventas_libreria[[#This Row],[valoracion_cliente]])</f>
        <v>1</v>
      </c>
    </row>
    <row r="2074" spans="1:18" x14ac:dyDescent="0.25">
      <c r="A2074" t="s">
        <v>2350</v>
      </c>
      <c r="B2074" t="s">
        <v>26</v>
      </c>
      <c r="C2074" t="s">
        <v>27</v>
      </c>
      <c r="D2074" t="s">
        <v>28</v>
      </c>
      <c r="E2074" t="s">
        <v>29</v>
      </c>
      <c r="F2074">
        <f>ventas_libreria[[#This Row],[precio_eur]]/100</f>
        <v>15.12</v>
      </c>
      <c r="G2074">
        <v>1512</v>
      </c>
      <c r="H2074">
        <v>1</v>
      </c>
      <c r="I2074">
        <f>ventas_libreria[[#This Row],[precio]]*ventas_libreria[[#This Row],[cantidad]]</f>
        <v>15.12</v>
      </c>
      <c r="J2074">
        <v>67</v>
      </c>
      <c r="K2074" t="s">
        <v>62</v>
      </c>
      <c r="L2074" s="1">
        <v>45322</v>
      </c>
      <c r="M2074" t="s">
        <v>21</v>
      </c>
      <c r="N2074" t="s">
        <v>32</v>
      </c>
      <c r="O2074" t="s">
        <v>33</v>
      </c>
      <c r="P2074" t="s">
        <v>56</v>
      </c>
      <c r="Q2074">
        <v>2</v>
      </c>
      <c r="R2074">
        <f>IF(ventas_libreria[[#This Row],[valoracion_cliente]]="","Sin valoración",ventas_libreria[[#This Row],[valoracion_cliente]])</f>
        <v>2</v>
      </c>
    </row>
    <row r="2075" spans="1:18" x14ac:dyDescent="0.25">
      <c r="A2075" t="s">
        <v>2351</v>
      </c>
      <c r="B2075" t="s">
        <v>52</v>
      </c>
      <c r="C2075" t="s">
        <v>53</v>
      </c>
      <c r="D2075" t="s">
        <v>54</v>
      </c>
      <c r="E2075" t="s">
        <v>55</v>
      </c>
      <c r="F2075">
        <f>ventas_libreria[[#This Row],[precio_eur]]/100</f>
        <v>1.25</v>
      </c>
      <c r="G2075">
        <v>125</v>
      </c>
      <c r="H2075">
        <v>1</v>
      </c>
      <c r="I2075">
        <f>ventas_libreria[[#This Row],[precio]]*ventas_libreria[[#This Row],[cantidad]]</f>
        <v>1.25</v>
      </c>
      <c r="J2075">
        <v>73</v>
      </c>
      <c r="K2075" t="s">
        <v>30</v>
      </c>
      <c r="L2075" s="1">
        <v>45145</v>
      </c>
      <c r="M2075" t="s">
        <v>21</v>
      </c>
      <c r="N2075" t="s">
        <v>32</v>
      </c>
      <c r="O2075" t="s">
        <v>33</v>
      </c>
      <c r="P2075" t="s">
        <v>50</v>
      </c>
      <c r="Q2075">
        <v>4</v>
      </c>
      <c r="R2075">
        <f>IF(ventas_libreria[[#This Row],[valoracion_cliente]]="","Sin valoración",ventas_libreria[[#This Row],[valoracion_cliente]])</f>
        <v>4</v>
      </c>
    </row>
    <row r="2076" spans="1:18" x14ac:dyDescent="0.25">
      <c r="A2076" t="s">
        <v>2352</v>
      </c>
      <c r="B2076" t="s">
        <v>86</v>
      </c>
      <c r="C2076" t="s">
        <v>87</v>
      </c>
      <c r="D2076" t="s">
        <v>88</v>
      </c>
      <c r="E2076" t="s">
        <v>77</v>
      </c>
      <c r="F2076">
        <f>ventas_libreria[[#This Row],[precio_eur]]/100</f>
        <v>1.19</v>
      </c>
      <c r="G2076">
        <v>119</v>
      </c>
      <c r="H2076">
        <v>1</v>
      </c>
      <c r="I2076">
        <f>ventas_libreria[[#This Row],[precio]]*ventas_libreria[[#This Row],[cantidad]]</f>
        <v>1.19</v>
      </c>
      <c r="J2076">
        <v>11</v>
      </c>
      <c r="K2076" t="s">
        <v>20</v>
      </c>
      <c r="L2076" s="1">
        <v>45229</v>
      </c>
      <c r="M2076" t="s">
        <v>43</v>
      </c>
      <c r="N2076" t="s">
        <v>32</v>
      </c>
      <c r="O2076" t="s">
        <v>33</v>
      </c>
      <c r="P2076" t="s">
        <v>24</v>
      </c>
      <c r="Q2076">
        <v>5</v>
      </c>
      <c r="R2076">
        <f>IF(ventas_libreria[[#This Row],[valoracion_cliente]]="","Sin valoración",ventas_libreria[[#This Row],[valoracion_cliente]])</f>
        <v>5</v>
      </c>
    </row>
    <row r="2077" spans="1:18" x14ac:dyDescent="0.25">
      <c r="A2077" t="s">
        <v>2353</v>
      </c>
      <c r="B2077" t="s">
        <v>113</v>
      </c>
      <c r="C2077" t="s">
        <v>114</v>
      </c>
      <c r="D2077" t="s">
        <v>115</v>
      </c>
      <c r="E2077" t="s">
        <v>116</v>
      </c>
      <c r="F2077">
        <f>ventas_libreria[[#This Row],[precio_eur]]/100</f>
        <v>11.81</v>
      </c>
      <c r="G2077">
        <v>1181</v>
      </c>
      <c r="H2077">
        <v>1</v>
      </c>
      <c r="I2077">
        <f>ventas_libreria[[#This Row],[precio]]*ventas_libreria[[#This Row],[cantidad]]</f>
        <v>11.81</v>
      </c>
      <c r="J2077">
        <v>44</v>
      </c>
      <c r="K2077" t="s">
        <v>30</v>
      </c>
      <c r="L2077" s="1">
        <v>45061</v>
      </c>
      <c r="M2077" t="s">
        <v>21</v>
      </c>
      <c r="N2077" t="s">
        <v>22</v>
      </c>
      <c r="O2077" t="s">
        <v>23</v>
      </c>
      <c r="P2077" t="s">
        <v>24</v>
      </c>
      <c r="Q2077">
        <v>3</v>
      </c>
      <c r="R2077">
        <f>IF(ventas_libreria[[#This Row],[valoracion_cliente]]="","Sin valoración",ventas_libreria[[#This Row],[valoracion_cliente]])</f>
        <v>3</v>
      </c>
    </row>
    <row r="2078" spans="1:18" x14ac:dyDescent="0.25">
      <c r="A2078" t="s">
        <v>2354</v>
      </c>
      <c r="B2078" t="s">
        <v>671</v>
      </c>
      <c r="C2078" t="s">
        <v>672</v>
      </c>
      <c r="D2078" t="s">
        <v>673</v>
      </c>
      <c r="E2078" t="s">
        <v>116</v>
      </c>
      <c r="F2078">
        <f>ventas_libreria[[#This Row],[precio_eur]]/100</f>
        <v>14.19</v>
      </c>
      <c r="G2078">
        <v>1419</v>
      </c>
      <c r="H2078">
        <v>1</v>
      </c>
      <c r="I2078">
        <f>ventas_libreria[[#This Row],[precio]]*ventas_libreria[[#This Row],[cantidad]]</f>
        <v>14.19</v>
      </c>
      <c r="J2078">
        <v>53</v>
      </c>
      <c r="K2078" t="s">
        <v>62</v>
      </c>
      <c r="L2078" s="1">
        <v>46021</v>
      </c>
      <c r="M2078" t="s">
        <v>31</v>
      </c>
      <c r="N2078" t="s">
        <v>22</v>
      </c>
      <c r="O2078" t="s">
        <v>132</v>
      </c>
      <c r="P2078" t="s">
        <v>84</v>
      </c>
      <c r="R2078" t="str">
        <f>IF(ventas_libreria[[#This Row],[valoracion_cliente]]="","Sin valoración",ventas_libreria[[#This Row],[valoracion_cliente]])</f>
        <v>Sin valoración</v>
      </c>
    </row>
    <row r="2079" spans="1:18" x14ac:dyDescent="0.25">
      <c r="A2079" t="s">
        <v>2355</v>
      </c>
      <c r="B2079" t="s">
        <v>109</v>
      </c>
      <c r="C2079" t="s">
        <v>110</v>
      </c>
      <c r="D2079" t="s">
        <v>111</v>
      </c>
      <c r="E2079" t="s">
        <v>55</v>
      </c>
      <c r="F2079">
        <f>ventas_libreria[[#This Row],[precio_eur]]/100</f>
        <v>1.99</v>
      </c>
      <c r="G2079">
        <v>199</v>
      </c>
      <c r="H2079">
        <v>1</v>
      </c>
      <c r="I2079">
        <f>ventas_libreria[[#This Row],[precio]]*ventas_libreria[[#This Row],[cantidad]]</f>
        <v>1.99</v>
      </c>
      <c r="J2079">
        <v>25</v>
      </c>
      <c r="K2079" t="s">
        <v>62</v>
      </c>
      <c r="L2079" s="1">
        <v>45146</v>
      </c>
      <c r="M2079" t="s">
        <v>43</v>
      </c>
      <c r="N2079" t="s">
        <v>32</v>
      </c>
      <c r="O2079" t="s">
        <v>33</v>
      </c>
      <c r="P2079" t="s">
        <v>50</v>
      </c>
      <c r="Q2079">
        <v>1</v>
      </c>
      <c r="R2079">
        <f>IF(ventas_libreria[[#This Row],[valoracion_cliente]]="","Sin valoración",ventas_libreria[[#This Row],[valoracion_cliente]])</f>
        <v>1</v>
      </c>
    </row>
    <row r="2080" spans="1:18" x14ac:dyDescent="0.25">
      <c r="A2080" t="s">
        <v>2356</v>
      </c>
      <c r="B2080" t="s">
        <v>118</v>
      </c>
      <c r="C2080" t="s">
        <v>119</v>
      </c>
      <c r="D2080" t="s">
        <v>47</v>
      </c>
      <c r="E2080" t="s">
        <v>48</v>
      </c>
      <c r="F2080">
        <f>ventas_libreria[[#This Row],[precio_eur]]/100</f>
        <v>12.72</v>
      </c>
      <c r="G2080">
        <v>1272</v>
      </c>
      <c r="H2080">
        <v>1</v>
      </c>
      <c r="I2080">
        <f>ventas_libreria[[#This Row],[precio]]*ventas_libreria[[#This Row],[cantidad]]</f>
        <v>12.72</v>
      </c>
      <c r="J2080">
        <v>62</v>
      </c>
      <c r="K2080" t="s">
        <v>62</v>
      </c>
      <c r="L2080" s="1">
        <v>45364</v>
      </c>
      <c r="M2080" t="s">
        <v>31</v>
      </c>
      <c r="N2080" t="s">
        <v>22</v>
      </c>
      <c r="O2080" t="s">
        <v>49</v>
      </c>
      <c r="P2080" t="s">
        <v>50</v>
      </c>
      <c r="R2080" t="str">
        <f>IF(ventas_libreria[[#This Row],[valoracion_cliente]]="","Sin valoración",ventas_libreria[[#This Row],[valoracion_cliente]])</f>
        <v>Sin valoración</v>
      </c>
    </row>
    <row r="2081" spans="1:18" x14ac:dyDescent="0.25">
      <c r="A2081" t="s">
        <v>2357</v>
      </c>
      <c r="B2081" t="s">
        <v>121</v>
      </c>
      <c r="C2081" t="s">
        <v>122</v>
      </c>
      <c r="D2081" t="s">
        <v>123</v>
      </c>
      <c r="E2081" t="s">
        <v>48</v>
      </c>
      <c r="F2081">
        <f>ventas_libreria[[#This Row],[precio_eur]]/100</f>
        <v>1.69</v>
      </c>
      <c r="G2081">
        <v>169</v>
      </c>
      <c r="H2081">
        <v>1</v>
      </c>
      <c r="I2081">
        <f>ventas_libreria[[#This Row],[precio]]*ventas_libreria[[#This Row],[cantidad]]</f>
        <v>1.69</v>
      </c>
      <c r="J2081">
        <v>27</v>
      </c>
      <c r="K2081" t="s">
        <v>62</v>
      </c>
      <c r="L2081" s="1">
        <v>45455</v>
      </c>
      <c r="M2081" t="s">
        <v>43</v>
      </c>
      <c r="N2081" t="s">
        <v>32</v>
      </c>
      <c r="O2081" t="s">
        <v>33</v>
      </c>
      <c r="P2081" t="s">
        <v>50</v>
      </c>
      <c r="Q2081">
        <v>3</v>
      </c>
      <c r="R2081">
        <f>IF(ventas_libreria[[#This Row],[valoracion_cliente]]="","Sin valoración",ventas_libreria[[#This Row],[valoracion_cliente]])</f>
        <v>3</v>
      </c>
    </row>
    <row r="2082" spans="1:18" x14ac:dyDescent="0.25">
      <c r="A2082" t="s">
        <v>2358</v>
      </c>
      <c r="B2082" t="s">
        <v>176</v>
      </c>
      <c r="C2082" t="s">
        <v>177</v>
      </c>
      <c r="D2082" t="s">
        <v>178</v>
      </c>
      <c r="E2082" t="s">
        <v>179</v>
      </c>
      <c r="F2082">
        <f>ventas_libreria[[#This Row],[precio_eur]]/100</f>
        <v>1.59</v>
      </c>
      <c r="G2082">
        <v>159</v>
      </c>
      <c r="H2082">
        <v>1</v>
      </c>
      <c r="I2082">
        <f>ventas_libreria[[#This Row],[precio]]*ventas_libreria[[#This Row],[cantidad]]</f>
        <v>1.59</v>
      </c>
      <c r="J2082">
        <v>69</v>
      </c>
      <c r="K2082" t="s">
        <v>62</v>
      </c>
      <c r="L2082" s="1">
        <v>45396</v>
      </c>
      <c r="M2082" t="s">
        <v>21</v>
      </c>
      <c r="N2082" t="s">
        <v>32</v>
      </c>
      <c r="O2082" t="s">
        <v>33</v>
      </c>
      <c r="P2082" t="s">
        <v>34</v>
      </c>
      <c r="Q2082">
        <v>4</v>
      </c>
      <c r="R2082">
        <f>IF(ventas_libreria[[#This Row],[valoracion_cliente]]="","Sin valoración",ventas_libreria[[#This Row],[valoracion_cliente]])</f>
        <v>4</v>
      </c>
    </row>
    <row r="2083" spans="1:18" x14ac:dyDescent="0.25">
      <c r="A2083" t="s">
        <v>2359</v>
      </c>
      <c r="B2083" t="s">
        <v>208</v>
      </c>
      <c r="C2083" t="s">
        <v>209</v>
      </c>
      <c r="D2083" t="s">
        <v>106</v>
      </c>
      <c r="E2083" t="s">
        <v>107</v>
      </c>
      <c r="F2083">
        <f>ventas_libreria[[#This Row],[precio_eur]]/100</f>
        <v>11.92</v>
      </c>
      <c r="G2083">
        <v>1192</v>
      </c>
      <c r="H2083">
        <v>2</v>
      </c>
      <c r="I2083">
        <f>ventas_libreria[[#This Row],[precio]]*ventas_libreria[[#This Row],[cantidad]]</f>
        <v>23.84</v>
      </c>
      <c r="J2083">
        <v>17</v>
      </c>
      <c r="K2083" t="s">
        <v>30</v>
      </c>
      <c r="L2083" s="1">
        <v>45558</v>
      </c>
      <c r="M2083" t="s">
        <v>21</v>
      </c>
      <c r="N2083" t="s">
        <v>22</v>
      </c>
      <c r="O2083" t="s">
        <v>98</v>
      </c>
      <c r="P2083" t="s">
        <v>24</v>
      </c>
      <c r="Q2083">
        <v>5</v>
      </c>
      <c r="R2083">
        <f>IF(ventas_libreria[[#This Row],[valoracion_cliente]]="","Sin valoración",ventas_libreria[[#This Row],[valoracion_cliente]])</f>
        <v>5</v>
      </c>
    </row>
    <row r="2084" spans="1:18" x14ac:dyDescent="0.25">
      <c r="A2084" t="s">
        <v>2360</v>
      </c>
      <c r="B2084" t="s">
        <v>211</v>
      </c>
      <c r="C2084" t="s">
        <v>212</v>
      </c>
      <c r="D2084" t="s">
        <v>131</v>
      </c>
      <c r="E2084" t="s">
        <v>107</v>
      </c>
      <c r="F2084">
        <f>ventas_libreria[[#This Row],[precio_eur]]/100</f>
        <v>13.52</v>
      </c>
      <c r="G2084">
        <v>1352</v>
      </c>
      <c r="H2084">
        <v>1</v>
      </c>
      <c r="I2084">
        <f>ventas_libreria[[#This Row],[precio]]*ventas_libreria[[#This Row],[cantidad]]</f>
        <v>13.52</v>
      </c>
      <c r="J2084">
        <v>15</v>
      </c>
      <c r="K2084" t="s">
        <v>20</v>
      </c>
      <c r="L2084" s="1">
        <v>45629</v>
      </c>
      <c r="M2084" t="s">
        <v>31</v>
      </c>
      <c r="N2084" t="s">
        <v>32</v>
      </c>
      <c r="O2084" t="s">
        <v>33</v>
      </c>
      <c r="P2084" t="s">
        <v>56</v>
      </c>
      <c r="Q2084">
        <v>1</v>
      </c>
      <c r="R2084">
        <f>IF(ventas_libreria[[#This Row],[valoracion_cliente]]="","Sin valoración",ventas_libreria[[#This Row],[valoracion_cliente]])</f>
        <v>1</v>
      </c>
    </row>
    <row r="2085" spans="1:18" x14ac:dyDescent="0.25">
      <c r="A2085" t="s">
        <v>2361</v>
      </c>
      <c r="B2085" t="s">
        <v>353</v>
      </c>
      <c r="C2085" t="s">
        <v>354</v>
      </c>
      <c r="D2085" t="s">
        <v>226</v>
      </c>
      <c r="E2085" t="s">
        <v>116</v>
      </c>
      <c r="F2085">
        <f>ventas_libreria[[#This Row],[precio_eur]]/100</f>
        <v>15.21</v>
      </c>
      <c r="G2085">
        <v>1521</v>
      </c>
      <c r="H2085">
        <v>1</v>
      </c>
      <c r="I2085">
        <f>ventas_libreria[[#This Row],[precio]]*ventas_libreria[[#This Row],[cantidad]]</f>
        <v>15.21</v>
      </c>
      <c r="J2085">
        <v>55</v>
      </c>
      <c r="K2085" t="s">
        <v>62</v>
      </c>
      <c r="L2085" s="1">
        <v>45064</v>
      </c>
      <c r="M2085" t="s">
        <v>43</v>
      </c>
      <c r="N2085" t="s">
        <v>32</v>
      </c>
      <c r="O2085" t="s">
        <v>33</v>
      </c>
      <c r="P2085" t="s">
        <v>50</v>
      </c>
      <c r="Q2085">
        <v>4</v>
      </c>
      <c r="R2085">
        <f>IF(ventas_libreria[[#This Row],[valoracion_cliente]]="","Sin valoración",ventas_libreria[[#This Row],[valoracion_cliente]])</f>
        <v>4</v>
      </c>
    </row>
    <row r="2086" spans="1:18" x14ac:dyDescent="0.25">
      <c r="A2086" t="s">
        <v>2362</v>
      </c>
      <c r="B2086" t="s">
        <v>291</v>
      </c>
      <c r="C2086" t="s">
        <v>292</v>
      </c>
      <c r="D2086" t="s">
        <v>76</v>
      </c>
      <c r="E2086" t="s">
        <v>77</v>
      </c>
      <c r="F2086">
        <f>ventas_libreria[[#This Row],[precio_eur]]/100</f>
        <v>0.99</v>
      </c>
      <c r="G2086">
        <v>99</v>
      </c>
      <c r="H2086">
        <v>1</v>
      </c>
      <c r="I2086">
        <f>ventas_libreria[[#This Row],[precio]]*ventas_libreria[[#This Row],[cantidad]]</f>
        <v>0.99</v>
      </c>
      <c r="J2086">
        <v>7</v>
      </c>
      <c r="K2086" t="s">
        <v>30</v>
      </c>
      <c r="L2086" s="1">
        <v>45770</v>
      </c>
      <c r="M2086" t="s">
        <v>43</v>
      </c>
      <c r="N2086" t="s">
        <v>32</v>
      </c>
      <c r="O2086" t="s">
        <v>33</v>
      </c>
      <c r="P2086" t="s">
        <v>56</v>
      </c>
      <c r="Q2086">
        <v>5</v>
      </c>
      <c r="R2086">
        <f>IF(ventas_libreria[[#This Row],[valoracion_cliente]]="","Sin valoración",ventas_libreria[[#This Row],[valoracion_cliente]])</f>
        <v>5</v>
      </c>
    </row>
    <row r="2087" spans="1:18" x14ac:dyDescent="0.25">
      <c r="A2087" t="s">
        <v>2363</v>
      </c>
      <c r="B2087" t="s">
        <v>403</v>
      </c>
      <c r="C2087" t="s">
        <v>404</v>
      </c>
      <c r="D2087" t="s">
        <v>123</v>
      </c>
      <c r="E2087" t="s">
        <v>48</v>
      </c>
      <c r="F2087">
        <f>ventas_libreria[[#This Row],[precio_eur]]/100</f>
        <v>2.99</v>
      </c>
      <c r="G2087">
        <v>299</v>
      </c>
      <c r="H2087">
        <v>3</v>
      </c>
      <c r="I2087">
        <f>ventas_libreria[[#This Row],[precio]]*ventas_libreria[[#This Row],[cantidad]]</f>
        <v>8.9700000000000006</v>
      </c>
      <c r="J2087">
        <v>69</v>
      </c>
      <c r="K2087" t="s">
        <v>20</v>
      </c>
      <c r="L2087" s="1">
        <v>45703</v>
      </c>
      <c r="M2087" t="s">
        <v>43</v>
      </c>
      <c r="N2087" t="s">
        <v>32</v>
      </c>
      <c r="O2087" t="s">
        <v>33</v>
      </c>
      <c r="P2087" t="s">
        <v>34</v>
      </c>
      <c r="Q2087">
        <v>4</v>
      </c>
      <c r="R2087">
        <f>IF(ventas_libreria[[#This Row],[valoracion_cliente]]="","Sin valoración",ventas_libreria[[#This Row],[valoracion_cliente]])</f>
        <v>4</v>
      </c>
    </row>
    <row r="2088" spans="1:18" x14ac:dyDescent="0.25">
      <c r="A2088" t="s">
        <v>2364</v>
      </c>
      <c r="B2088" t="s">
        <v>58</v>
      </c>
      <c r="C2088" t="s">
        <v>59</v>
      </c>
      <c r="D2088" t="s">
        <v>60</v>
      </c>
      <c r="E2088" t="s">
        <v>61</v>
      </c>
      <c r="F2088">
        <f>ventas_libreria[[#This Row],[precio_eur]]/100</f>
        <v>11.61</v>
      </c>
      <c r="G2088">
        <v>1161</v>
      </c>
      <c r="H2088">
        <v>1</v>
      </c>
      <c r="I2088">
        <f>ventas_libreria[[#This Row],[precio]]*ventas_libreria[[#This Row],[cantidad]]</f>
        <v>11.61</v>
      </c>
      <c r="J2088">
        <v>51</v>
      </c>
      <c r="K2088" t="s">
        <v>30</v>
      </c>
      <c r="L2088" s="1">
        <v>45289</v>
      </c>
      <c r="M2088" t="s">
        <v>31</v>
      </c>
      <c r="N2088" t="s">
        <v>32</v>
      </c>
      <c r="O2088" t="s">
        <v>33</v>
      </c>
      <c r="P2088" t="s">
        <v>34</v>
      </c>
      <c r="Q2088">
        <v>3</v>
      </c>
      <c r="R2088">
        <f>IF(ventas_libreria[[#This Row],[valoracion_cliente]]="","Sin valoración",ventas_libreria[[#This Row],[valoracion_cliente]])</f>
        <v>3</v>
      </c>
    </row>
    <row r="2089" spans="1:18" x14ac:dyDescent="0.25">
      <c r="A2089" t="s">
        <v>2365</v>
      </c>
      <c r="B2089" t="s">
        <v>240</v>
      </c>
      <c r="C2089" t="s">
        <v>241</v>
      </c>
      <c r="D2089" t="s">
        <v>54</v>
      </c>
      <c r="E2089" t="s">
        <v>172</v>
      </c>
      <c r="F2089">
        <f>ventas_libreria[[#This Row],[precio_eur]]/100</f>
        <v>16.39</v>
      </c>
      <c r="G2089">
        <v>1639</v>
      </c>
      <c r="H2089">
        <v>1</v>
      </c>
      <c r="I2089">
        <f>ventas_libreria[[#This Row],[precio]]*ventas_libreria[[#This Row],[cantidad]]</f>
        <v>16.39</v>
      </c>
      <c r="J2089">
        <v>20</v>
      </c>
      <c r="K2089" t="s">
        <v>20</v>
      </c>
      <c r="L2089" s="1">
        <v>45368</v>
      </c>
      <c r="M2089" t="s">
        <v>21</v>
      </c>
      <c r="N2089" t="s">
        <v>22</v>
      </c>
      <c r="O2089" t="s">
        <v>23</v>
      </c>
      <c r="P2089" t="s">
        <v>24</v>
      </c>
      <c r="Q2089">
        <v>5</v>
      </c>
      <c r="R2089">
        <f>IF(ventas_libreria[[#This Row],[valoracion_cliente]]="","Sin valoración",ventas_libreria[[#This Row],[valoracion_cliente]])</f>
        <v>5</v>
      </c>
    </row>
    <row r="2090" spans="1:18" x14ac:dyDescent="0.25">
      <c r="A2090" t="s">
        <v>2366</v>
      </c>
      <c r="B2090" t="s">
        <v>100</v>
      </c>
      <c r="C2090" t="s">
        <v>101</v>
      </c>
      <c r="D2090" t="s">
        <v>102</v>
      </c>
      <c r="E2090" t="s">
        <v>61</v>
      </c>
      <c r="F2090">
        <f>ventas_libreria[[#This Row],[precio_eur]]/100</f>
        <v>10.71</v>
      </c>
      <c r="G2090">
        <v>1071</v>
      </c>
      <c r="H2090">
        <v>1</v>
      </c>
      <c r="I2090">
        <f>ventas_libreria[[#This Row],[precio]]*ventas_libreria[[#This Row],[cantidad]]</f>
        <v>10.71</v>
      </c>
      <c r="J2090">
        <v>67</v>
      </c>
      <c r="K2090" t="s">
        <v>20</v>
      </c>
      <c r="L2090" s="1">
        <v>45596</v>
      </c>
      <c r="M2090" t="s">
        <v>31</v>
      </c>
      <c r="N2090" t="s">
        <v>22</v>
      </c>
      <c r="O2090" t="s">
        <v>23</v>
      </c>
      <c r="P2090" t="s">
        <v>34</v>
      </c>
      <c r="Q2090">
        <v>5</v>
      </c>
      <c r="R2090">
        <f>IF(ventas_libreria[[#This Row],[valoracion_cliente]]="","Sin valoración",ventas_libreria[[#This Row],[valoracion_cliente]])</f>
        <v>5</v>
      </c>
    </row>
    <row r="2091" spans="1:18" x14ac:dyDescent="0.25">
      <c r="A2091" t="s">
        <v>2367</v>
      </c>
      <c r="B2091" t="s">
        <v>362</v>
      </c>
      <c r="C2091" t="s">
        <v>363</v>
      </c>
      <c r="D2091" t="s">
        <v>249</v>
      </c>
      <c r="E2091" t="s">
        <v>172</v>
      </c>
      <c r="F2091">
        <f>ventas_libreria[[#This Row],[precio_eur]]/100</f>
        <v>15.96</v>
      </c>
      <c r="G2091">
        <v>1596</v>
      </c>
      <c r="H2091">
        <v>2</v>
      </c>
      <c r="I2091">
        <f>ventas_libreria[[#This Row],[precio]]*ventas_libreria[[#This Row],[cantidad]]</f>
        <v>31.92</v>
      </c>
      <c r="J2091">
        <v>46</v>
      </c>
      <c r="K2091" t="s">
        <v>30</v>
      </c>
      <c r="L2091" s="1">
        <v>45853</v>
      </c>
      <c r="M2091" t="s">
        <v>43</v>
      </c>
      <c r="N2091" t="s">
        <v>32</v>
      </c>
      <c r="O2091" t="s">
        <v>33</v>
      </c>
      <c r="P2091" t="s">
        <v>50</v>
      </c>
      <c r="Q2091">
        <v>5</v>
      </c>
      <c r="R2091">
        <f>IF(ventas_libreria[[#This Row],[valoracion_cliente]]="","Sin valoración",ventas_libreria[[#This Row],[valoracion_cliente]])</f>
        <v>5</v>
      </c>
    </row>
    <row r="2092" spans="1:18" x14ac:dyDescent="0.25">
      <c r="A2092" t="s">
        <v>2368</v>
      </c>
      <c r="B2092" t="s">
        <v>418</v>
      </c>
      <c r="C2092" t="s">
        <v>419</v>
      </c>
      <c r="D2092" t="s">
        <v>420</v>
      </c>
      <c r="E2092" t="s">
        <v>149</v>
      </c>
      <c r="F2092">
        <f>ventas_libreria[[#This Row],[precio_eur]]/100</f>
        <v>14.36</v>
      </c>
      <c r="G2092">
        <v>1436</v>
      </c>
      <c r="H2092">
        <v>2</v>
      </c>
      <c r="I2092">
        <f>ventas_libreria[[#This Row],[precio]]*ventas_libreria[[#This Row],[cantidad]]</f>
        <v>28.72</v>
      </c>
      <c r="J2092">
        <v>72</v>
      </c>
      <c r="K2092" t="s">
        <v>20</v>
      </c>
      <c r="L2092" s="1">
        <v>45700</v>
      </c>
      <c r="M2092" t="s">
        <v>31</v>
      </c>
      <c r="N2092" t="s">
        <v>32</v>
      </c>
      <c r="O2092" t="s">
        <v>33</v>
      </c>
      <c r="P2092" t="s">
        <v>34</v>
      </c>
      <c r="Q2092">
        <v>4</v>
      </c>
      <c r="R2092">
        <f>IF(ventas_libreria[[#This Row],[valoracion_cliente]]="","Sin valoración",ventas_libreria[[#This Row],[valoracion_cliente]])</f>
        <v>4</v>
      </c>
    </row>
    <row r="2093" spans="1:18" x14ac:dyDescent="0.25">
      <c r="A2093" t="s">
        <v>2369</v>
      </c>
      <c r="B2093" t="s">
        <v>437</v>
      </c>
      <c r="C2093" t="s">
        <v>438</v>
      </c>
      <c r="D2093" t="s">
        <v>178</v>
      </c>
      <c r="E2093" t="s">
        <v>55</v>
      </c>
      <c r="F2093">
        <f>ventas_libreria[[#This Row],[precio_eur]]/100</f>
        <v>14.32</v>
      </c>
      <c r="G2093">
        <v>1432</v>
      </c>
      <c r="H2093">
        <v>2</v>
      </c>
      <c r="I2093">
        <f>ventas_libreria[[#This Row],[precio]]*ventas_libreria[[#This Row],[cantidad]]</f>
        <v>28.64</v>
      </c>
      <c r="J2093">
        <v>54</v>
      </c>
      <c r="K2093" t="s">
        <v>62</v>
      </c>
      <c r="L2093" s="1">
        <v>45953</v>
      </c>
      <c r="M2093" t="s">
        <v>21</v>
      </c>
      <c r="N2093" t="s">
        <v>32</v>
      </c>
      <c r="O2093" t="s">
        <v>33</v>
      </c>
      <c r="P2093" t="s">
        <v>24</v>
      </c>
      <c r="Q2093">
        <v>5</v>
      </c>
      <c r="R2093">
        <f>IF(ventas_libreria[[#This Row],[valoracion_cliente]]="","Sin valoración",ventas_libreria[[#This Row],[valoracion_cliente]])</f>
        <v>5</v>
      </c>
    </row>
    <row r="2094" spans="1:18" x14ac:dyDescent="0.25">
      <c r="A2094" t="s">
        <v>2370</v>
      </c>
      <c r="B2094" t="s">
        <v>362</v>
      </c>
      <c r="C2094" t="s">
        <v>363</v>
      </c>
      <c r="D2094" t="s">
        <v>249</v>
      </c>
      <c r="E2094" t="s">
        <v>172</v>
      </c>
      <c r="F2094">
        <f>ventas_libreria[[#This Row],[precio_eur]]/100</f>
        <v>15.96</v>
      </c>
      <c r="G2094">
        <v>1596</v>
      </c>
      <c r="H2094">
        <v>1</v>
      </c>
      <c r="I2094">
        <f>ventas_libreria[[#This Row],[precio]]*ventas_libreria[[#This Row],[cantidad]]</f>
        <v>15.96</v>
      </c>
      <c r="J2094">
        <v>30</v>
      </c>
      <c r="K2094" t="s">
        <v>62</v>
      </c>
      <c r="L2094" s="1">
        <v>45240</v>
      </c>
      <c r="M2094" t="s">
        <v>21</v>
      </c>
      <c r="N2094" t="s">
        <v>32</v>
      </c>
      <c r="O2094" t="s">
        <v>33</v>
      </c>
      <c r="P2094" t="s">
        <v>50</v>
      </c>
      <c r="Q2094">
        <v>2</v>
      </c>
      <c r="R2094">
        <f>IF(ventas_libreria[[#This Row],[valoracion_cliente]]="","Sin valoración",ventas_libreria[[#This Row],[valoracion_cliente]])</f>
        <v>2</v>
      </c>
    </row>
    <row r="2095" spans="1:18" x14ac:dyDescent="0.25">
      <c r="A2095" t="s">
        <v>2371</v>
      </c>
      <c r="B2095" t="s">
        <v>327</v>
      </c>
      <c r="C2095" t="s">
        <v>328</v>
      </c>
      <c r="D2095" t="s">
        <v>288</v>
      </c>
      <c r="E2095" t="s">
        <v>289</v>
      </c>
      <c r="F2095">
        <f>ventas_libreria[[#This Row],[precio_eur]]/100</f>
        <v>2.29</v>
      </c>
      <c r="G2095">
        <v>229</v>
      </c>
      <c r="H2095">
        <v>3</v>
      </c>
      <c r="I2095">
        <f>ventas_libreria[[#This Row],[precio]]*ventas_libreria[[#This Row],[cantidad]]</f>
        <v>6.87</v>
      </c>
      <c r="J2095">
        <v>21</v>
      </c>
      <c r="K2095" t="s">
        <v>38</v>
      </c>
      <c r="L2095" s="1">
        <v>45594</v>
      </c>
      <c r="M2095" t="s">
        <v>21</v>
      </c>
      <c r="N2095" t="s">
        <v>32</v>
      </c>
      <c r="O2095" t="s">
        <v>33</v>
      </c>
      <c r="P2095" t="s">
        <v>34</v>
      </c>
      <c r="Q2095">
        <v>4</v>
      </c>
      <c r="R2095">
        <f>IF(ventas_libreria[[#This Row],[valoracion_cliente]]="","Sin valoración",ventas_libreria[[#This Row],[valoracion_cliente]])</f>
        <v>4</v>
      </c>
    </row>
    <row r="2096" spans="1:18" x14ac:dyDescent="0.25">
      <c r="A2096" t="s">
        <v>2372</v>
      </c>
      <c r="B2096" t="s">
        <v>406</v>
      </c>
      <c r="C2096" t="s">
        <v>407</v>
      </c>
      <c r="D2096" t="s">
        <v>88</v>
      </c>
      <c r="E2096" t="s">
        <v>77</v>
      </c>
      <c r="F2096">
        <f>ventas_libreria[[#This Row],[precio_eur]]/100</f>
        <v>1.19</v>
      </c>
      <c r="G2096">
        <v>119</v>
      </c>
      <c r="H2096">
        <v>1</v>
      </c>
      <c r="I2096">
        <f>ventas_libreria[[#This Row],[precio]]*ventas_libreria[[#This Row],[cantidad]]</f>
        <v>1.19</v>
      </c>
      <c r="J2096">
        <v>11</v>
      </c>
      <c r="K2096" t="s">
        <v>30</v>
      </c>
      <c r="L2096" s="1">
        <v>45358</v>
      </c>
      <c r="M2096" t="s">
        <v>21</v>
      </c>
      <c r="N2096" t="s">
        <v>32</v>
      </c>
      <c r="O2096" t="s">
        <v>33</v>
      </c>
      <c r="P2096" t="s">
        <v>24</v>
      </c>
      <c r="Q2096">
        <v>4</v>
      </c>
      <c r="R2096">
        <f>IF(ventas_libreria[[#This Row],[valoracion_cliente]]="","Sin valoración",ventas_libreria[[#This Row],[valoracion_cliente]])</f>
        <v>4</v>
      </c>
    </row>
    <row r="2097" spans="1:18" x14ac:dyDescent="0.25">
      <c r="A2097" t="s">
        <v>2373</v>
      </c>
      <c r="B2097" t="s">
        <v>240</v>
      </c>
      <c r="C2097" t="s">
        <v>241</v>
      </c>
      <c r="D2097" t="s">
        <v>54</v>
      </c>
      <c r="E2097" t="s">
        <v>172</v>
      </c>
      <c r="F2097">
        <f>ventas_libreria[[#This Row],[precio_eur]]/100</f>
        <v>16.39</v>
      </c>
      <c r="G2097">
        <v>1639</v>
      </c>
      <c r="H2097">
        <v>1</v>
      </c>
      <c r="I2097">
        <f>ventas_libreria[[#This Row],[precio]]*ventas_libreria[[#This Row],[cantidad]]</f>
        <v>16.39</v>
      </c>
      <c r="J2097">
        <v>67</v>
      </c>
      <c r="K2097" t="s">
        <v>62</v>
      </c>
      <c r="L2097" s="1">
        <v>45817</v>
      </c>
      <c r="M2097" t="s">
        <v>43</v>
      </c>
      <c r="N2097" t="s">
        <v>32</v>
      </c>
      <c r="O2097" t="s">
        <v>33</v>
      </c>
      <c r="P2097" t="s">
        <v>56</v>
      </c>
      <c r="Q2097">
        <v>4</v>
      </c>
      <c r="R2097">
        <f>IF(ventas_libreria[[#This Row],[valoracion_cliente]]="","Sin valoración",ventas_libreria[[#This Row],[valoracion_cliente]])</f>
        <v>4</v>
      </c>
    </row>
    <row r="2098" spans="1:18" x14ac:dyDescent="0.25">
      <c r="A2098" t="s">
        <v>2374</v>
      </c>
      <c r="B2098" t="s">
        <v>301</v>
      </c>
      <c r="C2098" t="s">
        <v>302</v>
      </c>
      <c r="D2098" t="s">
        <v>245</v>
      </c>
      <c r="E2098" t="s">
        <v>48</v>
      </c>
      <c r="F2098">
        <f>ventas_libreria[[#This Row],[precio_eur]]/100</f>
        <v>2.4900000000000002</v>
      </c>
      <c r="G2098">
        <v>249</v>
      </c>
      <c r="H2098">
        <v>1</v>
      </c>
      <c r="I2098">
        <f>ventas_libreria[[#This Row],[precio]]*ventas_libreria[[#This Row],[cantidad]]</f>
        <v>2.4900000000000002</v>
      </c>
      <c r="J2098">
        <v>69</v>
      </c>
      <c r="K2098" t="s">
        <v>20</v>
      </c>
      <c r="L2098" s="1">
        <v>45292</v>
      </c>
      <c r="M2098" t="s">
        <v>43</v>
      </c>
      <c r="N2098" t="s">
        <v>32</v>
      </c>
      <c r="O2098" t="s">
        <v>33</v>
      </c>
      <c r="P2098" t="s">
        <v>50</v>
      </c>
      <c r="Q2098">
        <v>2</v>
      </c>
      <c r="R2098">
        <f>IF(ventas_libreria[[#This Row],[valoracion_cliente]]="","Sin valoración",ventas_libreria[[#This Row],[valoracion_cliente]])</f>
        <v>2</v>
      </c>
    </row>
    <row r="2099" spans="1:18" x14ac:dyDescent="0.25">
      <c r="A2099" t="s">
        <v>2375</v>
      </c>
      <c r="B2099" t="s">
        <v>186</v>
      </c>
      <c r="C2099" t="s">
        <v>187</v>
      </c>
      <c r="D2099" t="s">
        <v>188</v>
      </c>
      <c r="E2099" t="s">
        <v>189</v>
      </c>
      <c r="F2099">
        <f>ventas_libreria[[#This Row],[precio_eur]]/100</f>
        <v>17.91</v>
      </c>
      <c r="G2099">
        <v>1791</v>
      </c>
      <c r="H2099">
        <v>1</v>
      </c>
      <c r="I2099">
        <f>ventas_libreria[[#This Row],[precio]]*ventas_libreria[[#This Row],[cantidad]]</f>
        <v>17.91</v>
      </c>
      <c r="J2099">
        <v>57</v>
      </c>
      <c r="K2099" t="s">
        <v>38</v>
      </c>
      <c r="L2099" s="1">
        <v>45877</v>
      </c>
      <c r="M2099" t="s">
        <v>43</v>
      </c>
      <c r="N2099" t="s">
        <v>32</v>
      </c>
      <c r="O2099" t="s">
        <v>33</v>
      </c>
      <c r="P2099" t="s">
        <v>50</v>
      </c>
      <c r="Q2099">
        <v>2</v>
      </c>
      <c r="R2099">
        <f>IF(ventas_libreria[[#This Row],[valoracion_cliente]]="","Sin valoración",ventas_libreria[[#This Row],[valoracion_cliente]])</f>
        <v>2</v>
      </c>
    </row>
    <row r="2100" spans="1:18" x14ac:dyDescent="0.25">
      <c r="A2100" t="s">
        <v>2376</v>
      </c>
      <c r="B2100" t="s">
        <v>273</v>
      </c>
      <c r="C2100" t="s">
        <v>274</v>
      </c>
      <c r="D2100" t="s">
        <v>262</v>
      </c>
      <c r="E2100" t="s">
        <v>263</v>
      </c>
      <c r="F2100">
        <f>ventas_libreria[[#This Row],[precio_eur]]/100</f>
        <v>2.19</v>
      </c>
      <c r="G2100">
        <v>219</v>
      </c>
      <c r="H2100">
        <v>2</v>
      </c>
      <c r="I2100">
        <f>ventas_libreria[[#This Row],[precio]]*ventas_libreria[[#This Row],[cantidad]]</f>
        <v>4.38</v>
      </c>
      <c r="J2100">
        <v>24</v>
      </c>
      <c r="K2100" t="s">
        <v>62</v>
      </c>
      <c r="L2100" s="1">
        <v>45179</v>
      </c>
      <c r="M2100" t="s">
        <v>43</v>
      </c>
      <c r="N2100" t="s">
        <v>32</v>
      </c>
      <c r="O2100" t="s">
        <v>33</v>
      </c>
      <c r="P2100" t="s">
        <v>50</v>
      </c>
      <c r="Q2100">
        <v>5</v>
      </c>
      <c r="R2100">
        <f>IF(ventas_libreria[[#This Row],[valoracion_cliente]]="","Sin valoración",ventas_libreria[[#This Row],[valoracion_cliente]])</f>
        <v>5</v>
      </c>
    </row>
    <row r="2101" spans="1:18" x14ac:dyDescent="0.25">
      <c r="A2101" t="s">
        <v>2377</v>
      </c>
      <c r="B2101" t="s">
        <v>530</v>
      </c>
      <c r="C2101" t="s">
        <v>531</v>
      </c>
      <c r="D2101" t="s">
        <v>195</v>
      </c>
      <c r="E2101" t="s">
        <v>48</v>
      </c>
      <c r="F2101">
        <f>ventas_libreria[[#This Row],[precio_eur]]/100</f>
        <v>15.92</v>
      </c>
      <c r="G2101">
        <v>1592</v>
      </c>
      <c r="H2101">
        <v>4</v>
      </c>
      <c r="I2101">
        <f>ventas_libreria[[#This Row],[precio]]*ventas_libreria[[#This Row],[cantidad]]</f>
        <v>63.68</v>
      </c>
      <c r="J2101">
        <v>20</v>
      </c>
      <c r="K2101" t="s">
        <v>20</v>
      </c>
      <c r="L2101" s="1">
        <v>45203</v>
      </c>
      <c r="M2101" t="s">
        <v>31</v>
      </c>
      <c r="N2101" t="s">
        <v>22</v>
      </c>
      <c r="O2101" t="s">
        <v>49</v>
      </c>
      <c r="P2101" t="s">
        <v>24</v>
      </c>
      <c r="Q2101">
        <v>5</v>
      </c>
      <c r="R2101">
        <f>IF(ventas_libreria[[#This Row],[valoracion_cliente]]="","Sin valoración",ventas_libreria[[#This Row],[valoracion_cliente]])</f>
        <v>5</v>
      </c>
    </row>
    <row r="2102" spans="1:18" x14ac:dyDescent="0.25">
      <c r="A2102" t="s">
        <v>2378</v>
      </c>
      <c r="B2102" t="s">
        <v>671</v>
      </c>
      <c r="C2102" t="s">
        <v>672</v>
      </c>
      <c r="D2102" t="s">
        <v>673</v>
      </c>
      <c r="E2102" t="s">
        <v>116</v>
      </c>
      <c r="F2102">
        <f>ventas_libreria[[#This Row],[precio_eur]]/100</f>
        <v>10.32</v>
      </c>
      <c r="G2102">
        <v>1032</v>
      </c>
      <c r="H2102">
        <v>1</v>
      </c>
      <c r="I2102">
        <f>ventas_libreria[[#This Row],[precio]]*ventas_libreria[[#This Row],[cantidad]]</f>
        <v>10.32</v>
      </c>
      <c r="J2102">
        <v>37</v>
      </c>
      <c r="K2102" t="s">
        <v>20</v>
      </c>
      <c r="L2102" s="1">
        <v>45807</v>
      </c>
      <c r="M2102" t="s">
        <v>21</v>
      </c>
      <c r="N2102" t="s">
        <v>22</v>
      </c>
      <c r="O2102" t="s">
        <v>49</v>
      </c>
      <c r="P2102" t="s">
        <v>84</v>
      </c>
      <c r="Q2102">
        <v>5</v>
      </c>
      <c r="R2102">
        <f>IF(ventas_libreria[[#This Row],[valoracion_cliente]]="","Sin valoración",ventas_libreria[[#This Row],[valoracion_cliente]])</f>
        <v>5</v>
      </c>
    </row>
    <row r="2103" spans="1:18" x14ac:dyDescent="0.25">
      <c r="A2103" t="s">
        <v>2379</v>
      </c>
      <c r="B2103" t="s">
        <v>160</v>
      </c>
      <c r="C2103" t="s">
        <v>161</v>
      </c>
      <c r="D2103" t="s">
        <v>162</v>
      </c>
      <c r="E2103" t="s">
        <v>29</v>
      </c>
      <c r="F2103">
        <f>ventas_libreria[[#This Row],[precio_eur]]/100</f>
        <v>13.52</v>
      </c>
      <c r="G2103">
        <v>1352</v>
      </c>
      <c r="H2103">
        <v>1</v>
      </c>
      <c r="I2103">
        <f>ventas_libreria[[#This Row],[precio]]*ventas_libreria[[#This Row],[cantidad]]</f>
        <v>13.52</v>
      </c>
      <c r="J2103">
        <v>60</v>
      </c>
      <c r="K2103" t="s">
        <v>38</v>
      </c>
      <c r="L2103" s="1">
        <v>45020</v>
      </c>
      <c r="M2103" t="s">
        <v>43</v>
      </c>
      <c r="N2103" t="s">
        <v>32</v>
      </c>
      <c r="O2103" t="s">
        <v>33</v>
      </c>
      <c r="P2103" t="s">
        <v>50</v>
      </c>
      <c r="Q2103">
        <v>5</v>
      </c>
      <c r="R2103">
        <f>IF(ventas_libreria[[#This Row],[valoracion_cliente]]="","Sin valoración",ventas_libreria[[#This Row],[valoracion_cliente]])</f>
        <v>5</v>
      </c>
    </row>
    <row r="2104" spans="1:18" x14ac:dyDescent="0.25">
      <c r="A2104" t="s">
        <v>2380</v>
      </c>
      <c r="B2104" t="s">
        <v>406</v>
      </c>
      <c r="C2104" t="s">
        <v>407</v>
      </c>
      <c r="D2104" t="s">
        <v>88</v>
      </c>
      <c r="E2104" t="s">
        <v>77</v>
      </c>
      <c r="F2104">
        <f>ventas_libreria[[#This Row],[precio_eur]]/100</f>
        <v>13.09</v>
      </c>
      <c r="G2104">
        <v>1309</v>
      </c>
      <c r="H2104">
        <v>1</v>
      </c>
      <c r="I2104">
        <f>ventas_libreria[[#This Row],[precio]]*ventas_libreria[[#This Row],[cantidad]]</f>
        <v>13.09</v>
      </c>
      <c r="J2104">
        <v>12</v>
      </c>
      <c r="K2104" t="s">
        <v>20</v>
      </c>
      <c r="L2104" s="1">
        <v>45821</v>
      </c>
      <c r="M2104" t="s">
        <v>31</v>
      </c>
      <c r="N2104" t="s">
        <v>22</v>
      </c>
      <c r="O2104" t="s">
        <v>132</v>
      </c>
      <c r="P2104" t="s">
        <v>24</v>
      </c>
      <c r="Q2104">
        <v>5</v>
      </c>
      <c r="R2104">
        <f>IF(ventas_libreria[[#This Row],[valoracion_cliente]]="","Sin valoración",ventas_libreria[[#This Row],[valoracion_cliente]])</f>
        <v>5</v>
      </c>
    </row>
    <row r="2105" spans="1:18" x14ac:dyDescent="0.25">
      <c r="A2105" t="s">
        <v>2381</v>
      </c>
      <c r="B2105" t="s">
        <v>362</v>
      </c>
      <c r="C2105" t="s">
        <v>363</v>
      </c>
      <c r="D2105" t="s">
        <v>249</v>
      </c>
      <c r="E2105" t="s">
        <v>172</v>
      </c>
      <c r="F2105">
        <f>ventas_libreria[[#This Row],[precio_eur]]/100</f>
        <v>12.16</v>
      </c>
      <c r="G2105">
        <v>1216</v>
      </c>
      <c r="H2105">
        <v>2</v>
      </c>
      <c r="I2105">
        <f>ventas_libreria[[#This Row],[precio]]*ventas_libreria[[#This Row],[cantidad]]</f>
        <v>24.32</v>
      </c>
      <c r="J2105">
        <v>59</v>
      </c>
      <c r="K2105" t="s">
        <v>62</v>
      </c>
      <c r="L2105" s="1">
        <v>45405</v>
      </c>
      <c r="M2105" t="s">
        <v>31</v>
      </c>
      <c r="N2105" t="s">
        <v>32</v>
      </c>
      <c r="O2105" t="s">
        <v>33</v>
      </c>
      <c r="P2105" t="s">
        <v>84</v>
      </c>
      <c r="Q2105">
        <v>4</v>
      </c>
      <c r="R2105">
        <f>IF(ventas_libreria[[#This Row],[valoracion_cliente]]="","Sin valoración",ventas_libreria[[#This Row],[valoracion_cliente]])</f>
        <v>4</v>
      </c>
    </row>
    <row r="2106" spans="1:18" x14ac:dyDescent="0.25">
      <c r="A2106" t="s">
        <v>2382</v>
      </c>
      <c r="B2106" t="s">
        <v>208</v>
      </c>
      <c r="C2106" t="s">
        <v>209</v>
      </c>
      <c r="D2106" t="s">
        <v>106</v>
      </c>
      <c r="E2106" t="s">
        <v>107</v>
      </c>
      <c r="F2106">
        <f>ventas_libreria[[#This Row],[precio_eur]]/100</f>
        <v>1.49</v>
      </c>
      <c r="G2106">
        <v>149</v>
      </c>
      <c r="H2106">
        <v>1</v>
      </c>
      <c r="I2106">
        <f>ventas_libreria[[#This Row],[precio]]*ventas_libreria[[#This Row],[cantidad]]</f>
        <v>1.49</v>
      </c>
      <c r="J2106">
        <v>10</v>
      </c>
      <c r="K2106" t="s">
        <v>30</v>
      </c>
      <c r="L2106" s="1">
        <v>45894</v>
      </c>
      <c r="M2106" t="s">
        <v>43</v>
      </c>
      <c r="N2106" t="s">
        <v>32</v>
      </c>
      <c r="O2106" t="s">
        <v>33</v>
      </c>
      <c r="P2106" t="s">
        <v>50</v>
      </c>
      <c r="Q2106">
        <v>1</v>
      </c>
      <c r="R2106">
        <f>IF(ventas_libreria[[#This Row],[valoracion_cliente]]="","Sin valoración",ventas_libreria[[#This Row],[valoracion_cliente]])</f>
        <v>1</v>
      </c>
    </row>
    <row r="2107" spans="1:18" x14ac:dyDescent="0.25">
      <c r="A2107" t="s">
        <v>2383</v>
      </c>
      <c r="B2107" t="s">
        <v>40</v>
      </c>
      <c r="C2107" t="s">
        <v>41</v>
      </c>
      <c r="D2107" t="s">
        <v>42</v>
      </c>
      <c r="E2107" t="s">
        <v>19</v>
      </c>
      <c r="F2107">
        <f>ventas_libreria[[#This Row],[precio_eur]]/100</f>
        <v>10.32</v>
      </c>
      <c r="G2107">
        <v>1032</v>
      </c>
      <c r="H2107">
        <v>1</v>
      </c>
      <c r="I2107">
        <f>ventas_libreria[[#This Row],[precio]]*ventas_libreria[[#This Row],[cantidad]]</f>
        <v>10.32</v>
      </c>
      <c r="J2107">
        <v>65</v>
      </c>
      <c r="K2107" t="s">
        <v>30</v>
      </c>
      <c r="L2107" s="1">
        <v>45583</v>
      </c>
      <c r="M2107" t="s">
        <v>21</v>
      </c>
      <c r="N2107" t="s">
        <v>22</v>
      </c>
      <c r="O2107" t="s">
        <v>49</v>
      </c>
      <c r="P2107" t="s">
        <v>34</v>
      </c>
      <c r="Q2107">
        <v>5</v>
      </c>
      <c r="R2107">
        <f>IF(ventas_libreria[[#This Row],[valoracion_cliente]]="","Sin valoración",ventas_libreria[[#This Row],[valoracion_cliente]])</f>
        <v>5</v>
      </c>
    </row>
    <row r="2108" spans="1:18" x14ac:dyDescent="0.25">
      <c r="A2108" t="s">
        <v>2384</v>
      </c>
      <c r="B2108" t="s">
        <v>365</v>
      </c>
      <c r="C2108" t="s">
        <v>366</v>
      </c>
      <c r="D2108" t="s">
        <v>367</v>
      </c>
      <c r="E2108" t="s">
        <v>19</v>
      </c>
      <c r="F2108">
        <f>ventas_libreria[[#This Row],[precio_eur]]/100</f>
        <v>1.89</v>
      </c>
      <c r="G2108">
        <v>189</v>
      </c>
      <c r="H2108">
        <v>1</v>
      </c>
      <c r="I2108">
        <f>ventas_libreria[[#This Row],[precio]]*ventas_libreria[[#This Row],[cantidad]]</f>
        <v>1.89</v>
      </c>
      <c r="J2108">
        <v>66</v>
      </c>
      <c r="K2108" t="s">
        <v>62</v>
      </c>
      <c r="L2108" s="1">
        <v>45459</v>
      </c>
      <c r="M2108" t="s">
        <v>43</v>
      </c>
      <c r="N2108" t="s">
        <v>32</v>
      </c>
      <c r="O2108" t="s">
        <v>33</v>
      </c>
      <c r="P2108" t="s">
        <v>84</v>
      </c>
      <c r="Q2108">
        <v>5</v>
      </c>
      <c r="R2108">
        <f>IF(ventas_libreria[[#This Row],[valoracion_cliente]]="","Sin valoración",ventas_libreria[[#This Row],[valoracion_cliente]])</f>
        <v>5</v>
      </c>
    </row>
    <row r="2109" spans="1:18" x14ac:dyDescent="0.25">
      <c r="A2109" t="s">
        <v>2385</v>
      </c>
      <c r="B2109" t="s">
        <v>156</v>
      </c>
      <c r="C2109" t="s">
        <v>157</v>
      </c>
      <c r="D2109" t="s">
        <v>158</v>
      </c>
      <c r="E2109" t="s">
        <v>149</v>
      </c>
      <c r="F2109">
        <f>ventas_libreria[[#This Row],[precio_eur]]/100</f>
        <v>20.79</v>
      </c>
      <c r="G2109">
        <v>2079</v>
      </c>
      <c r="H2109">
        <v>1</v>
      </c>
      <c r="I2109">
        <f>ventas_libreria[[#This Row],[precio]]*ventas_libreria[[#This Row],[cantidad]]</f>
        <v>20.79</v>
      </c>
      <c r="J2109">
        <v>27</v>
      </c>
      <c r="K2109" t="s">
        <v>20</v>
      </c>
      <c r="L2109" s="1">
        <v>45643</v>
      </c>
      <c r="M2109" t="s">
        <v>31</v>
      </c>
      <c r="N2109" t="s">
        <v>32</v>
      </c>
      <c r="O2109" t="s">
        <v>33</v>
      </c>
      <c r="P2109" t="s">
        <v>34</v>
      </c>
      <c r="Q2109">
        <v>4</v>
      </c>
      <c r="R2109">
        <f>IF(ventas_libreria[[#This Row],[valoracion_cliente]]="","Sin valoración",ventas_libreria[[#This Row],[valoracion_cliente]])</f>
        <v>4</v>
      </c>
    </row>
    <row r="2110" spans="1:18" x14ac:dyDescent="0.25">
      <c r="A2110" t="s">
        <v>2386</v>
      </c>
      <c r="B2110" t="s">
        <v>104</v>
      </c>
      <c r="C2110" t="s">
        <v>105</v>
      </c>
      <c r="D2110" t="s">
        <v>106</v>
      </c>
      <c r="E2110" t="s">
        <v>107</v>
      </c>
      <c r="F2110">
        <f>ventas_libreria[[#This Row],[precio_eur]]/100</f>
        <v>1.49</v>
      </c>
      <c r="G2110">
        <v>149</v>
      </c>
      <c r="H2110">
        <v>1</v>
      </c>
      <c r="I2110">
        <f>ventas_libreria[[#This Row],[precio]]*ventas_libreria[[#This Row],[cantidad]]</f>
        <v>1.49</v>
      </c>
      <c r="J2110">
        <v>13</v>
      </c>
      <c r="K2110" t="s">
        <v>38</v>
      </c>
      <c r="L2110" s="1">
        <v>44959</v>
      </c>
      <c r="M2110" t="s">
        <v>43</v>
      </c>
      <c r="N2110" t="s">
        <v>32</v>
      </c>
      <c r="O2110" t="s">
        <v>33</v>
      </c>
      <c r="P2110" t="s">
        <v>24</v>
      </c>
      <c r="Q2110">
        <v>5</v>
      </c>
      <c r="R2110">
        <f>IF(ventas_libreria[[#This Row],[valoracion_cliente]]="","Sin valoración",ventas_libreria[[#This Row],[valoracion_cliente]])</f>
        <v>5</v>
      </c>
    </row>
    <row r="2111" spans="1:18" x14ac:dyDescent="0.25">
      <c r="A2111" t="s">
        <v>2387</v>
      </c>
      <c r="B2111" t="s">
        <v>40</v>
      </c>
      <c r="C2111" t="s">
        <v>41</v>
      </c>
      <c r="D2111" t="s">
        <v>42</v>
      </c>
      <c r="E2111" t="s">
        <v>19</v>
      </c>
      <c r="F2111">
        <f>ventas_libreria[[#This Row],[precio_eur]]/100</f>
        <v>11.61</v>
      </c>
      <c r="G2111">
        <v>1161</v>
      </c>
      <c r="H2111">
        <v>1</v>
      </c>
      <c r="I2111">
        <f>ventas_libreria[[#This Row],[precio]]*ventas_libreria[[#This Row],[cantidad]]</f>
        <v>11.61</v>
      </c>
      <c r="J2111">
        <v>70</v>
      </c>
      <c r="K2111" t="s">
        <v>38</v>
      </c>
      <c r="L2111" s="1">
        <v>45829</v>
      </c>
      <c r="M2111" t="s">
        <v>21</v>
      </c>
      <c r="N2111" t="s">
        <v>32</v>
      </c>
      <c r="O2111" t="s">
        <v>33</v>
      </c>
      <c r="P2111" t="s">
        <v>50</v>
      </c>
      <c r="Q2111">
        <v>4</v>
      </c>
      <c r="R2111">
        <f>IF(ventas_libreria[[#This Row],[valoracion_cliente]]="","Sin valoración",ventas_libreria[[#This Row],[valoracion_cliente]])</f>
        <v>4</v>
      </c>
    </row>
    <row r="2112" spans="1:18" x14ac:dyDescent="0.25">
      <c r="A2112" t="s">
        <v>2388</v>
      </c>
      <c r="B2112" t="s">
        <v>353</v>
      </c>
      <c r="C2112" t="s">
        <v>354</v>
      </c>
      <c r="D2112" t="s">
        <v>226</v>
      </c>
      <c r="E2112" t="s">
        <v>116</v>
      </c>
      <c r="F2112">
        <f>ventas_libreria[[#This Row],[precio_eur]]/100</f>
        <v>15.21</v>
      </c>
      <c r="G2112">
        <v>1521</v>
      </c>
      <c r="H2112">
        <v>1</v>
      </c>
      <c r="I2112">
        <f>ventas_libreria[[#This Row],[precio]]*ventas_libreria[[#This Row],[cantidad]]</f>
        <v>15.21</v>
      </c>
      <c r="J2112">
        <v>69</v>
      </c>
      <c r="K2112" t="s">
        <v>20</v>
      </c>
      <c r="L2112" s="1">
        <v>45795</v>
      </c>
      <c r="M2112" t="s">
        <v>43</v>
      </c>
      <c r="N2112" t="s">
        <v>32</v>
      </c>
      <c r="O2112" t="s">
        <v>33</v>
      </c>
      <c r="P2112" t="s">
        <v>50</v>
      </c>
      <c r="R2112" t="str">
        <f>IF(ventas_libreria[[#This Row],[valoracion_cliente]]="","Sin valoración",ventas_libreria[[#This Row],[valoracion_cliente]])</f>
        <v>Sin valoración</v>
      </c>
    </row>
    <row r="2113" spans="1:18" x14ac:dyDescent="0.25">
      <c r="A2113" t="s">
        <v>2389</v>
      </c>
      <c r="B2113" t="s">
        <v>58</v>
      </c>
      <c r="C2113" t="s">
        <v>59</v>
      </c>
      <c r="D2113" t="s">
        <v>60</v>
      </c>
      <c r="E2113" t="s">
        <v>61</v>
      </c>
      <c r="F2113">
        <f>ventas_libreria[[#This Row],[precio_eur]]/100</f>
        <v>13.55</v>
      </c>
      <c r="G2113">
        <v>1355</v>
      </c>
      <c r="H2113">
        <v>1</v>
      </c>
      <c r="I2113">
        <f>ventas_libreria[[#This Row],[precio]]*ventas_libreria[[#This Row],[cantidad]]</f>
        <v>13.55</v>
      </c>
      <c r="J2113">
        <v>52</v>
      </c>
      <c r="K2113" t="s">
        <v>30</v>
      </c>
      <c r="L2113" s="1">
        <v>45111</v>
      </c>
      <c r="M2113" t="s">
        <v>31</v>
      </c>
      <c r="N2113" t="s">
        <v>22</v>
      </c>
      <c r="O2113" t="s">
        <v>67</v>
      </c>
      <c r="P2113" t="s">
        <v>24</v>
      </c>
      <c r="Q2113">
        <v>5</v>
      </c>
      <c r="R2113">
        <f>IF(ventas_libreria[[#This Row],[valoracion_cliente]]="","Sin valoración",ventas_libreria[[#This Row],[valoracion_cliente]])</f>
        <v>5</v>
      </c>
    </row>
    <row r="2114" spans="1:18" x14ac:dyDescent="0.25">
      <c r="A2114" t="s">
        <v>2390</v>
      </c>
      <c r="B2114" t="s">
        <v>118</v>
      </c>
      <c r="C2114" t="s">
        <v>119</v>
      </c>
      <c r="D2114" t="s">
        <v>47</v>
      </c>
      <c r="E2114" t="s">
        <v>48</v>
      </c>
      <c r="F2114">
        <f>ventas_libreria[[#This Row],[precio_eur]]/100</f>
        <v>1.67</v>
      </c>
      <c r="G2114">
        <v>167</v>
      </c>
      <c r="H2114">
        <v>1</v>
      </c>
      <c r="I2114">
        <f>ventas_libreria[[#This Row],[precio]]*ventas_libreria[[#This Row],[cantidad]]</f>
        <v>1.67</v>
      </c>
      <c r="J2114">
        <v>19</v>
      </c>
      <c r="K2114" t="s">
        <v>20</v>
      </c>
      <c r="L2114" s="1">
        <v>45787</v>
      </c>
      <c r="M2114" t="s">
        <v>31</v>
      </c>
      <c r="N2114" t="s">
        <v>22</v>
      </c>
      <c r="O2114" t="s">
        <v>23</v>
      </c>
      <c r="P2114" t="s">
        <v>84</v>
      </c>
      <c r="Q2114">
        <v>1</v>
      </c>
      <c r="R2114">
        <f>IF(ventas_libreria[[#This Row],[valoracion_cliente]]="","Sin valoración",ventas_libreria[[#This Row],[valoracion_cliente]])</f>
        <v>1</v>
      </c>
    </row>
    <row r="2115" spans="1:18" x14ac:dyDescent="0.25">
      <c r="A2115" t="s">
        <v>2391</v>
      </c>
      <c r="B2115" t="s">
        <v>327</v>
      </c>
      <c r="C2115" t="s">
        <v>328</v>
      </c>
      <c r="D2115" t="s">
        <v>288</v>
      </c>
      <c r="E2115" t="s">
        <v>289</v>
      </c>
      <c r="F2115">
        <f>ventas_libreria[[#This Row],[precio_eur]]/100</f>
        <v>20.61</v>
      </c>
      <c r="G2115">
        <v>2061</v>
      </c>
      <c r="H2115">
        <v>3</v>
      </c>
      <c r="I2115">
        <f>ventas_libreria[[#This Row],[precio]]*ventas_libreria[[#This Row],[cantidad]]</f>
        <v>61.83</v>
      </c>
      <c r="J2115">
        <v>73</v>
      </c>
      <c r="K2115" t="s">
        <v>20</v>
      </c>
      <c r="L2115" s="1">
        <v>45110</v>
      </c>
      <c r="M2115" t="s">
        <v>43</v>
      </c>
      <c r="N2115" t="s">
        <v>32</v>
      </c>
      <c r="O2115" t="s">
        <v>33</v>
      </c>
      <c r="P2115" t="s">
        <v>50</v>
      </c>
      <c r="Q2115">
        <v>5</v>
      </c>
      <c r="R2115">
        <f>IF(ventas_libreria[[#This Row],[valoracion_cliente]]="","Sin valoración",ventas_libreria[[#This Row],[valoracion_cliente]])</f>
        <v>5</v>
      </c>
    </row>
    <row r="2116" spans="1:18" x14ac:dyDescent="0.25">
      <c r="A2116" t="s">
        <v>2392</v>
      </c>
      <c r="B2116" t="s">
        <v>125</v>
      </c>
      <c r="C2116" t="s">
        <v>126</v>
      </c>
      <c r="D2116" t="s">
        <v>127</v>
      </c>
      <c r="E2116" t="s">
        <v>29</v>
      </c>
      <c r="F2116">
        <f>ventas_libreria[[#This Row],[precio_eur]]/100</f>
        <v>19.690000000000001</v>
      </c>
      <c r="G2116">
        <v>1969</v>
      </c>
      <c r="H2116">
        <v>2</v>
      </c>
      <c r="I2116">
        <f>ventas_libreria[[#This Row],[precio]]*ventas_libreria[[#This Row],[cantidad]]</f>
        <v>39.380000000000003</v>
      </c>
      <c r="J2116">
        <v>61</v>
      </c>
      <c r="K2116" t="s">
        <v>20</v>
      </c>
      <c r="L2116" s="1">
        <v>45008</v>
      </c>
      <c r="M2116" t="s">
        <v>21</v>
      </c>
      <c r="N2116" t="s">
        <v>32</v>
      </c>
      <c r="O2116" t="s">
        <v>33</v>
      </c>
      <c r="P2116" t="s">
        <v>24</v>
      </c>
      <c r="Q2116">
        <v>5</v>
      </c>
      <c r="R2116">
        <f>IF(ventas_libreria[[#This Row],[valoracion_cliente]]="","Sin valoración",ventas_libreria[[#This Row],[valoracion_cliente]])</f>
        <v>5</v>
      </c>
    </row>
    <row r="2117" spans="1:18" x14ac:dyDescent="0.25">
      <c r="A2117" t="s">
        <v>2393</v>
      </c>
      <c r="B2117" t="s">
        <v>228</v>
      </c>
      <c r="C2117" t="s">
        <v>229</v>
      </c>
      <c r="D2117" t="s">
        <v>206</v>
      </c>
      <c r="E2117" t="s">
        <v>116</v>
      </c>
      <c r="F2117">
        <f>ventas_libreria[[#This Row],[precio_eur]]/100</f>
        <v>1.89</v>
      </c>
      <c r="G2117">
        <v>189</v>
      </c>
      <c r="H2117">
        <v>2</v>
      </c>
      <c r="I2117">
        <f>ventas_libreria[[#This Row],[precio]]*ventas_libreria[[#This Row],[cantidad]]</f>
        <v>3.78</v>
      </c>
      <c r="J2117">
        <v>45</v>
      </c>
      <c r="K2117" t="s">
        <v>62</v>
      </c>
      <c r="L2117" s="1">
        <v>45349</v>
      </c>
      <c r="M2117" t="s">
        <v>31</v>
      </c>
      <c r="N2117" t="s">
        <v>32</v>
      </c>
      <c r="O2117" t="s">
        <v>33</v>
      </c>
      <c r="P2117" t="s">
        <v>24</v>
      </c>
      <c r="Q2117">
        <v>5</v>
      </c>
      <c r="R2117">
        <f>IF(ventas_libreria[[#This Row],[valoracion_cliente]]="","Sin valoración",ventas_libreria[[#This Row],[valoracion_cliente]])</f>
        <v>5</v>
      </c>
    </row>
    <row r="2118" spans="1:18" x14ac:dyDescent="0.25">
      <c r="A2118" t="s">
        <v>2394</v>
      </c>
      <c r="B2118" t="s">
        <v>69</v>
      </c>
      <c r="C2118" t="s">
        <v>70</v>
      </c>
      <c r="D2118" t="s">
        <v>71</v>
      </c>
      <c r="E2118" t="s">
        <v>72</v>
      </c>
      <c r="F2118">
        <f>ventas_libreria[[#This Row],[precio_eur]]/100</f>
        <v>17.75</v>
      </c>
      <c r="G2118">
        <v>1775</v>
      </c>
      <c r="H2118">
        <v>1</v>
      </c>
      <c r="I2118">
        <f>ventas_libreria[[#This Row],[precio]]*ventas_libreria[[#This Row],[cantidad]]</f>
        <v>17.75</v>
      </c>
      <c r="J2118">
        <v>28</v>
      </c>
      <c r="K2118" t="s">
        <v>62</v>
      </c>
      <c r="L2118" s="1">
        <v>45600</v>
      </c>
      <c r="M2118" t="s">
        <v>21</v>
      </c>
      <c r="N2118" t="s">
        <v>32</v>
      </c>
      <c r="O2118" t="s">
        <v>33</v>
      </c>
      <c r="P2118" t="s">
        <v>84</v>
      </c>
      <c r="Q2118">
        <v>5</v>
      </c>
      <c r="R2118">
        <f>IF(ventas_libreria[[#This Row],[valoracion_cliente]]="","Sin valoración",ventas_libreria[[#This Row],[valoracion_cliente]])</f>
        <v>5</v>
      </c>
    </row>
    <row r="2119" spans="1:18" x14ac:dyDescent="0.25">
      <c r="A2119" t="s">
        <v>2395</v>
      </c>
      <c r="B2119" t="s">
        <v>301</v>
      </c>
      <c r="C2119" t="s">
        <v>302</v>
      </c>
      <c r="D2119" t="s">
        <v>245</v>
      </c>
      <c r="E2119" t="s">
        <v>48</v>
      </c>
      <c r="F2119">
        <f>ventas_libreria[[#This Row],[precio_eur]]/100</f>
        <v>26.14</v>
      </c>
      <c r="G2119">
        <v>2614</v>
      </c>
      <c r="H2119">
        <v>1</v>
      </c>
      <c r="I2119">
        <f>ventas_libreria[[#This Row],[precio]]*ventas_libreria[[#This Row],[cantidad]]</f>
        <v>26.14</v>
      </c>
      <c r="J2119">
        <v>49</v>
      </c>
      <c r="K2119" t="s">
        <v>62</v>
      </c>
      <c r="L2119" s="1">
        <v>45517</v>
      </c>
      <c r="M2119" t="s">
        <v>43</v>
      </c>
      <c r="N2119" t="s">
        <v>32</v>
      </c>
      <c r="O2119" t="s">
        <v>33</v>
      </c>
      <c r="P2119" t="s">
        <v>34</v>
      </c>
      <c r="Q2119">
        <v>3</v>
      </c>
      <c r="R2119">
        <f>IF(ventas_libreria[[#This Row],[valoracion_cliente]]="","Sin valoración",ventas_libreria[[#This Row],[valoracion_cliente]])</f>
        <v>3</v>
      </c>
    </row>
    <row r="2120" spans="1:18" x14ac:dyDescent="0.25">
      <c r="A2120" t="s">
        <v>2396</v>
      </c>
      <c r="B2120" t="s">
        <v>365</v>
      </c>
      <c r="C2120" t="s">
        <v>366</v>
      </c>
      <c r="D2120" t="s">
        <v>367</v>
      </c>
      <c r="E2120" t="s">
        <v>19</v>
      </c>
      <c r="F2120">
        <f>ventas_libreria[[#This Row],[precio_eur]]/100</f>
        <v>1.89</v>
      </c>
      <c r="G2120">
        <v>189</v>
      </c>
      <c r="H2120">
        <v>3</v>
      </c>
      <c r="I2120">
        <f>ventas_libreria[[#This Row],[precio]]*ventas_libreria[[#This Row],[cantidad]]</f>
        <v>5.67</v>
      </c>
      <c r="J2120">
        <v>70</v>
      </c>
      <c r="K2120" t="s">
        <v>20</v>
      </c>
      <c r="L2120" s="1">
        <v>44999</v>
      </c>
      <c r="M2120" t="s">
        <v>31</v>
      </c>
      <c r="N2120" t="s">
        <v>32</v>
      </c>
      <c r="O2120" t="s">
        <v>33</v>
      </c>
      <c r="P2120" t="s">
        <v>50</v>
      </c>
      <c r="Q2120">
        <v>5</v>
      </c>
      <c r="R2120">
        <f>IF(ventas_libreria[[#This Row],[valoracion_cliente]]="","Sin valoración",ventas_libreria[[#This Row],[valoracion_cliente]])</f>
        <v>5</v>
      </c>
    </row>
    <row r="2121" spans="1:18" x14ac:dyDescent="0.25">
      <c r="A2121" t="s">
        <v>2397</v>
      </c>
      <c r="B2121" t="s">
        <v>437</v>
      </c>
      <c r="C2121" t="s">
        <v>438</v>
      </c>
      <c r="D2121" t="s">
        <v>178</v>
      </c>
      <c r="E2121" t="s">
        <v>55</v>
      </c>
      <c r="F2121">
        <f>ventas_libreria[[#This Row],[precio_eur]]/100</f>
        <v>18.79</v>
      </c>
      <c r="G2121">
        <v>1879</v>
      </c>
      <c r="H2121">
        <v>3</v>
      </c>
      <c r="I2121">
        <f>ventas_libreria[[#This Row],[precio]]*ventas_libreria[[#This Row],[cantidad]]</f>
        <v>56.37</v>
      </c>
      <c r="J2121">
        <v>52</v>
      </c>
      <c r="K2121" t="s">
        <v>38</v>
      </c>
      <c r="L2121" s="1">
        <v>45540</v>
      </c>
      <c r="M2121" t="s">
        <v>31</v>
      </c>
      <c r="N2121" t="s">
        <v>32</v>
      </c>
      <c r="O2121" t="s">
        <v>33</v>
      </c>
      <c r="P2121" t="s">
        <v>24</v>
      </c>
      <c r="Q2121">
        <v>5</v>
      </c>
      <c r="R2121">
        <f>IF(ventas_libreria[[#This Row],[valoracion_cliente]]="","Sin valoración",ventas_libreria[[#This Row],[valoracion_cliente]])</f>
        <v>5</v>
      </c>
    </row>
    <row r="2122" spans="1:18" x14ac:dyDescent="0.25">
      <c r="A2122" t="s">
        <v>2398</v>
      </c>
      <c r="B2122" t="s">
        <v>348</v>
      </c>
      <c r="C2122" t="s">
        <v>349</v>
      </c>
      <c r="D2122" t="s">
        <v>350</v>
      </c>
      <c r="E2122" t="s">
        <v>116</v>
      </c>
      <c r="F2122">
        <f>ventas_libreria[[#This Row],[precio_eur]]/100</f>
        <v>15.92</v>
      </c>
      <c r="G2122">
        <v>1592</v>
      </c>
      <c r="H2122">
        <v>1</v>
      </c>
      <c r="I2122">
        <f>ventas_libreria[[#This Row],[precio]]*ventas_libreria[[#This Row],[cantidad]]</f>
        <v>15.92</v>
      </c>
      <c r="J2122">
        <v>17</v>
      </c>
      <c r="K2122" t="s">
        <v>38</v>
      </c>
      <c r="L2122" s="1">
        <v>45225</v>
      </c>
      <c r="M2122" t="s">
        <v>43</v>
      </c>
      <c r="N2122" t="s">
        <v>32</v>
      </c>
      <c r="O2122" t="s">
        <v>33</v>
      </c>
      <c r="P2122" t="s">
        <v>84</v>
      </c>
      <c r="Q2122">
        <v>3</v>
      </c>
      <c r="R2122">
        <f>IF(ventas_libreria[[#This Row],[valoracion_cliente]]="","Sin valoración",ventas_libreria[[#This Row],[valoracion_cliente]])</f>
        <v>3</v>
      </c>
    </row>
    <row r="2123" spans="1:18" x14ac:dyDescent="0.25">
      <c r="A2123" t="s">
        <v>2399</v>
      </c>
      <c r="B2123" t="s">
        <v>406</v>
      </c>
      <c r="C2123" t="s">
        <v>407</v>
      </c>
      <c r="D2123" t="s">
        <v>88</v>
      </c>
      <c r="E2123" t="s">
        <v>77</v>
      </c>
      <c r="F2123">
        <f>ventas_libreria[[#This Row],[precio_eur]]/100</f>
        <v>10.71</v>
      </c>
      <c r="G2123">
        <v>1071</v>
      </c>
      <c r="H2123">
        <v>1</v>
      </c>
      <c r="I2123">
        <f>ventas_libreria[[#This Row],[precio]]*ventas_libreria[[#This Row],[cantidad]]</f>
        <v>10.71</v>
      </c>
      <c r="J2123">
        <v>7</v>
      </c>
      <c r="K2123" t="s">
        <v>62</v>
      </c>
      <c r="L2123" s="1">
        <v>45566</v>
      </c>
      <c r="M2123" t="s">
        <v>43</v>
      </c>
      <c r="N2123" t="s">
        <v>32</v>
      </c>
      <c r="O2123" t="s">
        <v>33</v>
      </c>
      <c r="P2123" t="s">
        <v>84</v>
      </c>
      <c r="Q2123">
        <v>5</v>
      </c>
      <c r="R2123">
        <f>IF(ventas_libreria[[#This Row],[valoracion_cliente]]="","Sin valoración",ventas_libreria[[#This Row],[valoracion_cliente]])</f>
        <v>5</v>
      </c>
    </row>
    <row r="2124" spans="1:18" x14ac:dyDescent="0.25">
      <c r="A2124" t="s">
        <v>2400</v>
      </c>
      <c r="B2124" t="s">
        <v>151</v>
      </c>
      <c r="C2124" t="s">
        <v>152</v>
      </c>
      <c r="D2124" t="s">
        <v>153</v>
      </c>
      <c r="E2124" t="s">
        <v>154</v>
      </c>
      <c r="F2124">
        <f>ventas_libreria[[#This Row],[precio_eur]]/100</f>
        <v>1.69</v>
      </c>
      <c r="G2124">
        <v>169</v>
      </c>
      <c r="H2124">
        <v>3</v>
      </c>
      <c r="I2124">
        <f>ventas_libreria[[#This Row],[precio]]*ventas_libreria[[#This Row],[cantidad]]</f>
        <v>5.07</v>
      </c>
      <c r="J2124">
        <v>68</v>
      </c>
      <c r="K2124" t="s">
        <v>20</v>
      </c>
      <c r="L2124" s="1">
        <v>45539</v>
      </c>
      <c r="M2124" t="s">
        <v>31</v>
      </c>
      <c r="N2124" t="s">
        <v>32</v>
      </c>
      <c r="O2124" t="s">
        <v>33</v>
      </c>
      <c r="P2124" t="s">
        <v>84</v>
      </c>
      <c r="Q2124">
        <v>4</v>
      </c>
      <c r="R2124">
        <f>IF(ventas_libreria[[#This Row],[valoracion_cliente]]="","Sin valoración",ventas_libreria[[#This Row],[valoracion_cliente]])</f>
        <v>4</v>
      </c>
    </row>
    <row r="2125" spans="1:18" x14ac:dyDescent="0.25">
      <c r="A2125" t="s">
        <v>2401</v>
      </c>
      <c r="B2125" t="s">
        <v>549</v>
      </c>
      <c r="C2125" t="s">
        <v>550</v>
      </c>
      <c r="D2125" t="s">
        <v>162</v>
      </c>
      <c r="E2125" t="s">
        <v>29</v>
      </c>
      <c r="F2125">
        <f>ventas_libreria[[#This Row],[precio_eur]]/100</f>
        <v>20.89</v>
      </c>
      <c r="G2125">
        <v>2089</v>
      </c>
      <c r="H2125">
        <v>1</v>
      </c>
      <c r="I2125">
        <f>ventas_libreria[[#This Row],[precio]]*ventas_libreria[[#This Row],[cantidad]]</f>
        <v>20.89</v>
      </c>
      <c r="J2125">
        <v>58</v>
      </c>
      <c r="K2125" t="s">
        <v>30</v>
      </c>
      <c r="L2125" s="1">
        <v>45336</v>
      </c>
      <c r="M2125" t="s">
        <v>31</v>
      </c>
      <c r="N2125" t="s">
        <v>32</v>
      </c>
      <c r="O2125" t="s">
        <v>33</v>
      </c>
      <c r="P2125" t="s">
        <v>84</v>
      </c>
      <c r="Q2125">
        <v>5</v>
      </c>
      <c r="R2125">
        <f>IF(ventas_libreria[[#This Row],[valoracion_cliente]]="","Sin valoración",ventas_libreria[[#This Row],[valoracion_cliente]])</f>
        <v>5</v>
      </c>
    </row>
    <row r="2126" spans="1:18" x14ac:dyDescent="0.25">
      <c r="A2126" t="s">
        <v>2402</v>
      </c>
      <c r="B2126" t="s">
        <v>118</v>
      </c>
      <c r="C2126" t="s">
        <v>119</v>
      </c>
      <c r="D2126" t="s">
        <v>47</v>
      </c>
      <c r="E2126" t="s">
        <v>48</v>
      </c>
      <c r="F2126">
        <f>ventas_libreria[[#This Row],[precio_eur]]/100</f>
        <v>1.59</v>
      </c>
      <c r="G2126">
        <v>159</v>
      </c>
      <c r="H2126">
        <v>2</v>
      </c>
      <c r="I2126">
        <f>ventas_libreria[[#This Row],[precio]]*ventas_libreria[[#This Row],[cantidad]]</f>
        <v>3.18</v>
      </c>
      <c r="J2126">
        <v>46</v>
      </c>
      <c r="K2126" t="s">
        <v>38</v>
      </c>
      <c r="L2126" s="1">
        <v>45072</v>
      </c>
      <c r="M2126" t="s">
        <v>31</v>
      </c>
      <c r="N2126" t="s">
        <v>32</v>
      </c>
      <c r="O2126" t="s">
        <v>33</v>
      </c>
      <c r="P2126" t="s">
        <v>24</v>
      </c>
      <c r="Q2126">
        <v>4</v>
      </c>
      <c r="R2126">
        <f>IF(ventas_libreria[[#This Row],[valoracion_cliente]]="","Sin valoración",ventas_libreria[[#This Row],[valoracion_cliente]])</f>
        <v>4</v>
      </c>
    </row>
    <row r="2127" spans="1:18" x14ac:dyDescent="0.25">
      <c r="A2127" t="s">
        <v>2403</v>
      </c>
      <c r="B2127" t="s">
        <v>406</v>
      </c>
      <c r="C2127" t="s">
        <v>407</v>
      </c>
      <c r="D2127" t="s">
        <v>88</v>
      </c>
      <c r="E2127" t="s">
        <v>77</v>
      </c>
      <c r="F2127">
        <f>ventas_libreria[[#This Row],[precio_eur]]/100</f>
        <v>10.71</v>
      </c>
      <c r="G2127">
        <v>1071</v>
      </c>
      <c r="H2127">
        <v>1</v>
      </c>
      <c r="I2127">
        <f>ventas_libreria[[#This Row],[precio]]*ventas_libreria[[#This Row],[cantidad]]</f>
        <v>10.71</v>
      </c>
      <c r="J2127">
        <v>9</v>
      </c>
      <c r="K2127" t="s">
        <v>62</v>
      </c>
      <c r="L2127" s="1">
        <v>44978</v>
      </c>
      <c r="M2127" t="s">
        <v>21</v>
      </c>
      <c r="N2127" t="s">
        <v>32</v>
      </c>
      <c r="O2127" t="s">
        <v>33</v>
      </c>
      <c r="P2127" t="s">
        <v>56</v>
      </c>
      <c r="Q2127">
        <v>4</v>
      </c>
      <c r="R2127">
        <f>IF(ventas_libreria[[#This Row],[valoracion_cliente]]="","Sin valoración",ventas_libreria[[#This Row],[valoracion_cliente]])</f>
        <v>4</v>
      </c>
    </row>
    <row r="2128" spans="1:18" x14ac:dyDescent="0.25">
      <c r="A2128" t="s">
        <v>2404</v>
      </c>
      <c r="B2128" t="s">
        <v>58</v>
      </c>
      <c r="C2128" t="s">
        <v>59</v>
      </c>
      <c r="D2128" t="s">
        <v>60</v>
      </c>
      <c r="E2128" t="s">
        <v>61</v>
      </c>
      <c r="F2128">
        <f>ventas_libreria[[#This Row],[precio_eur]]/100</f>
        <v>10.32</v>
      </c>
      <c r="G2128">
        <v>1032</v>
      </c>
      <c r="H2128">
        <v>1</v>
      </c>
      <c r="I2128">
        <f>ventas_libreria[[#This Row],[precio]]*ventas_libreria[[#This Row],[cantidad]]</f>
        <v>10.32</v>
      </c>
      <c r="J2128">
        <v>23</v>
      </c>
      <c r="K2128" t="s">
        <v>38</v>
      </c>
      <c r="L2128" s="1">
        <v>45182</v>
      </c>
      <c r="M2128" t="s">
        <v>31</v>
      </c>
      <c r="N2128" t="s">
        <v>22</v>
      </c>
      <c r="O2128" t="s">
        <v>23</v>
      </c>
      <c r="P2128" t="s">
        <v>50</v>
      </c>
      <c r="Q2128">
        <v>4</v>
      </c>
      <c r="R2128">
        <f>IF(ventas_libreria[[#This Row],[valoracion_cliente]]="","Sin valoración",ventas_libreria[[#This Row],[valoracion_cliente]])</f>
        <v>4</v>
      </c>
    </row>
    <row r="2129" spans="1:18" x14ac:dyDescent="0.25">
      <c r="A2129" t="s">
        <v>2405</v>
      </c>
      <c r="B2129" t="s">
        <v>332</v>
      </c>
      <c r="C2129" t="s">
        <v>333</v>
      </c>
      <c r="D2129" t="s">
        <v>334</v>
      </c>
      <c r="E2129" t="s">
        <v>116</v>
      </c>
      <c r="F2129">
        <f>ventas_libreria[[#This Row],[precio_eur]]/100</f>
        <v>1.69</v>
      </c>
      <c r="G2129">
        <v>169</v>
      </c>
      <c r="H2129">
        <v>2</v>
      </c>
      <c r="I2129">
        <f>ventas_libreria[[#This Row],[precio]]*ventas_libreria[[#This Row],[cantidad]]</f>
        <v>3.38</v>
      </c>
      <c r="J2129">
        <v>45</v>
      </c>
      <c r="K2129" t="s">
        <v>30</v>
      </c>
      <c r="L2129" s="1">
        <v>45799</v>
      </c>
      <c r="M2129" t="s">
        <v>31</v>
      </c>
      <c r="N2129" t="s">
        <v>32</v>
      </c>
      <c r="O2129" t="s">
        <v>33</v>
      </c>
      <c r="P2129" t="s">
        <v>34</v>
      </c>
      <c r="Q2129">
        <v>4</v>
      </c>
      <c r="R2129">
        <f>IF(ventas_libreria[[#This Row],[valoracion_cliente]]="","Sin valoración",ventas_libreria[[#This Row],[valoracion_cliente]])</f>
        <v>4</v>
      </c>
    </row>
    <row r="2130" spans="1:18" x14ac:dyDescent="0.25">
      <c r="A2130" t="s">
        <v>2406</v>
      </c>
      <c r="B2130" t="s">
        <v>125</v>
      </c>
      <c r="C2130" t="s">
        <v>126</v>
      </c>
      <c r="D2130" t="s">
        <v>127</v>
      </c>
      <c r="E2130" t="s">
        <v>29</v>
      </c>
      <c r="F2130">
        <f>ventas_libreria[[#This Row],[precio_eur]]/100</f>
        <v>15.21</v>
      </c>
      <c r="G2130">
        <v>1521</v>
      </c>
      <c r="H2130">
        <v>1</v>
      </c>
      <c r="I2130">
        <f>ventas_libreria[[#This Row],[precio]]*ventas_libreria[[#This Row],[cantidad]]</f>
        <v>15.21</v>
      </c>
      <c r="J2130">
        <v>55</v>
      </c>
      <c r="K2130" t="s">
        <v>38</v>
      </c>
      <c r="L2130" s="1">
        <v>45622</v>
      </c>
      <c r="M2130" t="s">
        <v>21</v>
      </c>
      <c r="N2130" t="s">
        <v>32</v>
      </c>
      <c r="O2130" t="s">
        <v>33</v>
      </c>
      <c r="P2130" t="s">
        <v>24</v>
      </c>
      <c r="Q2130">
        <v>5</v>
      </c>
      <c r="R2130">
        <f>IF(ventas_libreria[[#This Row],[valoracion_cliente]]="","Sin valoración",ventas_libreria[[#This Row],[valoracion_cliente]])</f>
        <v>5</v>
      </c>
    </row>
    <row r="2131" spans="1:18" x14ac:dyDescent="0.25">
      <c r="A2131" t="s">
        <v>2407</v>
      </c>
      <c r="B2131" t="s">
        <v>406</v>
      </c>
      <c r="C2131" t="s">
        <v>407</v>
      </c>
      <c r="D2131" t="s">
        <v>88</v>
      </c>
      <c r="E2131" t="s">
        <v>77</v>
      </c>
      <c r="F2131">
        <f>ventas_libreria[[#This Row],[precio_eur]]/100</f>
        <v>9.52</v>
      </c>
      <c r="G2131">
        <v>952</v>
      </c>
      <c r="H2131">
        <v>4</v>
      </c>
      <c r="I2131">
        <f>ventas_libreria[[#This Row],[precio]]*ventas_libreria[[#This Row],[cantidad]]</f>
        <v>38.08</v>
      </c>
      <c r="J2131">
        <v>9</v>
      </c>
      <c r="K2131" t="s">
        <v>38</v>
      </c>
      <c r="L2131" s="1">
        <v>45506</v>
      </c>
      <c r="M2131" t="s">
        <v>43</v>
      </c>
      <c r="N2131" t="s">
        <v>32</v>
      </c>
      <c r="O2131" t="s">
        <v>33</v>
      </c>
      <c r="P2131" t="s">
        <v>84</v>
      </c>
      <c r="Q2131">
        <v>4</v>
      </c>
      <c r="R2131">
        <f>IF(ventas_libreria[[#This Row],[valoracion_cliente]]="","Sin valoración",ventas_libreria[[#This Row],[valoracion_cliente]])</f>
        <v>4</v>
      </c>
    </row>
    <row r="2132" spans="1:18" x14ac:dyDescent="0.25">
      <c r="A2132" t="s">
        <v>2408</v>
      </c>
      <c r="B2132" t="s">
        <v>365</v>
      </c>
      <c r="C2132" t="s">
        <v>366</v>
      </c>
      <c r="D2132" t="s">
        <v>367</v>
      </c>
      <c r="E2132" t="s">
        <v>19</v>
      </c>
      <c r="F2132">
        <f>ventas_libreria[[#This Row],[precio_eur]]/100</f>
        <v>1.89</v>
      </c>
      <c r="G2132">
        <v>189</v>
      </c>
      <c r="H2132">
        <v>1</v>
      </c>
      <c r="I2132">
        <f>ventas_libreria[[#This Row],[precio]]*ventas_libreria[[#This Row],[cantidad]]</f>
        <v>1.89</v>
      </c>
      <c r="J2132">
        <v>74</v>
      </c>
      <c r="K2132" t="s">
        <v>62</v>
      </c>
      <c r="L2132" s="1">
        <v>45450</v>
      </c>
      <c r="M2132" t="s">
        <v>31</v>
      </c>
      <c r="N2132" t="s">
        <v>22</v>
      </c>
      <c r="O2132" t="s">
        <v>49</v>
      </c>
      <c r="P2132" t="s">
        <v>34</v>
      </c>
      <c r="Q2132">
        <v>5</v>
      </c>
      <c r="R2132">
        <f>IF(ventas_libreria[[#This Row],[valoracion_cliente]]="","Sin valoración",ventas_libreria[[#This Row],[valoracion_cliente]])</f>
        <v>5</v>
      </c>
    </row>
    <row r="2133" spans="1:18" x14ac:dyDescent="0.25">
      <c r="A2133" t="s">
        <v>2409</v>
      </c>
      <c r="B2133" t="s">
        <v>254</v>
      </c>
      <c r="C2133" t="s">
        <v>255</v>
      </c>
      <c r="D2133" t="s">
        <v>139</v>
      </c>
      <c r="E2133" t="s">
        <v>116</v>
      </c>
      <c r="F2133">
        <f>ventas_libreria[[#This Row],[precio_eur]]/100</f>
        <v>11.92</v>
      </c>
      <c r="G2133">
        <v>1192</v>
      </c>
      <c r="H2133">
        <v>1</v>
      </c>
      <c r="I2133">
        <f>ventas_libreria[[#This Row],[precio]]*ventas_libreria[[#This Row],[cantidad]]</f>
        <v>11.92</v>
      </c>
      <c r="J2133">
        <v>41</v>
      </c>
      <c r="K2133" t="s">
        <v>20</v>
      </c>
      <c r="L2133" s="1">
        <v>45207</v>
      </c>
      <c r="M2133" t="s">
        <v>43</v>
      </c>
      <c r="N2133" t="s">
        <v>32</v>
      </c>
      <c r="O2133" t="s">
        <v>33</v>
      </c>
      <c r="P2133" t="s">
        <v>50</v>
      </c>
      <c r="R2133" t="str">
        <f>IF(ventas_libreria[[#This Row],[valoracion_cliente]]="","Sin valoración",ventas_libreria[[#This Row],[valoracion_cliente]])</f>
        <v>Sin valoración</v>
      </c>
    </row>
    <row r="2134" spans="1:18" x14ac:dyDescent="0.25">
      <c r="A2134" t="s">
        <v>2410</v>
      </c>
      <c r="B2134" t="s">
        <v>348</v>
      </c>
      <c r="C2134" t="s">
        <v>349</v>
      </c>
      <c r="D2134" t="s">
        <v>350</v>
      </c>
      <c r="E2134" t="s">
        <v>116</v>
      </c>
      <c r="F2134">
        <f>ventas_libreria[[#This Row],[precio_eur]]/100</f>
        <v>1.99</v>
      </c>
      <c r="G2134">
        <v>199</v>
      </c>
      <c r="H2134">
        <v>2</v>
      </c>
      <c r="I2134">
        <f>ventas_libreria[[#This Row],[precio]]*ventas_libreria[[#This Row],[cantidad]]</f>
        <v>3.98</v>
      </c>
      <c r="J2134">
        <v>36</v>
      </c>
      <c r="K2134" t="s">
        <v>20</v>
      </c>
      <c r="L2134" s="1">
        <v>44987</v>
      </c>
      <c r="M2134" t="s">
        <v>43</v>
      </c>
      <c r="N2134" t="s">
        <v>32</v>
      </c>
      <c r="O2134" t="s">
        <v>33</v>
      </c>
      <c r="P2134" t="s">
        <v>24</v>
      </c>
      <c r="Q2134">
        <v>4</v>
      </c>
      <c r="R2134">
        <f>IF(ventas_libreria[[#This Row],[valoracion_cliente]]="","Sin valoración",ventas_libreria[[#This Row],[valoracion_cliente]])</f>
        <v>4</v>
      </c>
    </row>
    <row r="2135" spans="1:18" x14ac:dyDescent="0.25">
      <c r="A2135" t="s">
        <v>2411</v>
      </c>
      <c r="B2135" t="s">
        <v>134</v>
      </c>
      <c r="C2135" t="s">
        <v>135</v>
      </c>
      <c r="D2135" t="s">
        <v>106</v>
      </c>
      <c r="E2135" t="s">
        <v>107</v>
      </c>
      <c r="F2135">
        <f>ventas_libreria[[#This Row],[precio_eur]]/100</f>
        <v>13.41</v>
      </c>
      <c r="G2135">
        <v>1341</v>
      </c>
      <c r="H2135">
        <v>4</v>
      </c>
      <c r="I2135">
        <f>ventas_libreria[[#This Row],[precio]]*ventas_libreria[[#This Row],[cantidad]]</f>
        <v>53.64</v>
      </c>
      <c r="J2135">
        <v>18</v>
      </c>
      <c r="K2135" t="s">
        <v>62</v>
      </c>
      <c r="L2135" s="1">
        <v>44946</v>
      </c>
      <c r="M2135" t="s">
        <v>21</v>
      </c>
      <c r="N2135" t="s">
        <v>32</v>
      </c>
      <c r="O2135" t="s">
        <v>33</v>
      </c>
      <c r="P2135" t="s">
        <v>24</v>
      </c>
      <c r="Q2135">
        <v>4</v>
      </c>
      <c r="R2135">
        <f>IF(ventas_libreria[[#This Row],[valoracion_cliente]]="","Sin valoración",ventas_libreria[[#This Row],[valoracion_cliente]])</f>
        <v>4</v>
      </c>
    </row>
    <row r="2136" spans="1:18" x14ac:dyDescent="0.25">
      <c r="A2136" t="s">
        <v>2412</v>
      </c>
      <c r="B2136" t="s">
        <v>301</v>
      </c>
      <c r="C2136" t="s">
        <v>302</v>
      </c>
      <c r="D2136" t="s">
        <v>245</v>
      </c>
      <c r="E2136" t="s">
        <v>48</v>
      </c>
      <c r="F2136">
        <f>ventas_libreria[[#This Row],[precio_eur]]/100</f>
        <v>2.4900000000000002</v>
      </c>
      <c r="G2136">
        <v>249</v>
      </c>
      <c r="H2136">
        <v>1</v>
      </c>
      <c r="I2136">
        <f>ventas_libreria[[#This Row],[precio]]*ventas_libreria[[#This Row],[cantidad]]</f>
        <v>2.4900000000000002</v>
      </c>
      <c r="J2136">
        <v>19</v>
      </c>
      <c r="K2136" t="s">
        <v>62</v>
      </c>
      <c r="L2136" s="1">
        <v>45039</v>
      </c>
      <c r="M2136" t="s">
        <v>31</v>
      </c>
      <c r="N2136" t="s">
        <v>22</v>
      </c>
      <c r="O2136" t="s">
        <v>23</v>
      </c>
      <c r="P2136" t="s">
        <v>24</v>
      </c>
      <c r="Q2136">
        <v>5</v>
      </c>
      <c r="R2136">
        <f>IF(ventas_libreria[[#This Row],[valoracion_cliente]]="","Sin valoración",ventas_libreria[[#This Row],[valoracion_cliente]])</f>
        <v>5</v>
      </c>
    </row>
    <row r="2137" spans="1:18" x14ac:dyDescent="0.25">
      <c r="A2137" t="s">
        <v>2413</v>
      </c>
      <c r="B2137" t="s">
        <v>338</v>
      </c>
      <c r="C2137" t="s">
        <v>339</v>
      </c>
      <c r="D2137" t="s">
        <v>167</v>
      </c>
      <c r="E2137" t="s">
        <v>61</v>
      </c>
      <c r="F2137">
        <f>ventas_libreria[[#This Row],[precio_eur]]/100</f>
        <v>24.04</v>
      </c>
      <c r="G2137">
        <v>2404</v>
      </c>
      <c r="H2137">
        <v>1</v>
      </c>
      <c r="I2137">
        <f>ventas_libreria[[#This Row],[precio]]*ventas_libreria[[#This Row],[cantidad]]</f>
        <v>24.04</v>
      </c>
      <c r="J2137">
        <v>58</v>
      </c>
      <c r="K2137" t="s">
        <v>20</v>
      </c>
      <c r="L2137" s="1">
        <v>44933</v>
      </c>
      <c r="M2137" t="s">
        <v>43</v>
      </c>
      <c r="N2137" t="s">
        <v>32</v>
      </c>
      <c r="O2137" t="s">
        <v>33</v>
      </c>
      <c r="P2137" t="s">
        <v>34</v>
      </c>
      <c r="Q2137">
        <v>4</v>
      </c>
      <c r="R2137">
        <f>IF(ventas_libreria[[#This Row],[valoracion_cliente]]="","Sin valoración",ventas_libreria[[#This Row],[valoracion_cliente]])</f>
        <v>4</v>
      </c>
    </row>
    <row r="2138" spans="1:18" x14ac:dyDescent="0.25">
      <c r="A2138" t="s">
        <v>2414</v>
      </c>
      <c r="B2138" t="s">
        <v>314</v>
      </c>
      <c r="C2138" t="s">
        <v>315</v>
      </c>
      <c r="D2138" t="s">
        <v>217</v>
      </c>
      <c r="E2138" t="s">
        <v>55</v>
      </c>
      <c r="F2138">
        <f>ventas_libreria[[#This Row],[precio_eur]]/100</f>
        <v>1.85</v>
      </c>
      <c r="G2138">
        <v>185</v>
      </c>
      <c r="H2138">
        <v>2</v>
      </c>
      <c r="I2138">
        <f>ventas_libreria[[#This Row],[precio]]*ventas_libreria[[#This Row],[cantidad]]</f>
        <v>3.7</v>
      </c>
      <c r="J2138">
        <v>51</v>
      </c>
      <c r="K2138" t="s">
        <v>62</v>
      </c>
      <c r="L2138" s="1">
        <v>45799</v>
      </c>
      <c r="M2138" t="s">
        <v>21</v>
      </c>
      <c r="N2138" t="s">
        <v>22</v>
      </c>
      <c r="O2138" t="s">
        <v>49</v>
      </c>
      <c r="P2138" t="s">
        <v>56</v>
      </c>
      <c r="Q2138">
        <v>4</v>
      </c>
      <c r="R2138">
        <f>IF(ventas_libreria[[#This Row],[valoracion_cliente]]="","Sin valoración",ventas_libreria[[#This Row],[valoracion_cliente]])</f>
        <v>4</v>
      </c>
    </row>
    <row r="2139" spans="1:18" x14ac:dyDescent="0.25">
      <c r="A2139" t="s">
        <v>2415</v>
      </c>
      <c r="B2139" t="s">
        <v>165</v>
      </c>
      <c r="C2139" t="s">
        <v>166</v>
      </c>
      <c r="D2139" t="s">
        <v>167</v>
      </c>
      <c r="E2139" t="s">
        <v>61</v>
      </c>
      <c r="F2139">
        <f>ventas_libreria[[#This Row],[precio_eur]]/100</f>
        <v>1.49</v>
      </c>
      <c r="G2139">
        <v>149</v>
      </c>
      <c r="H2139">
        <v>1</v>
      </c>
      <c r="I2139">
        <f>ventas_libreria[[#This Row],[precio]]*ventas_libreria[[#This Row],[cantidad]]</f>
        <v>1.49</v>
      </c>
      <c r="J2139">
        <v>27</v>
      </c>
      <c r="K2139" t="s">
        <v>62</v>
      </c>
      <c r="L2139" s="1">
        <v>45825</v>
      </c>
      <c r="M2139" t="s">
        <v>21</v>
      </c>
      <c r="N2139" t="s">
        <v>22</v>
      </c>
      <c r="O2139" t="s">
        <v>132</v>
      </c>
      <c r="P2139" t="s">
        <v>24</v>
      </c>
      <c r="Q2139">
        <v>4</v>
      </c>
      <c r="R2139">
        <f>IF(ventas_libreria[[#This Row],[valoracion_cliente]]="","Sin valoración",ventas_libreria[[#This Row],[valoracion_cliente]])</f>
        <v>4</v>
      </c>
    </row>
    <row r="2140" spans="1:18" x14ac:dyDescent="0.25">
      <c r="A2140" t="s">
        <v>2416</v>
      </c>
      <c r="B2140" t="s">
        <v>268</v>
      </c>
      <c r="C2140" t="s">
        <v>269</v>
      </c>
      <c r="D2140" t="s">
        <v>270</v>
      </c>
      <c r="E2140" t="s">
        <v>83</v>
      </c>
      <c r="F2140">
        <f>ventas_libreria[[#This Row],[precio_eur]]/100</f>
        <v>11.99</v>
      </c>
      <c r="G2140">
        <v>1199</v>
      </c>
      <c r="H2140">
        <v>3</v>
      </c>
      <c r="I2140">
        <f>ventas_libreria[[#This Row],[precio]]*ventas_libreria[[#This Row],[cantidad]]</f>
        <v>35.97</v>
      </c>
      <c r="J2140">
        <v>73</v>
      </c>
      <c r="K2140" t="s">
        <v>20</v>
      </c>
      <c r="L2140" s="1">
        <v>45822</v>
      </c>
      <c r="M2140" t="s">
        <v>21</v>
      </c>
      <c r="N2140" t="s">
        <v>22</v>
      </c>
      <c r="O2140" t="s">
        <v>132</v>
      </c>
      <c r="P2140" t="s">
        <v>34</v>
      </c>
      <c r="Q2140">
        <v>4</v>
      </c>
      <c r="R2140">
        <f>IF(ventas_libreria[[#This Row],[valoracion_cliente]]="","Sin valoración",ventas_libreria[[#This Row],[valoracion_cliente]])</f>
        <v>4</v>
      </c>
    </row>
    <row r="2141" spans="1:18" x14ac:dyDescent="0.25">
      <c r="A2141" t="s">
        <v>2417</v>
      </c>
      <c r="B2141" t="s">
        <v>146</v>
      </c>
      <c r="C2141" t="s">
        <v>147</v>
      </c>
      <c r="D2141" t="s">
        <v>148</v>
      </c>
      <c r="E2141" t="s">
        <v>149</v>
      </c>
      <c r="F2141">
        <f>ventas_libreria[[#This Row],[precio_eur]]/100</f>
        <v>1.59</v>
      </c>
      <c r="G2141">
        <v>159</v>
      </c>
      <c r="H2141">
        <v>1</v>
      </c>
      <c r="I2141">
        <f>ventas_libreria[[#This Row],[precio]]*ventas_libreria[[#This Row],[cantidad]]</f>
        <v>1.59</v>
      </c>
      <c r="J2141">
        <v>41</v>
      </c>
      <c r="K2141" t="s">
        <v>62</v>
      </c>
      <c r="L2141" s="1">
        <v>45047</v>
      </c>
      <c r="M2141" t="s">
        <v>21</v>
      </c>
      <c r="N2141" t="s">
        <v>32</v>
      </c>
      <c r="O2141" t="s">
        <v>33</v>
      </c>
      <c r="P2141" t="s">
        <v>50</v>
      </c>
      <c r="Q2141">
        <v>2</v>
      </c>
      <c r="R2141">
        <f>IF(ventas_libreria[[#This Row],[valoracion_cliente]]="","Sin valoración",ventas_libreria[[#This Row],[valoracion_cliente]])</f>
        <v>2</v>
      </c>
    </row>
    <row r="2142" spans="1:18" x14ac:dyDescent="0.25">
      <c r="A2142" t="s">
        <v>2418</v>
      </c>
      <c r="B2142" t="s">
        <v>338</v>
      </c>
      <c r="C2142" t="s">
        <v>339</v>
      </c>
      <c r="D2142" t="s">
        <v>167</v>
      </c>
      <c r="E2142" t="s">
        <v>61</v>
      </c>
      <c r="F2142">
        <f>ventas_libreria[[#This Row],[precio_eur]]/100</f>
        <v>2.29</v>
      </c>
      <c r="G2142">
        <v>229</v>
      </c>
      <c r="H2142">
        <v>1</v>
      </c>
      <c r="I2142">
        <f>ventas_libreria[[#This Row],[precio]]*ventas_libreria[[#This Row],[cantidad]]</f>
        <v>2.29</v>
      </c>
      <c r="J2142">
        <v>31</v>
      </c>
      <c r="K2142" t="s">
        <v>62</v>
      </c>
      <c r="L2142" s="1">
        <v>45843</v>
      </c>
      <c r="M2142" t="s">
        <v>43</v>
      </c>
      <c r="N2142" t="s">
        <v>32</v>
      </c>
      <c r="O2142" t="s">
        <v>33</v>
      </c>
      <c r="P2142" t="s">
        <v>84</v>
      </c>
      <c r="Q2142">
        <v>5</v>
      </c>
      <c r="R2142">
        <f>IF(ventas_libreria[[#This Row],[valoracion_cliente]]="","Sin valoración",ventas_libreria[[#This Row],[valoracion_cliente]])</f>
        <v>5</v>
      </c>
    </row>
    <row r="2143" spans="1:18" x14ac:dyDescent="0.25">
      <c r="A2143" t="s">
        <v>2419</v>
      </c>
      <c r="B2143" t="s">
        <v>224</v>
      </c>
      <c r="C2143" t="s">
        <v>225</v>
      </c>
      <c r="D2143" t="s">
        <v>226</v>
      </c>
      <c r="E2143" t="s">
        <v>116</v>
      </c>
      <c r="F2143">
        <f>ventas_libreria[[#This Row],[precio_eur]]/100</f>
        <v>27.39</v>
      </c>
      <c r="G2143">
        <v>2739</v>
      </c>
      <c r="H2143">
        <v>1</v>
      </c>
      <c r="I2143">
        <f>ventas_libreria[[#This Row],[precio]]*ventas_libreria[[#This Row],[cantidad]]</f>
        <v>27.39</v>
      </c>
      <c r="J2143">
        <v>53</v>
      </c>
      <c r="K2143" t="s">
        <v>30</v>
      </c>
      <c r="L2143" s="1">
        <v>45632</v>
      </c>
      <c r="M2143" t="s">
        <v>21</v>
      </c>
      <c r="N2143" t="s">
        <v>22</v>
      </c>
      <c r="O2143" t="s">
        <v>23</v>
      </c>
      <c r="P2143" t="s">
        <v>34</v>
      </c>
      <c r="Q2143">
        <v>2</v>
      </c>
      <c r="R2143">
        <f>IF(ventas_libreria[[#This Row],[valoracion_cliente]]="","Sin valoración",ventas_libreria[[#This Row],[valoracion_cliente]])</f>
        <v>2</v>
      </c>
    </row>
    <row r="2144" spans="1:18" x14ac:dyDescent="0.25">
      <c r="A2144" t="s">
        <v>2420</v>
      </c>
      <c r="B2144" t="s">
        <v>403</v>
      </c>
      <c r="C2144" t="s">
        <v>404</v>
      </c>
      <c r="D2144" t="s">
        <v>123</v>
      </c>
      <c r="E2144" t="s">
        <v>48</v>
      </c>
      <c r="F2144">
        <f>ventas_libreria[[#This Row],[precio_eur]]/100</f>
        <v>25.41</v>
      </c>
      <c r="G2144">
        <v>2541</v>
      </c>
      <c r="H2144">
        <v>2</v>
      </c>
      <c r="I2144">
        <f>ventas_libreria[[#This Row],[precio]]*ventas_libreria[[#This Row],[cantidad]]</f>
        <v>50.82</v>
      </c>
      <c r="J2144">
        <v>21</v>
      </c>
      <c r="K2144" t="s">
        <v>62</v>
      </c>
      <c r="L2144" s="1">
        <v>45481</v>
      </c>
      <c r="M2144" t="s">
        <v>31</v>
      </c>
      <c r="N2144" t="s">
        <v>22</v>
      </c>
      <c r="O2144" t="s">
        <v>23</v>
      </c>
      <c r="P2144" t="s">
        <v>56</v>
      </c>
      <c r="Q2144">
        <v>5</v>
      </c>
      <c r="R2144">
        <f>IF(ventas_libreria[[#This Row],[valoracion_cliente]]="","Sin valoración",ventas_libreria[[#This Row],[valoracion_cliente]])</f>
        <v>5</v>
      </c>
    </row>
    <row r="2145" spans="1:18" x14ac:dyDescent="0.25">
      <c r="A2145" t="s">
        <v>2421</v>
      </c>
      <c r="B2145" t="s">
        <v>466</v>
      </c>
      <c r="C2145" t="s">
        <v>467</v>
      </c>
      <c r="D2145" t="s">
        <v>468</v>
      </c>
      <c r="E2145" t="s">
        <v>154</v>
      </c>
      <c r="F2145">
        <f>ventas_libreria[[#This Row],[precio_eur]]/100</f>
        <v>1.89</v>
      </c>
      <c r="G2145">
        <v>189</v>
      </c>
      <c r="H2145">
        <v>1</v>
      </c>
      <c r="I2145">
        <f>ventas_libreria[[#This Row],[precio]]*ventas_libreria[[#This Row],[cantidad]]</f>
        <v>1.89</v>
      </c>
      <c r="J2145">
        <v>30</v>
      </c>
      <c r="K2145" t="s">
        <v>38</v>
      </c>
      <c r="L2145" s="1">
        <v>45005</v>
      </c>
      <c r="M2145" t="s">
        <v>21</v>
      </c>
      <c r="N2145" t="s">
        <v>32</v>
      </c>
      <c r="O2145" t="s">
        <v>33</v>
      </c>
      <c r="P2145" t="s">
        <v>50</v>
      </c>
      <c r="Q2145">
        <v>2</v>
      </c>
      <c r="R2145">
        <f>IF(ventas_libreria[[#This Row],[valoracion_cliente]]="","Sin valoración",ventas_libreria[[#This Row],[valoracion_cliente]])</f>
        <v>2</v>
      </c>
    </row>
    <row r="2146" spans="1:18" x14ac:dyDescent="0.25">
      <c r="A2146" t="s">
        <v>2422</v>
      </c>
      <c r="B2146" t="s">
        <v>215</v>
      </c>
      <c r="C2146" t="s">
        <v>216</v>
      </c>
      <c r="D2146" t="s">
        <v>217</v>
      </c>
      <c r="E2146" t="s">
        <v>55</v>
      </c>
      <c r="F2146">
        <f>ventas_libreria[[#This Row],[precio_eur]]/100</f>
        <v>16.649999999999999</v>
      </c>
      <c r="G2146">
        <v>1665</v>
      </c>
      <c r="H2146">
        <v>4</v>
      </c>
      <c r="I2146">
        <f>ventas_libreria[[#This Row],[precio]]*ventas_libreria[[#This Row],[cantidad]]</f>
        <v>66.599999999999994</v>
      </c>
      <c r="J2146">
        <v>67</v>
      </c>
      <c r="K2146" t="s">
        <v>38</v>
      </c>
      <c r="L2146" s="1">
        <v>45645</v>
      </c>
      <c r="M2146" t="s">
        <v>31</v>
      </c>
      <c r="N2146" t="s">
        <v>22</v>
      </c>
      <c r="O2146" t="s">
        <v>49</v>
      </c>
      <c r="P2146" t="s">
        <v>34</v>
      </c>
      <c r="Q2146">
        <v>4</v>
      </c>
      <c r="R2146">
        <f>IF(ventas_libreria[[#This Row],[valoracion_cliente]]="","Sin valoración",ventas_libreria[[#This Row],[valoracion_cliente]])</f>
        <v>4</v>
      </c>
    </row>
    <row r="2147" spans="1:18" x14ac:dyDescent="0.25">
      <c r="A2147" t="s">
        <v>2423</v>
      </c>
      <c r="B2147" t="s">
        <v>118</v>
      </c>
      <c r="C2147" t="s">
        <v>119</v>
      </c>
      <c r="D2147" t="s">
        <v>47</v>
      </c>
      <c r="E2147" t="s">
        <v>48</v>
      </c>
      <c r="F2147">
        <f>ventas_libreria[[#This Row],[precio_eur]]/100</f>
        <v>14.31</v>
      </c>
      <c r="G2147">
        <v>1431</v>
      </c>
      <c r="H2147">
        <v>1</v>
      </c>
      <c r="I2147">
        <f>ventas_libreria[[#This Row],[precio]]*ventas_libreria[[#This Row],[cantidad]]</f>
        <v>14.31</v>
      </c>
      <c r="J2147">
        <v>23</v>
      </c>
      <c r="K2147" t="s">
        <v>62</v>
      </c>
      <c r="L2147" s="1">
        <v>44981</v>
      </c>
      <c r="M2147" t="s">
        <v>31</v>
      </c>
      <c r="N2147" t="s">
        <v>32</v>
      </c>
      <c r="O2147" t="s">
        <v>33</v>
      </c>
      <c r="P2147" t="s">
        <v>84</v>
      </c>
      <c r="Q2147">
        <v>3</v>
      </c>
      <c r="R2147">
        <f>IF(ventas_libreria[[#This Row],[valoracion_cliente]]="","Sin valoración",ventas_libreria[[#This Row],[valoracion_cliente]])</f>
        <v>3</v>
      </c>
    </row>
    <row r="2148" spans="1:18" x14ac:dyDescent="0.25">
      <c r="A2148" t="s">
        <v>2424</v>
      </c>
      <c r="B2148" t="s">
        <v>466</v>
      </c>
      <c r="C2148" t="s">
        <v>467</v>
      </c>
      <c r="D2148" t="s">
        <v>468</v>
      </c>
      <c r="E2148" t="s">
        <v>154</v>
      </c>
      <c r="F2148">
        <f>ventas_libreria[[#This Row],[precio_eur]]/100</f>
        <v>1.89</v>
      </c>
      <c r="G2148">
        <v>189</v>
      </c>
      <c r="H2148">
        <v>1</v>
      </c>
      <c r="I2148">
        <f>ventas_libreria[[#This Row],[precio]]*ventas_libreria[[#This Row],[cantidad]]</f>
        <v>1.89</v>
      </c>
      <c r="J2148">
        <v>71</v>
      </c>
      <c r="K2148" t="s">
        <v>30</v>
      </c>
      <c r="L2148" s="1">
        <v>44955</v>
      </c>
      <c r="M2148" t="s">
        <v>31</v>
      </c>
      <c r="N2148" t="s">
        <v>22</v>
      </c>
      <c r="O2148" t="s">
        <v>67</v>
      </c>
      <c r="P2148" t="s">
        <v>50</v>
      </c>
      <c r="Q2148">
        <v>4</v>
      </c>
      <c r="R2148">
        <f>IF(ventas_libreria[[#This Row],[valoracion_cliente]]="","Sin valoración",ventas_libreria[[#This Row],[valoracion_cliente]])</f>
        <v>4</v>
      </c>
    </row>
    <row r="2149" spans="1:18" x14ac:dyDescent="0.25">
      <c r="A2149" t="s">
        <v>2425</v>
      </c>
      <c r="B2149" t="s">
        <v>95</v>
      </c>
      <c r="C2149" t="s">
        <v>96</v>
      </c>
      <c r="D2149" t="s">
        <v>97</v>
      </c>
      <c r="E2149" t="s">
        <v>29</v>
      </c>
      <c r="F2149">
        <f>ventas_libreria[[#This Row],[precio_eur]]/100</f>
        <v>1.79</v>
      </c>
      <c r="G2149">
        <v>179</v>
      </c>
      <c r="H2149">
        <v>3</v>
      </c>
      <c r="I2149">
        <f>ventas_libreria[[#This Row],[precio]]*ventas_libreria[[#This Row],[cantidad]]</f>
        <v>5.37</v>
      </c>
      <c r="J2149">
        <v>69</v>
      </c>
      <c r="K2149" t="s">
        <v>62</v>
      </c>
      <c r="L2149" s="1">
        <v>45520</v>
      </c>
      <c r="M2149" t="s">
        <v>31</v>
      </c>
      <c r="N2149" t="s">
        <v>32</v>
      </c>
      <c r="O2149" t="s">
        <v>33</v>
      </c>
      <c r="P2149" t="s">
        <v>24</v>
      </c>
      <c r="Q2149">
        <v>5</v>
      </c>
      <c r="R2149">
        <f>IF(ventas_libreria[[#This Row],[valoracion_cliente]]="","Sin valoración",ventas_libreria[[#This Row],[valoracion_cliente]])</f>
        <v>5</v>
      </c>
    </row>
    <row r="2150" spans="1:18" x14ac:dyDescent="0.25">
      <c r="A2150" t="s">
        <v>2426</v>
      </c>
      <c r="B2150" t="s">
        <v>208</v>
      </c>
      <c r="C2150" t="s">
        <v>209</v>
      </c>
      <c r="D2150" t="s">
        <v>106</v>
      </c>
      <c r="E2150" t="s">
        <v>107</v>
      </c>
      <c r="F2150">
        <f>ventas_libreria[[#This Row],[precio_eur]]/100</f>
        <v>15.65</v>
      </c>
      <c r="G2150">
        <v>1565</v>
      </c>
      <c r="H2150">
        <v>1</v>
      </c>
      <c r="I2150">
        <f>ventas_libreria[[#This Row],[precio]]*ventas_libreria[[#This Row],[cantidad]]</f>
        <v>15.65</v>
      </c>
      <c r="J2150">
        <v>13</v>
      </c>
      <c r="K2150" t="s">
        <v>38</v>
      </c>
      <c r="L2150" s="1">
        <v>45831</v>
      </c>
      <c r="M2150" t="s">
        <v>43</v>
      </c>
      <c r="N2150" t="s">
        <v>32</v>
      </c>
      <c r="O2150" t="s">
        <v>33</v>
      </c>
      <c r="P2150" t="s">
        <v>24</v>
      </c>
      <c r="Q2150">
        <v>5</v>
      </c>
      <c r="R2150">
        <f>IF(ventas_libreria[[#This Row],[valoracion_cliente]]="","Sin valoración",ventas_libreria[[#This Row],[valoracion_cliente]])</f>
        <v>5</v>
      </c>
    </row>
    <row r="2151" spans="1:18" x14ac:dyDescent="0.25">
      <c r="A2151" t="s">
        <v>2427</v>
      </c>
      <c r="B2151" t="s">
        <v>215</v>
      </c>
      <c r="C2151" t="s">
        <v>216</v>
      </c>
      <c r="D2151" t="s">
        <v>217</v>
      </c>
      <c r="E2151" t="s">
        <v>55</v>
      </c>
      <c r="F2151">
        <f>ventas_libreria[[#This Row],[precio_eur]]/100</f>
        <v>19.43</v>
      </c>
      <c r="G2151">
        <v>1943</v>
      </c>
      <c r="H2151">
        <v>1</v>
      </c>
      <c r="I2151">
        <f>ventas_libreria[[#This Row],[precio]]*ventas_libreria[[#This Row],[cantidad]]</f>
        <v>19.43</v>
      </c>
      <c r="J2151">
        <v>19</v>
      </c>
      <c r="K2151" t="s">
        <v>62</v>
      </c>
      <c r="L2151" s="1">
        <v>45825</v>
      </c>
      <c r="M2151" t="s">
        <v>31</v>
      </c>
      <c r="N2151" t="s">
        <v>32</v>
      </c>
      <c r="O2151" t="s">
        <v>33</v>
      </c>
      <c r="P2151" t="s">
        <v>50</v>
      </c>
      <c r="Q2151">
        <v>3</v>
      </c>
      <c r="R2151">
        <f>IF(ventas_libreria[[#This Row],[valoracion_cliente]]="","Sin valoración",ventas_libreria[[#This Row],[valoracion_cliente]])</f>
        <v>3</v>
      </c>
    </row>
    <row r="2152" spans="1:18" x14ac:dyDescent="0.25">
      <c r="A2152" t="s">
        <v>2428</v>
      </c>
      <c r="B2152" t="s">
        <v>276</v>
      </c>
      <c r="C2152" t="s">
        <v>277</v>
      </c>
      <c r="D2152" t="s">
        <v>278</v>
      </c>
      <c r="E2152" t="s">
        <v>189</v>
      </c>
      <c r="F2152">
        <f>ventas_libreria[[#This Row],[precio_eur]]/100</f>
        <v>1.79</v>
      </c>
      <c r="G2152">
        <v>179</v>
      </c>
      <c r="H2152">
        <v>4</v>
      </c>
      <c r="I2152">
        <f>ventas_libreria[[#This Row],[precio]]*ventas_libreria[[#This Row],[cantidad]]</f>
        <v>7.16</v>
      </c>
      <c r="J2152">
        <v>20</v>
      </c>
      <c r="K2152" t="s">
        <v>20</v>
      </c>
      <c r="L2152" s="1">
        <v>45490</v>
      </c>
      <c r="M2152" t="s">
        <v>31</v>
      </c>
      <c r="N2152" t="s">
        <v>22</v>
      </c>
      <c r="O2152" t="s">
        <v>67</v>
      </c>
      <c r="P2152" t="s">
        <v>50</v>
      </c>
      <c r="Q2152">
        <v>5</v>
      </c>
      <c r="R2152">
        <f>IF(ventas_libreria[[#This Row],[valoracion_cliente]]="","Sin valoración",ventas_libreria[[#This Row],[valoracion_cliente]])</f>
        <v>5</v>
      </c>
    </row>
    <row r="2153" spans="1:18" x14ac:dyDescent="0.25">
      <c r="A2153" t="s">
        <v>2429</v>
      </c>
      <c r="B2153" t="s">
        <v>353</v>
      </c>
      <c r="C2153" t="s">
        <v>354</v>
      </c>
      <c r="D2153" t="s">
        <v>226</v>
      </c>
      <c r="E2153" t="s">
        <v>116</v>
      </c>
      <c r="F2153">
        <f>ventas_libreria[[#This Row],[precio_eur]]/100</f>
        <v>13.52</v>
      </c>
      <c r="G2153">
        <v>1352</v>
      </c>
      <c r="H2153">
        <v>1</v>
      </c>
      <c r="I2153">
        <f>ventas_libreria[[#This Row],[precio]]*ventas_libreria[[#This Row],[cantidad]]</f>
        <v>13.52</v>
      </c>
      <c r="J2153">
        <v>39</v>
      </c>
      <c r="K2153" t="s">
        <v>38</v>
      </c>
      <c r="L2153" s="1">
        <v>45220</v>
      </c>
      <c r="M2153" t="s">
        <v>43</v>
      </c>
      <c r="N2153" t="s">
        <v>32</v>
      </c>
      <c r="O2153" t="s">
        <v>33</v>
      </c>
      <c r="P2153" t="s">
        <v>24</v>
      </c>
      <c r="Q2153">
        <v>5</v>
      </c>
      <c r="R2153">
        <f>IF(ventas_libreria[[#This Row],[valoracion_cliente]]="","Sin valoración",ventas_libreria[[#This Row],[valoracion_cliente]])</f>
        <v>5</v>
      </c>
    </row>
    <row r="2154" spans="1:18" x14ac:dyDescent="0.25">
      <c r="A2154" t="s">
        <v>2430</v>
      </c>
      <c r="B2154" t="s">
        <v>353</v>
      </c>
      <c r="C2154" t="s">
        <v>354</v>
      </c>
      <c r="D2154" t="s">
        <v>226</v>
      </c>
      <c r="E2154" t="s">
        <v>116</v>
      </c>
      <c r="F2154">
        <f>ventas_libreria[[#This Row],[precio_eur]]/100</f>
        <v>1.69</v>
      </c>
      <c r="G2154">
        <v>169</v>
      </c>
      <c r="H2154">
        <v>1</v>
      </c>
      <c r="I2154">
        <f>ventas_libreria[[#This Row],[precio]]*ventas_libreria[[#This Row],[cantidad]]</f>
        <v>1.69</v>
      </c>
      <c r="J2154">
        <v>51</v>
      </c>
      <c r="K2154" t="s">
        <v>62</v>
      </c>
      <c r="L2154" s="1">
        <v>45044</v>
      </c>
      <c r="M2154" t="s">
        <v>43</v>
      </c>
      <c r="N2154" t="s">
        <v>32</v>
      </c>
      <c r="O2154" t="s">
        <v>33</v>
      </c>
      <c r="P2154" t="s">
        <v>56</v>
      </c>
      <c r="Q2154">
        <v>4</v>
      </c>
      <c r="R2154">
        <f>IF(ventas_libreria[[#This Row],[valoracion_cliente]]="","Sin valoración",ventas_libreria[[#This Row],[valoracion_cliente]])</f>
        <v>4</v>
      </c>
    </row>
    <row r="2155" spans="1:18" x14ac:dyDescent="0.25">
      <c r="A2155" t="s">
        <v>2431</v>
      </c>
      <c r="B2155" t="s">
        <v>74</v>
      </c>
      <c r="C2155" t="s">
        <v>75</v>
      </c>
      <c r="D2155" t="s">
        <v>76</v>
      </c>
      <c r="E2155" t="s">
        <v>77</v>
      </c>
      <c r="F2155">
        <f>ventas_libreria[[#This Row],[precio_eur]]/100</f>
        <v>1.67</v>
      </c>
      <c r="G2155">
        <v>167</v>
      </c>
      <c r="H2155">
        <v>1</v>
      </c>
      <c r="I2155">
        <f>ventas_libreria[[#This Row],[precio]]*ventas_libreria[[#This Row],[cantidad]]</f>
        <v>1.67</v>
      </c>
      <c r="J2155">
        <v>12</v>
      </c>
      <c r="K2155" t="s">
        <v>62</v>
      </c>
      <c r="L2155" s="1">
        <v>45775</v>
      </c>
      <c r="M2155" t="s">
        <v>21</v>
      </c>
      <c r="N2155" t="s">
        <v>22</v>
      </c>
      <c r="O2155" t="s">
        <v>23</v>
      </c>
      <c r="P2155" t="s">
        <v>34</v>
      </c>
      <c r="Q2155">
        <v>4</v>
      </c>
      <c r="R2155">
        <f>IF(ventas_libreria[[#This Row],[valoracion_cliente]]="","Sin valoración",ventas_libreria[[#This Row],[valoracion_cliente]])</f>
        <v>4</v>
      </c>
    </row>
    <row r="2156" spans="1:18" x14ac:dyDescent="0.25">
      <c r="A2156" t="s">
        <v>2432</v>
      </c>
      <c r="B2156" t="s">
        <v>602</v>
      </c>
      <c r="C2156" t="s">
        <v>603</v>
      </c>
      <c r="D2156" t="s">
        <v>217</v>
      </c>
      <c r="E2156" t="s">
        <v>55</v>
      </c>
      <c r="F2156">
        <f>ventas_libreria[[#This Row],[precio_eur]]/100</f>
        <v>16.11</v>
      </c>
      <c r="G2156">
        <v>1611</v>
      </c>
      <c r="H2156">
        <v>1</v>
      </c>
      <c r="I2156">
        <f>ventas_libreria[[#This Row],[precio]]*ventas_libreria[[#This Row],[cantidad]]</f>
        <v>16.11</v>
      </c>
      <c r="J2156">
        <v>50</v>
      </c>
      <c r="K2156" t="s">
        <v>38</v>
      </c>
      <c r="L2156" s="1">
        <v>45623</v>
      </c>
      <c r="M2156" t="s">
        <v>31</v>
      </c>
      <c r="N2156" t="s">
        <v>32</v>
      </c>
      <c r="O2156" t="s">
        <v>33</v>
      </c>
      <c r="P2156" t="s">
        <v>34</v>
      </c>
      <c r="Q2156">
        <v>5</v>
      </c>
      <c r="R2156">
        <f>IF(ventas_libreria[[#This Row],[valoracion_cliente]]="","Sin valoración",ventas_libreria[[#This Row],[valoracion_cliente]])</f>
        <v>5</v>
      </c>
    </row>
    <row r="2157" spans="1:18" x14ac:dyDescent="0.25">
      <c r="A2157" t="s">
        <v>2433</v>
      </c>
      <c r="B2157" t="s">
        <v>129</v>
      </c>
      <c r="C2157" t="s">
        <v>130</v>
      </c>
      <c r="D2157" t="s">
        <v>131</v>
      </c>
      <c r="E2157" t="s">
        <v>107</v>
      </c>
      <c r="F2157">
        <f>ventas_libreria[[#This Row],[precio_eur]]/100</f>
        <v>1.67</v>
      </c>
      <c r="G2157">
        <v>167</v>
      </c>
      <c r="H2157">
        <v>1</v>
      </c>
      <c r="I2157">
        <f>ventas_libreria[[#This Row],[precio]]*ventas_libreria[[#This Row],[cantidad]]</f>
        <v>1.67</v>
      </c>
      <c r="J2157">
        <v>17</v>
      </c>
      <c r="K2157" t="s">
        <v>20</v>
      </c>
      <c r="L2157" s="1">
        <v>45518</v>
      </c>
      <c r="M2157" t="s">
        <v>43</v>
      </c>
      <c r="N2157" t="s">
        <v>32</v>
      </c>
      <c r="O2157" t="s">
        <v>33</v>
      </c>
      <c r="P2157" t="s">
        <v>34</v>
      </c>
      <c r="Q2157">
        <v>5</v>
      </c>
      <c r="R2157">
        <f>IF(ventas_libreria[[#This Row],[valoracion_cliente]]="","Sin valoración",ventas_libreria[[#This Row],[valoracion_cliente]])</f>
        <v>5</v>
      </c>
    </row>
    <row r="2158" spans="1:18" x14ac:dyDescent="0.25">
      <c r="A2158" t="s">
        <v>2434</v>
      </c>
      <c r="B2158" t="s">
        <v>197</v>
      </c>
      <c r="C2158" t="s">
        <v>198</v>
      </c>
      <c r="D2158" t="s">
        <v>199</v>
      </c>
      <c r="E2158" t="s">
        <v>55</v>
      </c>
      <c r="F2158">
        <f>ventas_libreria[[#This Row],[precio_eur]]/100</f>
        <v>1.75</v>
      </c>
      <c r="G2158">
        <v>175</v>
      </c>
      <c r="H2158">
        <v>2</v>
      </c>
      <c r="I2158">
        <f>ventas_libreria[[#This Row],[precio]]*ventas_libreria[[#This Row],[cantidad]]</f>
        <v>3.5</v>
      </c>
      <c r="J2158">
        <v>20</v>
      </c>
      <c r="K2158" t="s">
        <v>20</v>
      </c>
      <c r="L2158" s="1">
        <v>45335</v>
      </c>
      <c r="M2158" t="s">
        <v>43</v>
      </c>
      <c r="N2158" t="s">
        <v>32</v>
      </c>
      <c r="O2158" t="s">
        <v>33</v>
      </c>
      <c r="P2158" t="s">
        <v>56</v>
      </c>
      <c r="Q2158">
        <v>4</v>
      </c>
      <c r="R2158">
        <f>IF(ventas_libreria[[#This Row],[valoracion_cliente]]="","Sin valoración",ventas_libreria[[#This Row],[valoracion_cliente]])</f>
        <v>4</v>
      </c>
    </row>
    <row r="2159" spans="1:18" x14ac:dyDescent="0.25">
      <c r="A2159" t="s">
        <v>2435</v>
      </c>
      <c r="B2159" t="s">
        <v>541</v>
      </c>
      <c r="C2159" t="s">
        <v>542</v>
      </c>
      <c r="D2159" t="s">
        <v>131</v>
      </c>
      <c r="E2159" t="s">
        <v>107</v>
      </c>
      <c r="F2159">
        <f>ventas_libreria[[#This Row],[precio_eur]]/100</f>
        <v>1.59</v>
      </c>
      <c r="G2159">
        <v>159</v>
      </c>
      <c r="H2159">
        <v>2</v>
      </c>
      <c r="I2159">
        <f>ventas_libreria[[#This Row],[precio]]*ventas_libreria[[#This Row],[cantidad]]</f>
        <v>3.18</v>
      </c>
      <c r="J2159">
        <v>12</v>
      </c>
      <c r="K2159" t="s">
        <v>30</v>
      </c>
      <c r="L2159" s="1">
        <v>44957</v>
      </c>
      <c r="M2159" t="s">
        <v>43</v>
      </c>
      <c r="N2159" t="s">
        <v>32</v>
      </c>
      <c r="O2159" t="s">
        <v>33</v>
      </c>
      <c r="P2159" t="s">
        <v>34</v>
      </c>
      <c r="Q2159">
        <v>4</v>
      </c>
      <c r="R2159">
        <f>IF(ventas_libreria[[#This Row],[valoracion_cliente]]="","Sin valoración",ventas_libreria[[#This Row],[valoracion_cliente]])</f>
        <v>4</v>
      </c>
    </row>
    <row r="2160" spans="1:18" x14ac:dyDescent="0.25">
      <c r="A2160" t="s">
        <v>2436</v>
      </c>
      <c r="B2160" t="s">
        <v>365</v>
      </c>
      <c r="C2160" t="s">
        <v>366</v>
      </c>
      <c r="D2160" t="s">
        <v>367</v>
      </c>
      <c r="E2160" t="s">
        <v>19</v>
      </c>
      <c r="F2160">
        <f>ventas_libreria[[#This Row],[precio_eur]]/100</f>
        <v>19.84</v>
      </c>
      <c r="G2160">
        <v>1984</v>
      </c>
      <c r="H2160">
        <v>1</v>
      </c>
      <c r="I2160">
        <f>ventas_libreria[[#This Row],[precio]]*ventas_libreria[[#This Row],[cantidad]]</f>
        <v>19.84</v>
      </c>
      <c r="J2160">
        <v>34</v>
      </c>
      <c r="K2160" t="s">
        <v>20</v>
      </c>
      <c r="L2160" s="1">
        <v>45173</v>
      </c>
      <c r="M2160" t="s">
        <v>21</v>
      </c>
      <c r="N2160" t="s">
        <v>22</v>
      </c>
      <c r="O2160" t="s">
        <v>67</v>
      </c>
      <c r="P2160" t="s">
        <v>84</v>
      </c>
      <c r="Q2160">
        <v>5</v>
      </c>
      <c r="R2160">
        <f>IF(ventas_libreria[[#This Row],[valoracion_cliente]]="","Sin valoración",ventas_libreria[[#This Row],[valoracion_cliente]])</f>
        <v>5</v>
      </c>
    </row>
    <row r="2161" spans="1:18" x14ac:dyDescent="0.25">
      <c r="A2161" t="s">
        <v>2437</v>
      </c>
      <c r="B2161" t="s">
        <v>413</v>
      </c>
      <c r="C2161" t="s">
        <v>414</v>
      </c>
      <c r="D2161" t="s">
        <v>270</v>
      </c>
      <c r="E2161" t="s">
        <v>415</v>
      </c>
      <c r="F2161">
        <f>ventas_libreria[[#This Row],[precio_eur]]/100</f>
        <v>7.92</v>
      </c>
      <c r="G2161">
        <v>792</v>
      </c>
      <c r="H2161">
        <v>3</v>
      </c>
      <c r="I2161">
        <f>ventas_libreria[[#This Row],[precio]]*ventas_libreria[[#This Row],[cantidad]]</f>
        <v>23.759999999999998</v>
      </c>
      <c r="J2161">
        <v>17</v>
      </c>
      <c r="K2161" t="s">
        <v>38</v>
      </c>
      <c r="L2161" s="1">
        <v>45606</v>
      </c>
      <c r="M2161" t="s">
        <v>21</v>
      </c>
      <c r="N2161" t="s">
        <v>32</v>
      </c>
      <c r="O2161" t="s">
        <v>33</v>
      </c>
      <c r="P2161" t="s">
        <v>56</v>
      </c>
      <c r="Q2161">
        <v>2</v>
      </c>
      <c r="R2161">
        <f>IF(ventas_libreria[[#This Row],[valoracion_cliente]]="","Sin valoración",ventas_libreria[[#This Row],[valoracion_cliente]])</f>
        <v>2</v>
      </c>
    </row>
    <row r="2162" spans="1:18" x14ac:dyDescent="0.25">
      <c r="A2162" t="s">
        <v>2438</v>
      </c>
      <c r="B2162" t="s">
        <v>437</v>
      </c>
      <c r="C2162" t="s">
        <v>438</v>
      </c>
      <c r="D2162" t="s">
        <v>178</v>
      </c>
      <c r="E2162" t="s">
        <v>55</v>
      </c>
      <c r="F2162">
        <f>ventas_libreria[[#This Row],[precio_eur]]/100</f>
        <v>15.21</v>
      </c>
      <c r="G2162">
        <v>1521</v>
      </c>
      <c r="H2162">
        <v>1</v>
      </c>
      <c r="I2162">
        <f>ventas_libreria[[#This Row],[precio]]*ventas_libreria[[#This Row],[cantidad]]</f>
        <v>15.21</v>
      </c>
      <c r="J2162">
        <v>73</v>
      </c>
      <c r="K2162" t="s">
        <v>62</v>
      </c>
      <c r="L2162" s="1">
        <v>45829</v>
      </c>
      <c r="M2162" t="s">
        <v>31</v>
      </c>
      <c r="N2162" t="s">
        <v>22</v>
      </c>
      <c r="O2162" t="s">
        <v>49</v>
      </c>
      <c r="P2162" t="s">
        <v>24</v>
      </c>
      <c r="Q2162">
        <v>4</v>
      </c>
      <c r="R2162">
        <f>IF(ventas_libreria[[#This Row],[valoracion_cliente]]="","Sin valoración",ventas_libreria[[#This Row],[valoracion_cliente]])</f>
        <v>4</v>
      </c>
    </row>
    <row r="2163" spans="1:18" x14ac:dyDescent="0.25">
      <c r="A2163" t="s">
        <v>2439</v>
      </c>
      <c r="B2163" t="s">
        <v>220</v>
      </c>
      <c r="C2163" t="s">
        <v>221</v>
      </c>
      <c r="D2163" t="s">
        <v>222</v>
      </c>
      <c r="E2163" t="s">
        <v>116</v>
      </c>
      <c r="F2163">
        <f>ventas_libreria[[#This Row],[precio_eur]]/100</f>
        <v>14.19</v>
      </c>
      <c r="G2163">
        <v>1419</v>
      </c>
      <c r="H2163">
        <v>1</v>
      </c>
      <c r="I2163">
        <f>ventas_libreria[[#This Row],[precio]]*ventas_libreria[[#This Row],[cantidad]]</f>
        <v>14.19</v>
      </c>
      <c r="J2163">
        <v>17</v>
      </c>
      <c r="K2163" t="s">
        <v>20</v>
      </c>
      <c r="L2163" s="1">
        <v>45173</v>
      </c>
      <c r="M2163" t="s">
        <v>31</v>
      </c>
      <c r="N2163" t="s">
        <v>32</v>
      </c>
      <c r="O2163" t="s">
        <v>33</v>
      </c>
      <c r="P2163" t="s">
        <v>56</v>
      </c>
      <c r="Q2163">
        <v>3</v>
      </c>
      <c r="R2163">
        <f>IF(ventas_libreria[[#This Row],[valoracion_cliente]]="","Sin valoración",ventas_libreria[[#This Row],[valoracion_cliente]])</f>
        <v>3</v>
      </c>
    </row>
    <row r="2164" spans="1:18" x14ac:dyDescent="0.25">
      <c r="A2164" t="s">
        <v>2440</v>
      </c>
      <c r="B2164" t="s">
        <v>398</v>
      </c>
      <c r="C2164" t="s">
        <v>399</v>
      </c>
      <c r="D2164" t="s">
        <v>167</v>
      </c>
      <c r="E2164" t="s">
        <v>61</v>
      </c>
      <c r="F2164">
        <f>ventas_libreria[[#This Row],[precio_eur]]/100</f>
        <v>18.59</v>
      </c>
      <c r="G2164">
        <v>1859</v>
      </c>
      <c r="H2164">
        <v>2</v>
      </c>
      <c r="I2164">
        <f>ventas_libreria[[#This Row],[precio]]*ventas_libreria[[#This Row],[cantidad]]</f>
        <v>37.18</v>
      </c>
      <c r="J2164">
        <v>64</v>
      </c>
      <c r="K2164" t="s">
        <v>30</v>
      </c>
      <c r="L2164" s="1">
        <v>45806</v>
      </c>
      <c r="M2164" t="s">
        <v>31</v>
      </c>
      <c r="N2164" t="s">
        <v>22</v>
      </c>
      <c r="O2164" t="s">
        <v>67</v>
      </c>
      <c r="P2164" t="s">
        <v>34</v>
      </c>
      <c r="R2164" t="str">
        <f>IF(ventas_libreria[[#This Row],[valoracion_cliente]]="","Sin valoración",ventas_libreria[[#This Row],[valoracion_cliente]])</f>
        <v>Sin valoración</v>
      </c>
    </row>
    <row r="2165" spans="1:18" x14ac:dyDescent="0.25">
      <c r="A2165" t="s">
        <v>2441</v>
      </c>
      <c r="B2165" t="s">
        <v>265</v>
      </c>
      <c r="C2165" t="s">
        <v>266</v>
      </c>
      <c r="D2165" t="s">
        <v>162</v>
      </c>
      <c r="E2165" t="s">
        <v>29</v>
      </c>
      <c r="F2165">
        <f>ventas_libreria[[#This Row],[precio_eur]]/100</f>
        <v>14.36</v>
      </c>
      <c r="G2165">
        <v>1436</v>
      </c>
      <c r="H2165">
        <v>2</v>
      </c>
      <c r="I2165">
        <f>ventas_libreria[[#This Row],[precio]]*ventas_libreria[[#This Row],[cantidad]]</f>
        <v>28.72</v>
      </c>
      <c r="J2165">
        <v>74</v>
      </c>
      <c r="K2165" t="s">
        <v>20</v>
      </c>
      <c r="L2165" s="1">
        <v>45433</v>
      </c>
      <c r="M2165" t="s">
        <v>31</v>
      </c>
      <c r="N2165" t="s">
        <v>22</v>
      </c>
      <c r="O2165" t="s">
        <v>132</v>
      </c>
      <c r="P2165" t="s">
        <v>84</v>
      </c>
      <c r="Q2165">
        <v>2</v>
      </c>
      <c r="R2165">
        <f>IF(ventas_libreria[[#This Row],[valoracion_cliente]]="","Sin valoración",ventas_libreria[[#This Row],[valoracion_cliente]])</f>
        <v>2</v>
      </c>
    </row>
    <row r="2166" spans="1:18" x14ac:dyDescent="0.25">
      <c r="A2166" t="s">
        <v>2442</v>
      </c>
      <c r="B2166" t="s">
        <v>307</v>
      </c>
      <c r="C2166" t="s">
        <v>308</v>
      </c>
      <c r="D2166" t="s">
        <v>88</v>
      </c>
      <c r="E2166" t="s">
        <v>77</v>
      </c>
      <c r="F2166">
        <f>ventas_libreria[[#This Row],[precio_eur]]/100</f>
        <v>1.0900000000000001</v>
      </c>
      <c r="G2166">
        <v>109</v>
      </c>
      <c r="H2166">
        <v>1</v>
      </c>
      <c r="I2166">
        <f>ventas_libreria[[#This Row],[precio]]*ventas_libreria[[#This Row],[cantidad]]</f>
        <v>1.0900000000000001</v>
      </c>
      <c r="J2166">
        <v>11</v>
      </c>
      <c r="K2166" t="s">
        <v>38</v>
      </c>
      <c r="L2166" s="1">
        <v>45921</v>
      </c>
      <c r="M2166" t="s">
        <v>31</v>
      </c>
      <c r="N2166" t="s">
        <v>32</v>
      </c>
      <c r="O2166" t="s">
        <v>33</v>
      </c>
      <c r="P2166" t="s">
        <v>84</v>
      </c>
      <c r="Q2166">
        <v>3</v>
      </c>
      <c r="R2166">
        <f>IF(ventas_libreria[[#This Row],[valoracion_cliente]]="","Sin valoración",ventas_libreria[[#This Row],[valoracion_cliente]])</f>
        <v>3</v>
      </c>
    </row>
    <row r="2167" spans="1:18" x14ac:dyDescent="0.25">
      <c r="A2167" t="s">
        <v>2443</v>
      </c>
      <c r="B2167" t="s">
        <v>406</v>
      </c>
      <c r="C2167" t="s">
        <v>407</v>
      </c>
      <c r="D2167" t="s">
        <v>88</v>
      </c>
      <c r="E2167" t="s">
        <v>77</v>
      </c>
      <c r="F2167">
        <f>ventas_libreria[[#This Row],[precio_eur]]/100</f>
        <v>1.25</v>
      </c>
      <c r="G2167">
        <v>125</v>
      </c>
      <c r="H2167">
        <v>2</v>
      </c>
      <c r="I2167">
        <f>ventas_libreria[[#This Row],[precio]]*ventas_libreria[[#This Row],[cantidad]]</f>
        <v>2.5</v>
      </c>
      <c r="J2167">
        <v>7</v>
      </c>
      <c r="K2167" t="s">
        <v>30</v>
      </c>
      <c r="L2167" s="1">
        <v>45697</v>
      </c>
      <c r="M2167" t="s">
        <v>21</v>
      </c>
      <c r="N2167" t="s">
        <v>32</v>
      </c>
      <c r="O2167" t="s">
        <v>33</v>
      </c>
      <c r="P2167" t="s">
        <v>56</v>
      </c>
      <c r="Q2167">
        <v>4</v>
      </c>
      <c r="R2167">
        <f>IF(ventas_libreria[[#This Row],[valoracion_cliente]]="","Sin valoración",ventas_libreria[[#This Row],[valoracion_cliente]])</f>
        <v>4</v>
      </c>
    </row>
    <row r="2168" spans="1:18" x14ac:dyDescent="0.25">
      <c r="A2168" t="s">
        <v>2444</v>
      </c>
      <c r="B2168" t="s">
        <v>508</v>
      </c>
      <c r="C2168" t="s">
        <v>509</v>
      </c>
      <c r="D2168" t="s">
        <v>199</v>
      </c>
      <c r="E2168" t="s">
        <v>55</v>
      </c>
      <c r="F2168">
        <f>ventas_libreria[[#This Row],[precio_eur]]/100</f>
        <v>19.84</v>
      </c>
      <c r="G2168">
        <v>1984</v>
      </c>
      <c r="H2168">
        <v>1</v>
      </c>
      <c r="I2168">
        <f>ventas_libreria[[#This Row],[precio]]*ventas_libreria[[#This Row],[cantidad]]</f>
        <v>19.84</v>
      </c>
      <c r="J2168">
        <v>66</v>
      </c>
      <c r="K2168" t="s">
        <v>20</v>
      </c>
      <c r="L2168" s="1">
        <v>45357</v>
      </c>
      <c r="M2168" t="s">
        <v>21</v>
      </c>
      <c r="N2168" t="s">
        <v>32</v>
      </c>
      <c r="O2168" t="s">
        <v>33</v>
      </c>
      <c r="P2168" t="s">
        <v>34</v>
      </c>
      <c r="Q2168">
        <v>3</v>
      </c>
      <c r="R2168">
        <f>IF(ventas_libreria[[#This Row],[valoracion_cliente]]="","Sin valoración",ventas_libreria[[#This Row],[valoracion_cliente]])</f>
        <v>3</v>
      </c>
    </row>
    <row r="2169" spans="1:18" x14ac:dyDescent="0.25">
      <c r="A2169" t="s">
        <v>2445</v>
      </c>
      <c r="B2169" t="s">
        <v>424</v>
      </c>
      <c r="C2169" t="s">
        <v>425</v>
      </c>
      <c r="D2169" t="s">
        <v>426</v>
      </c>
      <c r="E2169" t="s">
        <v>55</v>
      </c>
      <c r="F2169">
        <f>ventas_libreria[[#This Row],[precio_eur]]/100</f>
        <v>1.89</v>
      </c>
      <c r="G2169">
        <v>189</v>
      </c>
      <c r="H2169">
        <v>2</v>
      </c>
      <c r="I2169">
        <f>ventas_libreria[[#This Row],[precio]]*ventas_libreria[[#This Row],[cantidad]]</f>
        <v>3.78</v>
      </c>
      <c r="J2169">
        <v>26</v>
      </c>
      <c r="K2169" t="s">
        <v>62</v>
      </c>
      <c r="L2169" s="1">
        <v>45755</v>
      </c>
      <c r="M2169" t="s">
        <v>43</v>
      </c>
      <c r="N2169" t="s">
        <v>32</v>
      </c>
      <c r="O2169" t="s">
        <v>33</v>
      </c>
      <c r="P2169" t="s">
        <v>84</v>
      </c>
      <c r="Q2169">
        <v>5</v>
      </c>
      <c r="R2169">
        <f>IF(ventas_libreria[[#This Row],[valoracion_cliente]]="","Sin valoración",ventas_libreria[[#This Row],[valoracion_cliente]])</f>
        <v>5</v>
      </c>
    </row>
    <row r="2170" spans="1:18" x14ac:dyDescent="0.25">
      <c r="A2170" t="s">
        <v>2446</v>
      </c>
      <c r="B2170" t="s">
        <v>176</v>
      </c>
      <c r="C2170" t="s">
        <v>177</v>
      </c>
      <c r="D2170" t="s">
        <v>178</v>
      </c>
      <c r="E2170" t="s">
        <v>179</v>
      </c>
      <c r="F2170">
        <f>ventas_libreria[[#This Row],[precio_eur]]/100</f>
        <v>17.489999999999998</v>
      </c>
      <c r="G2170">
        <v>1749</v>
      </c>
      <c r="H2170">
        <v>2</v>
      </c>
      <c r="I2170">
        <f>ventas_libreria[[#This Row],[precio]]*ventas_libreria[[#This Row],[cantidad]]</f>
        <v>34.979999999999997</v>
      </c>
      <c r="J2170">
        <v>58</v>
      </c>
      <c r="K2170" t="s">
        <v>30</v>
      </c>
      <c r="L2170" s="1">
        <v>45170</v>
      </c>
      <c r="M2170" t="s">
        <v>31</v>
      </c>
      <c r="N2170" t="s">
        <v>22</v>
      </c>
      <c r="O2170" t="s">
        <v>49</v>
      </c>
      <c r="P2170" t="s">
        <v>34</v>
      </c>
      <c r="Q2170">
        <v>5</v>
      </c>
      <c r="R2170">
        <f>IF(ventas_libreria[[#This Row],[valoracion_cliente]]="","Sin valoración",ventas_libreria[[#This Row],[valoracion_cliente]])</f>
        <v>5</v>
      </c>
    </row>
    <row r="2171" spans="1:18" x14ac:dyDescent="0.25">
      <c r="A2171" t="s">
        <v>2447</v>
      </c>
      <c r="B2171" t="s">
        <v>197</v>
      </c>
      <c r="C2171" t="s">
        <v>198</v>
      </c>
      <c r="D2171" t="s">
        <v>199</v>
      </c>
      <c r="E2171" t="s">
        <v>55</v>
      </c>
      <c r="F2171">
        <f>ventas_libreria[[#This Row],[precio_eur]]/100</f>
        <v>1.4</v>
      </c>
      <c r="G2171">
        <v>140</v>
      </c>
      <c r="H2171">
        <v>2</v>
      </c>
      <c r="I2171">
        <f>ventas_libreria[[#This Row],[precio]]*ventas_libreria[[#This Row],[cantidad]]</f>
        <v>2.8</v>
      </c>
      <c r="J2171">
        <v>71</v>
      </c>
      <c r="K2171" t="s">
        <v>38</v>
      </c>
      <c r="L2171" s="1">
        <v>45246</v>
      </c>
      <c r="M2171" t="s">
        <v>31</v>
      </c>
      <c r="N2171" t="s">
        <v>22</v>
      </c>
      <c r="O2171" t="s">
        <v>132</v>
      </c>
      <c r="P2171" t="s">
        <v>34</v>
      </c>
      <c r="Q2171">
        <v>3</v>
      </c>
      <c r="R2171">
        <f>IF(ventas_libreria[[#This Row],[valoracion_cliente]]="","Sin valoración",ventas_libreria[[#This Row],[valoracion_cliente]])</f>
        <v>3</v>
      </c>
    </row>
    <row r="2172" spans="1:18" x14ac:dyDescent="0.25">
      <c r="A2172" t="s">
        <v>2448</v>
      </c>
      <c r="B2172" t="s">
        <v>141</v>
      </c>
      <c r="C2172" t="s">
        <v>142</v>
      </c>
      <c r="D2172" t="s">
        <v>143</v>
      </c>
      <c r="E2172" t="s">
        <v>116</v>
      </c>
      <c r="F2172">
        <f>ventas_libreria[[#This Row],[precio_eur]]/100</f>
        <v>13.41</v>
      </c>
      <c r="G2172">
        <v>1341</v>
      </c>
      <c r="H2172">
        <v>1</v>
      </c>
      <c r="I2172">
        <f>ventas_libreria[[#This Row],[precio]]*ventas_libreria[[#This Row],[cantidad]]</f>
        <v>13.41</v>
      </c>
      <c r="J2172">
        <v>52</v>
      </c>
      <c r="K2172" t="s">
        <v>38</v>
      </c>
      <c r="L2172" s="1">
        <v>45236</v>
      </c>
      <c r="M2172" t="s">
        <v>43</v>
      </c>
      <c r="N2172" t="s">
        <v>32</v>
      </c>
      <c r="O2172" t="s">
        <v>33</v>
      </c>
      <c r="P2172" t="s">
        <v>84</v>
      </c>
      <c r="Q2172">
        <v>4</v>
      </c>
      <c r="R2172">
        <f>IF(ventas_libreria[[#This Row],[valoracion_cliente]]="","Sin valoración",ventas_libreria[[#This Row],[valoracion_cliente]])</f>
        <v>4</v>
      </c>
    </row>
    <row r="2173" spans="1:18" x14ac:dyDescent="0.25">
      <c r="A2173" t="s">
        <v>2449</v>
      </c>
      <c r="B2173" t="s">
        <v>208</v>
      </c>
      <c r="C2173" t="s">
        <v>209</v>
      </c>
      <c r="D2173" t="s">
        <v>106</v>
      </c>
      <c r="E2173" t="s">
        <v>107</v>
      </c>
      <c r="F2173">
        <f>ventas_libreria[[#This Row],[precio_eur]]/100</f>
        <v>1.49</v>
      </c>
      <c r="G2173">
        <v>149</v>
      </c>
      <c r="H2173">
        <v>3</v>
      </c>
      <c r="I2173">
        <f>ventas_libreria[[#This Row],[precio]]*ventas_libreria[[#This Row],[cantidad]]</f>
        <v>4.47</v>
      </c>
      <c r="J2173">
        <v>18</v>
      </c>
      <c r="K2173" t="s">
        <v>30</v>
      </c>
      <c r="L2173" s="1">
        <v>45952</v>
      </c>
      <c r="M2173" t="s">
        <v>43</v>
      </c>
      <c r="N2173" t="s">
        <v>32</v>
      </c>
      <c r="O2173" t="s">
        <v>33</v>
      </c>
      <c r="P2173" t="s">
        <v>34</v>
      </c>
      <c r="Q2173">
        <v>4</v>
      </c>
      <c r="R2173">
        <f>IF(ventas_libreria[[#This Row],[valoracion_cliente]]="","Sin valoración",ventas_libreria[[#This Row],[valoracion_cliente]])</f>
        <v>4</v>
      </c>
    </row>
    <row r="2174" spans="1:18" x14ac:dyDescent="0.25">
      <c r="A2174" t="s">
        <v>2450</v>
      </c>
      <c r="B2174" t="s">
        <v>208</v>
      </c>
      <c r="C2174" t="s">
        <v>209</v>
      </c>
      <c r="D2174" t="s">
        <v>106</v>
      </c>
      <c r="E2174" t="s">
        <v>107</v>
      </c>
      <c r="F2174">
        <f>ventas_libreria[[#This Row],[precio_eur]]/100</f>
        <v>16.39</v>
      </c>
      <c r="G2174">
        <v>1639</v>
      </c>
      <c r="H2174">
        <v>1</v>
      </c>
      <c r="I2174">
        <f>ventas_libreria[[#This Row],[precio]]*ventas_libreria[[#This Row],[cantidad]]</f>
        <v>16.39</v>
      </c>
      <c r="J2174">
        <v>11</v>
      </c>
      <c r="K2174" t="s">
        <v>38</v>
      </c>
      <c r="L2174" s="1">
        <v>45110</v>
      </c>
      <c r="M2174" t="s">
        <v>43</v>
      </c>
      <c r="N2174" t="s">
        <v>32</v>
      </c>
      <c r="O2174" t="s">
        <v>33</v>
      </c>
      <c r="P2174" t="s">
        <v>56</v>
      </c>
      <c r="R2174" t="str">
        <f>IF(ventas_libreria[[#This Row],[valoracion_cliente]]="","Sin valoración",ventas_libreria[[#This Row],[valoracion_cliente]])</f>
        <v>Sin valoración</v>
      </c>
    </row>
    <row r="2175" spans="1:18" x14ac:dyDescent="0.25">
      <c r="A2175" t="s">
        <v>2451</v>
      </c>
      <c r="B2175" t="s">
        <v>91</v>
      </c>
      <c r="C2175" t="s">
        <v>92</v>
      </c>
      <c r="D2175" t="s">
        <v>93</v>
      </c>
      <c r="E2175" t="s">
        <v>72</v>
      </c>
      <c r="F2175">
        <f>ventas_libreria[[#This Row],[precio_eur]]/100</f>
        <v>11.81</v>
      </c>
      <c r="G2175">
        <v>1181</v>
      </c>
      <c r="H2175">
        <v>1</v>
      </c>
      <c r="I2175">
        <f>ventas_libreria[[#This Row],[precio]]*ventas_libreria[[#This Row],[cantidad]]</f>
        <v>11.81</v>
      </c>
      <c r="J2175">
        <v>62</v>
      </c>
      <c r="K2175" t="s">
        <v>30</v>
      </c>
      <c r="L2175" s="1">
        <v>45335</v>
      </c>
      <c r="M2175" t="s">
        <v>31</v>
      </c>
      <c r="N2175" t="s">
        <v>32</v>
      </c>
      <c r="O2175" t="s">
        <v>33</v>
      </c>
      <c r="P2175" t="s">
        <v>34</v>
      </c>
      <c r="R2175" t="str">
        <f>IF(ventas_libreria[[#This Row],[valoracion_cliente]]="","Sin valoración",ventas_libreria[[#This Row],[valoracion_cliente]])</f>
        <v>Sin valoración</v>
      </c>
    </row>
    <row r="2176" spans="1:18" x14ac:dyDescent="0.25">
      <c r="A2176" t="s">
        <v>2452</v>
      </c>
      <c r="B2176" t="s">
        <v>224</v>
      </c>
      <c r="C2176" t="s">
        <v>225</v>
      </c>
      <c r="D2176" t="s">
        <v>226</v>
      </c>
      <c r="E2176" t="s">
        <v>116</v>
      </c>
      <c r="F2176">
        <f>ventas_libreria[[#This Row],[precio_eur]]/100</f>
        <v>2.4900000000000002</v>
      </c>
      <c r="G2176">
        <v>249</v>
      </c>
      <c r="H2176">
        <v>2</v>
      </c>
      <c r="I2176">
        <f>ventas_libreria[[#This Row],[precio]]*ventas_libreria[[#This Row],[cantidad]]</f>
        <v>4.9800000000000004</v>
      </c>
      <c r="J2176">
        <v>49</v>
      </c>
      <c r="K2176" t="s">
        <v>30</v>
      </c>
      <c r="L2176" s="1">
        <v>45786</v>
      </c>
      <c r="M2176" t="s">
        <v>31</v>
      </c>
      <c r="N2176" t="s">
        <v>22</v>
      </c>
      <c r="O2176" t="s">
        <v>132</v>
      </c>
      <c r="P2176" t="s">
        <v>34</v>
      </c>
      <c r="Q2176">
        <v>1</v>
      </c>
      <c r="R2176">
        <f>IF(ventas_libreria[[#This Row],[valoracion_cliente]]="","Sin valoración",ventas_libreria[[#This Row],[valoracion_cliente]])</f>
        <v>1</v>
      </c>
    </row>
    <row r="2177" spans="1:18" x14ac:dyDescent="0.25">
      <c r="A2177" t="s">
        <v>2453</v>
      </c>
      <c r="B2177" t="s">
        <v>307</v>
      </c>
      <c r="C2177" t="s">
        <v>308</v>
      </c>
      <c r="D2177" t="s">
        <v>88</v>
      </c>
      <c r="E2177" t="s">
        <v>77</v>
      </c>
      <c r="F2177">
        <f>ventas_libreria[[#This Row],[precio_eur]]/100</f>
        <v>1.0900000000000001</v>
      </c>
      <c r="G2177">
        <v>109</v>
      </c>
      <c r="H2177">
        <v>1</v>
      </c>
      <c r="I2177">
        <f>ventas_libreria[[#This Row],[precio]]*ventas_libreria[[#This Row],[cantidad]]</f>
        <v>1.0900000000000001</v>
      </c>
      <c r="J2177">
        <v>6</v>
      </c>
      <c r="K2177" t="s">
        <v>62</v>
      </c>
      <c r="L2177" s="1">
        <v>45267</v>
      </c>
      <c r="M2177" t="s">
        <v>43</v>
      </c>
      <c r="N2177" t="s">
        <v>32</v>
      </c>
      <c r="O2177" t="s">
        <v>33</v>
      </c>
      <c r="P2177" t="s">
        <v>24</v>
      </c>
      <c r="Q2177">
        <v>2</v>
      </c>
      <c r="R2177">
        <f>IF(ventas_libreria[[#This Row],[valoracion_cliente]]="","Sin valoración",ventas_libreria[[#This Row],[valoracion_cliente]])</f>
        <v>2</v>
      </c>
    </row>
    <row r="2178" spans="1:18" x14ac:dyDescent="0.25">
      <c r="A2178" t="s">
        <v>2454</v>
      </c>
      <c r="B2178" t="s">
        <v>91</v>
      </c>
      <c r="C2178" t="s">
        <v>92</v>
      </c>
      <c r="D2178" t="s">
        <v>93</v>
      </c>
      <c r="E2178" t="s">
        <v>72</v>
      </c>
      <c r="F2178">
        <f>ventas_libreria[[#This Row],[precio_eur]]/100</f>
        <v>1.46</v>
      </c>
      <c r="G2178">
        <v>146</v>
      </c>
      <c r="H2178">
        <v>3</v>
      </c>
      <c r="I2178">
        <f>ventas_libreria[[#This Row],[precio]]*ventas_libreria[[#This Row],[cantidad]]</f>
        <v>4.38</v>
      </c>
      <c r="J2178">
        <v>46</v>
      </c>
      <c r="K2178" t="s">
        <v>62</v>
      </c>
      <c r="L2178" s="1">
        <v>44936</v>
      </c>
      <c r="M2178" t="s">
        <v>21</v>
      </c>
      <c r="N2178" t="s">
        <v>32</v>
      </c>
      <c r="O2178" t="s">
        <v>33</v>
      </c>
      <c r="P2178" t="s">
        <v>34</v>
      </c>
      <c r="Q2178">
        <v>5</v>
      </c>
      <c r="R2178">
        <f>IF(ventas_libreria[[#This Row],[valoracion_cliente]]="","Sin valoración",ventas_libreria[[#This Row],[valoracion_cliente]])</f>
        <v>5</v>
      </c>
    </row>
    <row r="2179" spans="1:18" x14ac:dyDescent="0.25">
      <c r="A2179" t="s">
        <v>2455</v>
      </c>
      <c r="B2179" t="s">
        <v>424</v>
      </c>
      <c r="C2179" t="s">
        <v>425</v>
      </c>
      <c r="D2179" t="s">
        <v>426</v>
      </c>
      <c r="E2179" t="s">
        <v>55</v>
      </c>
      <c r="F2179">
        <f>ventas_libreria[[#This Row],[precio_eur]]/100</f>
        <v>15.12</v>
      </c>
      <c r="G2179">
        <v>1512</v>
      </c>
      <c r="H2179">
        <v>1</v>
      </c>
      <c r="I2179">
        <f>ventas_libreria[[#This Row],[precio]]*ventas_libreria[[#This Row],[cantidad]]</f>
        <v>15.12</v>
      </c>
      <c r="J2179">
        <v>38</v>
      </c>
      <c r="K2179" t="s">
        <v>62</v>
      </c>
      <c r="L2179" s="1">
        <v>45276</v>
      </c>
      <c r="M2179" t="s">
        <v>21</v>
      </c>
      <c r="N2179" t="s">
        <v>22</v>
      </c>
      <c r="O2179" t="s">
        <v>132</v>
      </c>
      <c r="P2179" t="s">
        <v>56</v>
      </c>
      <c r="Q2179">
        <v>4</v>
      </c>
      <c r="R2179">
        <f>IF(ventas_libreria[[#This Row],[valoracion_cliente]]="","Sin valoración",ventas_libreria[[#This Row],[valoracion_cliente]])</f>
        <v>4</v>
      </c>
    </row>
    <row r="2180" spans="1:18" x14ac:dyDescent="0.25">
      <c r="A2180" t="s">
        <v>2456</v>
      </c>
      <c r="B2180" t="s">
        <v>26</v>
      </c>
      <c r="C2180" t="s">
        <v>27</v>
      </c>
      <c r="D2180" t="s">
        <v>28</v>
      </c>
      <c r="E2180" t="s">
        <v>29</v>
      </c>
      <c r="F2180">
        <f>ventas_libreria[[#This Row],[precio_eur]]/100</f>
        <v>1.89</v>
      </c>
      <c r="G2180">
        <v>189</v>
      </c>
      <c r="H2180">
        <v>1</v>
      </c>
      <c r="I2180">
        <f>ventas_libreria[[#This Row],[precio]]*ventas_libreria[[#This Row],[cantidad]]</f>
        <v>1.89</v>
      </c>
      <c r="J2180">
        <v>40</v>
      </c>
      <c r="K2180" t="s">
        <v>30</v>
      </c>
      <c r="L2180" s="1">
        <v>45552</v>
      </c>
      <c r="M2180" t="s">
        <v>43</v>
      </c>
      <c r="N2180" t="s">
        <v>32</v>
      </c>
      <c r="O2180" t="s">
        <v>33</v>
      </c>
      <c r="P2180" t="s">
        <v>24</v>
      </c>
      <c r="Q2180">
        <v>4</v>
      </c>
      <c r="R2180">
        <f>IF(ventas_libreria[[#This Row],[valoracion_cliente]]="","Sin valoración",ventas_libreria[[#This Row],[valoracion_cliente]])</f>
        <v>4</v>
      </c>
    </row>
    <row r="2181" spans="1:18" x14ac:dyDescent="0.25">
      <c r="A2181" t="s">
        <v>2457</v>
      </c>
      <c r="B2181" t="s">
        <v>384</v>
      </c>
      <c r="C2181" t="s">
        <v>385</v>
      </c>
      <c r="D2181" t="s">
        <v>158</v>
      </c>
      <c r="E2181" t="s">
        <v>149</v>
      </c>
      <c r="F2181">
        <f>ventas_libreria[[#This Row],[precio_eur]]/100</f>
        <v>18.61</v>
      </c>
      <c r="G2181">
        <v>1861</v>
      </c>
      <c r="H2181">
        <v>1</v>
      </c>
      <c r="I2181">
        <f>ventas_libreria[[#This Row],[precio]]*ventas_libreria[[#This Row],[cantidad]]</f>
        <v>18.61</v>
      </c>
      <c r="J2181">
        <v>65</v>
      </c>
      <c r="K2181" t="s">
        <v>38</v>
      </c>
      <c r="L2181" s="1">
        <v>45233</v>
      </c>
      <c r="M2181" t="s">
        <v>43</v>
      </c>
      <c r="N2181" t="s">
        <v>32</v>
      </c>
      <c r="O2181" t="s">
        <v>33</v>
      </c>
      <c r="P2181" t="s">
        <v>24</v>
      </c>
      <c r="Q2181">
        <v>1</v>
      </c>
      <c r="R2181">
        <f>IF(ventas_libreria[[#This Row],[valoracion_cliente]]="","Sin valoración",ventas_libreria[[#This Row],[valoracion_cliente]])</f>
        <v>1</v>
      </c>
    </row>
    <row r="2182" spans="1:18" x14ac:dyDescent="0.25">
      <c r="A2182" t="s">
        <v>2458</v>
      </c>
      <c r="B2182" t="s">
        <v>602</v>
      </c>
      <c r="C2182" t="s">
        <v>603</v>
      </c>
      <c r="D2182" t="s">
        <v>217</v>
      </c>
      <c r="E2182" t="s">
        <v>55</v>
      </c>
      <c r="F2182">
        <f>ventas_libreria[[#This Row],[precio_eur]]/100</f>
        <v>15.21</v>
      </c>
      <c r="G2182">
        <v>1521</v>
      </c>
      <c r="H2182">
        <v>2</v>
      </c>
      <c r="I2182">
        <f>ventas_libreria[[#This Row],[precio]]*ventas_libreria[[#This Row],[cantidad]]</f>
        <v>30.42</v>
      </c>
      <c r="J2182">
        <v>50</v>
      </c>
      <c r="K2182" t="s">
        <v>62</v>
      </c>
      <c r="L2182" s="1">
        <v>46017</v>
      </c>
      <c r="M2182" t="s">
        <v>43</v>
      </c>
      <c r="N2182" t="s">
        <v>32</v>
      </c>
      <c r="O2182" t="s">
        <v>33</v>
      </c>
      <c r="P2182" t="s">
        <v>24</v>
      </c>
      <c r="Q2182">
        <v>3</v>
      </c>
      <c r="R2182">
        <f>IF(ventas_libreria[[#This Row],[valoracion_cliente]]="","Sin valoración",ventas_libreria[[#This Row],[valoracion_cliente]])</f>
        <v>3</v>
      </c>
    </row>
    <row r="2183" spans="1:18" x14ac:dyDescent="0.25">
      <c r="A2183" t="s">
        <v>2459</v>
      </c>
      <c r="B2183" t="s">
        <v>215</v>
      </c>
      <c r="C2183" t="s">
        <v>216</v>
      </c>
      <c r="D2183" t="s">
        <v>217</v>
      </c>
      <c r="E2183" t="s">
        <v>55</v>
      </c>
      <c r="F2183">
        <f>ventas_libreria[[#This Row],[precio_eur]]/100</f>
        <v>1.48</v>
      </c>
      <c r="G2183">
        <v>148</v>
      </c>
      <c r="H2183">
        <v>1</v>
      </c>
      <c r="I2183">
        <f>ventas_libreria[[#This Row],[precio]]*ventas_libreria[[#This Row],[cantidad]]</f>
        <v>1.48</v>
      </c>
      <c r="J2183">
        <v>72</v>
      </c>
      <c r="K2183" t="s">
        <v>30</v>
      </c>
      <c r="L2183" s="1">
        <v>45462</v>
      </c>
      <c r="M2183" t="s">
        <v>43</v>
      </c>
      <c r="N2183" t="s">
        <v>32</v>
      </c>
      <c r="O2183" t="s">
        <v>33</v>
      </c>
      <c r="P2183" t="s">
        <v>34</v>
      </c>
      <c r="R2183" t="str">
        <f>IF(ventas_libreria[[#This Row],[valoracion_cliente]]="","Sin valoración",ventas_libreria[[#This Row],[valoracion_cliente]])</f>
        <v>Sin valoración</v>
      </c>
    </row>
    <row r="2184" spans="1:18" x14ac:dyDescent="0.25">
      <c r="A2184" t="s">
        <v>2460</v>
      </c>
      <c r="B2184" t="s">
        <v>318</v>
      </c>
      <c r="C2184" t="s">
        <v>319</v>
      </c>
      <c r="D2184" t="s">
        <v>167</v>
      </c>
      <c r="E2184" t="s">
        <v>61</v>
      </c>
      <c r="F2184">
        <f>ventas_libreria[[#This Row],[precio_eur]]/100</f>
        <v>16.059999999999999</v>
      </c>
      <c r="G2184">
        <v>1606</v>
      </c>
      <c r="H2184">
        <v>1</v>
      </c>
      <c r="I2184">
        <f>ventas_libreria[[#This Row],[precio]]*ventas_libreria[[#This Row],[cantidad]]</f>
        <v>16.059999999999999</v>
      </c>
      <c r="J2184">
        <v>54</v>
      </c>
      <c r="K2184" t="s">
        <v>30</v>
      </c>
      <c r="L2184" s="1">
        <v>45705</v>
      </c>
      <c r="M2184" t="s">
        <v>43</v>
      </c>
      <c r="N2184" t="s">
        <v>32</v>
      </c>
      <c r="O2184" t="s">
        <v>33</v>
      </c>
      <c r="P2184" t="s">
        <v>56</v>
      </c>
      <c r="Q2184">
        <v>5</v>
      </c>
      <c r="R2184">
        <f>IF(ventas_libreria[[#This Row],[valoracion_cliente]]="","Sin valoración",ventas_libreria[[#This Row],[valoracion_cliente]])</f>
        <v>5</v>
      </c>
    </row>
    <row r="2185" spans="1:18" x14ac:dyDescent="0.25">
      <c r="A2185" t="s">
        <v>2461</v>
      </c>
      <c r="B2185" t="s">
        <v>74</v>
      </c>
      <c r="C2185" t="s">
        <v>75</v>
      </c>
      <c r="D2185" t="s">
        <v>76</v>
      </c>
      <c r="E2185" t="s">
        <v>77</v>
      </c>
      <c r="F2185">
        <f>ventas_libreria[[#This Row],[precio_eur]]/100</f>
        <v>1.59</v>
      </c>
      <c r="G2185">
        <v>159</v>
      </c>
      <c r="H2185">
        <v>1</v>
      </c>
      <c r="I2185">
        <f>ventas_libreria[[#This Row],[precio]]*ventas_libreria[[#This Row],[cantidad]]</f>
        <v>1.59</v>
      </c>
      <c r="J2185">
        <v>8</v>
      </c>
      <c r="K2185" t="s">
        <v>30</v>
      </c>
      <c r="L2185" s="1">
        <v>45038</v>
      </c>
      <c r="M2185" t="s">
        <v>31</v>
      </c>
      <c r="N2185" t="s">
        <v>22</v>
      </c>
      <c r="O2185" t="s">
        <v>23</v>
      </c>
      <c r="P2185" t="s">
        <v>24</v>
      </c>
      <c r="Q2185">
        <v>4</v>
      </c>
      <c r="R2185">
        <f>IF(ventas_libreria[[#This Row],[valoracion_cliente]]="","Sin valoración",ventas_libreria[[#This Row],[valoracion_cliente]])</f>
        <v>4</v>
      </c>
    </row>
    <row r="2186" spans="1:18" x14ac:dyDescent="0.25">
      <c r="A2186" t="s">
        <v>2462</v>
      </c>
      <c r="B2186" t="s">
        <v>424</v>
      </c>
      <c r="C2186" t="s">
        <v>425</v>
      </c>
      <c r="D2186" t="s">
        <v>426</v>
      </c>
      <c r="E2186" t="s">
        <v>55</v>
      </c>
      <c r="F2186">
        <f>ventas_libreria[[#This Row],[precio_eur]]/100</f>
        <v>17.010000000000002</v>
      </c>
      <c r="G2186">
        <v>1701</v>
      </c>
      <c r="H2186">
        <v>1</v>
      </c>
      <c r="I2186">
        <f>ventas_libreria[[#This Row],[precio]]*ventas_libreria[[#This Row],[cantidad]]</f>
        <v>17.010000000000002</v>
      </c>
      <c r="J2186">
        <v>71</v>
      </c>
      <c r="K2186" t="s">
        <v>20</v>
      </c>
      <c r="L2186" s="1">
        <v>45559</v>
      </c>
      <c r="M2186" t="s">
        <v>43</v>
      </c>
      <c r="N2186" t="s">
        <v>32</v>
      </c>
      <c r="O2186" t="s">
        <v>33</v>
      </c>
      <c r="P2186" t="s">
        <v>56</v>
      </c>
      <c r="R2186" t="str">
        <f>IF(ventas_libreria[[#This Row],[valoracion_cliente]]="","Sin valoración",ventas_libreria[[#This Row],[valoracion_cliente]])</f>
        <v>Sin valoración</v>
      </c>
    </row>
    <row r="2187" spans="1:18" x14ac:dyDescent="0.25">
      <c r="A2187" t="s">
        <v>2463</v>
      </c>
      <c r="B2187" t="s">
        <v>348</v>
      </c>
      <c r="C2187" t="s">
        <v>349</v>
      </c>
      <c r="D2187" t="s">
        <v>350</v>
      </c>
      <c r="E2187" t="s">
        <v>116</v>
      </c>
      <c r="F2187">
        <f>ventas_libreria[[#This Row],[precio_eur]]/100</f>
        <v>1.99</v>
      </c>
      <c r="G2187">
        <v>199</v>
      </c>
      <c r="H2187">
        <v>3</v>
      </c>
      <c r="I2187">
        <f>ventas_libreria[[#This Row],[precio]]*ventas_libreria[[#This Row],[cantidad]]</f>
        <v>5.97</v>
      </c>
      <c r="J2187">
        <v>24</v>
      </c>
      <c r="K2187" t="s">
        <v>38</v>
      </c>
      <c r="L2187" s="1">
        <v>45103</v>
      </c>
      <c r="M2187" t="s">
        <v>43</v>
      </c>
      <c r="N2187" t="s">
        <v>32</v>
      </c>
      <c r="O2187" t="s">
        <v>33</v>
      </c>
      <c r="P2187" t="s">
        <v>50</v>
      </c>
      <c r="Q2187">
        <v>2</v>
      </c>
      <c r="R2187">
        <f>IF(ventas_libreria[[#This Row],[valoracion_cliente]]="","Sin valoración",ventas_libreria[[#This Row],[valoracion_cliente]])</f>
        <v>2</v>
      </c>
    </row>
    <row r="2188" spans="1:18" x14ac:dyDescent="0.25">
      <c r="A2188" t="s">
        <v>2464</v>
      </c>
      <c r="B2188" t="s">
        <v>146</v>
      </c>
      <c r="C2188" t="s">
        <v>147</v>
      </c>
      <c r="D2188" t="s">
        <v>148</v>
      </c>
      <c r="E2188" t="s">
        <v>149</v>
      </c>
      <c r="F2188">
        <f>ventas_libreria[[#This Row],[precio_eur]]/100</f>
        <v>1.59</v>
      </c>
      <c r="G2188">
        <v>159</v>
      </c>
      <c r="H2188">
        <v>1</v>
      </c>
      <c r="I2188">
        <f>ventas_libreria[[#This Row],[precio]]*ventas_libreria[[#This Row],[cantidad]]</f>
        <v>1.59</v>
      </c>
      <c r="J2188">
        <v>56</v>
      </c>
      <c r="K2188" t="s">
        <v>30</v>
      </c>
      <c r="L2188" s="1">
        <v>45116</v>
      </c>
      <c r="M2188" t="s">
        <v>21</v>
      </c>
      <c r="N2188" t="s">
        <v>22</v>
      </c>
      <c r="O2188" t="s">
        <v>23</v>
      </c>
      <c r="P2188" t="s">
        <v>84</v>
      </c>
      <c r="Q2188">
        <v>4</v>
      </c>
      <c r="R2188">
        <f>IF(ventas_libreria[[#This Row],[valoracion_cliente]]="","Sin valoración",ventas_libreria[[#This Row],[valoracion_cliente]])</f>
        <v>4</v>
      </c>
    </row>
    <row r="2189" spans="1:18" x14ac:dyDescent="0.25">
      <c r="A2189" t="s">
        <v>2465</v>
      </c>
      <c r="B2189" t="s">
        <v>403</v>
      </c>
      <c r="C2189" t="s">
        <v>404</v>
      </c>
      <c r="D2189" t="s">
        <v>123</v>
      </c>
      <c r="E2189" t="s">
        <v>48</v>
      </c>
      <c r="F2189">
        <f>ventas_libreria[[#This Row],[precio_eur]]/100</f>
        <v>23.92</v>
      </c>
      <c r="G2189">
        <v>2392</v>
      </c>
      <c r="H2189">
        <v>1</v>
      </c>
      <c r="I2189">
        <f>ventas_libreria[[#This Row],[precio]]*ventas_libreria[[#This Row],[cantidad]]</f>
        <v>23.92</v>
      </c>
      <c r="J2189">
        <v>43</v>
      </c>
      <c r="K2189" t="s">
        <v>30</v>
      </c>
      <c r="L2189" s="1">
        <v>45449</v>
      </c>
      <c r="M2189" t="s">
        <v>31</v>
      </c>
      <c r="N2189" t="s">
        <v>32</v>
      </c>
      <c r="O2189" t="s">
        <v>33</v>
      </c>
      <c r="P2189" t="s">
        <v>50</v>
      </c>
      <c r="Q2189">
        <v>5</v>
      </c>
      <c r="R2189">
        <f>IF(ventas_libreria[[#This Row],[valoracion_cliente]]="","Sin valoración",ventas_libreria[[#This Row],[valoracion_cliente]])</f>
        <v>5</v>
      </c>
    </row>
    <row r="2190" spans="1:18" x14ac:dyDescent="0.25">
      <c r="A2190" t="s">
        <v>2466</v>
      </c>
      <c r="B2190" t="s">
        <v>384</v>
      </c>
      <c r="C2190" t="s">
        <v>385</v>
      </c>
      <c r="D2190" t="s">
        <v>158</v>
      </c>
      <c r="E2190" t="s">
        <v>149</v>
      </c>
      <c r="F2190">
        <f>ventas_libreria[[#This Row],[precio_eur]]/100</f>
        <v>2.2999999999999998</v>
      </c>
      <c r="G2190">
        <v>230</v>
      </c>
      <c r="H2190">
        <v>1</v>
      </c>
      <c r="I2190">
        <f>ventas_libreria[[#This Row],[precio]]*ventas_libreria[[#This Row],[cantidad]]</f>
        <v>2.2999999999999998</v>
      </c>
      <c r="J2190">
        <v>33</v>
      </c>
      <c r="K2190" t="s">
        <v>62</v>
      </c>
      <c r="L2190" s="1">
        <v>45679</v>
      </c>
      <c r="M2190" t="s">
        <v>21</v>
      </c>
      <c r="N2190" t="s">
        <v>32</v>
      </c>
      <c r="O2190" t="s">
        <v>33</v>
      </c>
      <c r="P2190" t="s">
        <v>24</v>
      </c>
      <c r="Q2190">
        <v>5</v>
      </c>
      <c r="R2190">
        <f>IF(ventas_libreria[[#This Row],[valoracion_cliente]]="","Sin valoración",ventas_libreria[[#This Row],[valoracion_cliente]])</f>
        <v>5</v>
      </c>
    </row>
    <row r="2191" spans="1:18" x14ac:dyDescent="0.25">
      <c r="A2191" t="s">
        <v>2467</v>
      </c>
      <c r="B2191" t="s">
        <v>530</v>
      </c>
      <c r="C2191" t="s">
        <v>531</v>
      </c>
      <c r="D2191" t="s">
        <v>195</v>
      </c>
      <c r="E2191" t="s">
        <v>48</v>
      </c>
      <c r="F2191">
        <f>ventas_libreria[[#This Row],[precio_eur]]/100</f>
        <v>1.99</v>
      </c>
      <c r="G2191">
        <v>199</v>
      </c>
      <c r="H2191">
        <v>2</v>
      </c>
      <c r="I2191">
        <f>ventas_libreria[[#This Row],[precio]]*ventas_libreria[[#This Row],[cantidad]]</f>
        <v>3.98</v>
      </c>
      <c r="J2191">
        <v>45</v>
      </c>
      <c r="K2191" t="s">
        <v>62</v>
      </c>
      <c r="L2191" s="1">
        <v>45121</v>
      </c>
      <c r="M2191" t="s">
        <v>31</v>
      </c>
      <c r="N2191" t="s">
        <v>22</v>
      </c>
      <c r="O2191" t="s">
        <v>49</v>
      </c>
      <c r="P2191" t="s">
        <v>34</v>
      </c>
      <c r="Q2191">
        <v>5</v>
      </c>
      <c r="R2191">
        <f>IF(ventas_libreria[[#This Row],[valoracion_cliente]]="","Sin valoración",ventas_libreria[[#This Row],[valoracion_cliente]])</f>
        <v>5</v>
      </c>
    </row>
    <row r="2192" spans="1:18" x14ac:dyDescent="0.25">
      <c r="A2192" t="s">
        <v>2468</v>
      </c>
      <c r="B2192" t="s">
        <v>141</v>
      </c>
      <c r="C2192" t="s">
        <v>142</v>
      </c>
      <c r="D2192" t="s">
        <v>143</v>
      </c>
      <c r="E2192" t="s">
        <v>116</v>
      </c>
      <c r="F2192">
        <f>ventas_libreria[[#This Row],[precio_eur]]/100</f>
        <v>1.49</v>
      </c>
      <c r="G2192">
        <v>149</v>
      </c>
      <c r="H2192">
        <v>1</v>
      </c>
      <c r="I2192">
        <f>ventas_libreria[[#This Row],[precio]]*ventas_libreria[[#This Row],[cantidad]]</f>
        <v>1.49</v>
      </c>
      <c r="J2192">
        <v>25</v>
      </c>
      <c r="K2192" t="s">
        <v>62</v>
      </c>
      <c r="L2192" s="1">
        <v>45685</v>
      </c>
      <c r="M2192" t="s">
        <v>43</v>
      </c>
      <c r="N2192" t="s">
        <v>32</v>
      </c>
      <c r="O2192" t="s">
        <v>33</v>
      </c>
      <c r="P2192" t="s">
        <v>56</v>
      </c>
      <c r="Q2192">
        <v>4</v>
      </c>
      <c r="R2192">
        <f>IF(ventas_libreria[[#This Row],[valoracion_cliente]]="","Sin valoración",ventas_libreria[[#This Row],[valoracion_cliente]])</f>
        <v>4</v>
      </c>
    </row>
    <row r="2193" spans="1:18" x14ac:dyDescent="0.25">
      <c r="A2193" t="s">
        <v>2469</v>
      </c>
      <c r="B2193" t="s">
        <v>64</v>
      </c>
      <c r="C2193" t="s">
        <v>65</v>
      </c>
      <c r="D2193" t="s">
        <v>66</v>
      </c>
      <c r="E2193" t="s">
        <v>29</v>
      </c>
      <c r="F2193">
        <f>ventas_libreria[[#This Row],[precio_eur]]/100</f>
        <v>1.65</v>
      </c>
      <c r="G2193">
        <v>165</v>
      </c>
      <c r="H2193">
        <v>3</v>
      </c>
      <c r="I2193">
        <f>ventas_libreria[[#This Row],[precio]]*ventas_libreria[[#This Row],[cantidad]]</f>
        <v>4.9499999999999993</v>
      </c>
      <c r="J2193">
        <v>21</v>
      </c>
      <c r="K2193" t="s">
        <v>62</v>
      </c>
      <c r="L2193" s="1">
        <v>45676</v>
      </c>
      <c r="M2193" t="s">
        <v>21</v>
      </c>
      <c r="N2193" t="s">
        <v>32</v>
      </c>
      <c r="O2193" t="s">
        <v>33</v>
      </c>
      <c r="P2193" t="s">
        <v>50</v>
      </c>
      <c r="Q2193">
        <v>5</v>
      </c>
      <c r="R2193">
        <f>IF(ventas_libreria[[#This Row],[valoracion_cliente]]="","Sin valoración",ventas_libreria[[#This Row],[valoracion_cliente]])</f>
        <v>5</v>
      </c>
    </row>
    <row r="2194" spans="1:18" x14ac:dyDescent="0.25">
      <c r="A2194" t="s">
        <v>2470</v>
      </c>
      <c r="B2194" t="s">
        <v>530</v>
      </c>
      <c r="C2194" t="s">
        <v>531</v>
      </c>
      <c r="D2194" t="s">
        <v>195</v>
      </c>
      <c r="E2194" t="s">
        <v>48</v>
      </c>
      <c r="F2194">
        <f>ventas_libreria[[#This Row],[precio_eur]]/100</f>
        <v>1.99</v>
      </c>
      <c r="G2194">
        <v>199</v>
      </c>
      <c r="H2194">
        <v>1</v>
      </c>
      <c r="I2194">
        <f>ventas_libreria[[#This Row],[precio]]*ventas_libreria[[#This Row],[cantidad]]</f>
        <v>1.99</v>
      </c>
      <c r="J2194">
        <v>18</v>
      </c>
      <c r="K2194" t="s">
        <v>20</v>
      </c>
      <c r="L2194" s="1">
        <v>45823</v>
      </c>
      <c r="M2194" t="s">
        <v>43</v>
      </c>
      <c r="N2194" t="s">
        <v>32</v>
      </c>
      <c r="O2194" t="s">
        <v>33</v>
      </c>
      <c r="P2194" t="s">
        <v>84</v>
      </c>
      <c r="Q2194">
        <v>4</v>
      </c>
      <c r="R2194">
        <f>IF(ventas_libreria[[#This Row],[valoracion_cliente]]="","Sin valoración",ventas_libreria[[#This Row],[valoracion_cliente]])</f>
        <v>4</v>
      </c>
    </row>
    <row r="2195" spans="1:18" x14ac:dyDescent="0.25">
      <c r="A2195" t="s">
        <v>2471</v>
      </c>
      <c r="B2195" t="s">
        <v>100</v>
      </c>
      <c r="C2195" t="s">
        <v>101</v>
      </c>
      <c r="D2195" t="s">
        <v>102</v>
      </c>
      <c r="E2195" t="s">
        <v>61</v>
      </c>
      <c r="F2195">
        <f>ventas_libreria[[#This Row],[precio_eur]]/100</f>
        <v>10.71</v>
      </c>
      <c r="G2195">
        <v>1071</v>
      </c>
      <c r="H2195">
        <v>1</v>
      </c>
      <c r="I2195">
        <f>ventas_libreria[[#This Row],[precio]]*ventas_libreria[[#This Row],[cantidad]]</f>
        <v>10.71</v>
      </c>
      <c r="J2195">
        <v>17</v>
      </c>
      <c r="K2195" t="s">
        <v>62</v>
      </c>
      <c r="L2195" s="1">
        <v>45487</v>
      </c>
      <c r="M2195" t="s">
        <v>43</v>
      </c>
      <c r="N2195" t="s">
        <v>32</v>
      </c>
      <c r="O2195" t="s">
        <v>33</v>
      </c>
      <c r="P2195" t="s">
        <v>84</v>
      </c>
      <c r="Q2195">
        <v>4</v>
      </c>
      <c r="R2195">
        <f>IF(ventas_libreria[[#This Row],[valoracion_cliente]]="","Sin valoración",ventas_libreria[[#This Row],[valoracion_cliente]])</f>
        <v>4</v>
      </c>
    </row>
    <row r="2196" spans="1:18" x14ac:dyDescent="0.25">
      <c r="A2196" t="s">
        <v>2472</v>
      </c>
      <c r="B2196" t="s">
        <v>307</v>
      </c>
      <c r="C2196" t="s">
        <v>308</v>
      </c>
      <c r="D2196" t="s">
        <v>88</v>
      </c>
      <c r="E2196" t="s">
        <v>77</v>
      </c>
      <c r="F2196">
        <f>ventas_libreria[[#This Row],[precio_eur]]/100</f>
        <v>8.7200000000000006</v>
      </c>
      <c r="G2196">
        <v>872</v>
      </c>
      <c r="H2196">
        <v>2</v>
      </c>
      <c r="I2196">
        <f>ventas_libreria[[#This Row],[precio]]*ventas_libreria[[#This Row],[cantidad]]</f>
        <v>17.440000000000001</v>
      </c>
      <c r="J2196">
        <v>5</v>
      </c>
      <c r="K2196" t="s">
        <v>62</v>
      </c>
      <c r="L2196" s="1">
        <v>45485</v>
      </c>
      <c r="M2196" t="s">
        <v>31</v>
      </c>
      <c r="N2196" t="s">
        <v>32</v>
      </c>
      <c r="O2196" t="s">
        <v>33</v>
      </c>
      <c r="P2196" t="s">
        <v>50</v>
      </c>
      <c r="Q2196">
        <v>4</v>
      </c>
      <c r="R2196">
        <f>IF(ventas_libreria[[#This Row],[valoracion_cliente]]="","Sin valoración",ventas_libreria[[#This Row],[valoracion_cliente]])</f>
        <v>4</v>
      </c>
    </row>
    <row r="2197" spans="1:18" x14ac:dyDescent="0.25">
      <c r="A2197" t="s">
        <v>2473</v>
      </c>
      <c r="B2197" t="s">
        <v>151</v>
      </c>
      <c r="C2197" t="s">
        <v>152</v>
      </c>
      <c r="D2197" t="s">
        <v>153</v>
      </c>
      <c r="E2197" t="s">
        <v>154</v>
      </c>
      <c r="F2197">
        <f>ventas_libreria[[#This Row],[precio_eur]]/100</f>
        <v>15.21</v>
      </c>
      <c r="G2197">
        <v>1521</v>
      </c>
      <c r="H2197">
        <v>1</v>
      </c>
      <c r="I2197">
        <f>ventas_libreria[[#This Row],[precio]]*ventas_libreria[[#This Row],[cantidad]]</f>
        <v>15.21</v>
      </c>
      <c r="J2197">
        <v>62</v>
      </c>
      <c r="K2197" t="s">
        <v>30</v>
      </c>
      <c r="L2197" s="1">
        <v>45934</v>
      </c>
      <c r="M2197" t="s">
        <v>43</v>
      </c>
      <c r="N2197" t="s">
        <v>32</v>
      </c>
      <c r="O2197" t="s">
        <v>33</v>
      </c>
      <c r="P2197" t="s">
        <v>34</v>
      </c>
      <c r="Q2197">
        <v>4</v>
      </c>
      <c r="R2197">
        <f>IF(ventas_libreria[[#This Row],[valoracion_cliente]]="","Sin valoración",ventas_libreria[[#This Row],[valoracion_cliente]])</f>
        <v>4</v>
      </c>
    </row>
    <row r="2198" spans="1:18" x14ac:dyDescent="0.25">
      <c r="A2198" t="s">
        <v>2474</v>
      </c>
      <c r="B2198" t="s">
        <v>413</v>
      </c>
      <c r="C2198" t="s">
        <v>414</v>
      </c>
      <c r="D2198" t="s">
        <v>270</v>
      </c>
      <c r="E2198" t="s">
        <v>415</v>
      </c>
      <c r="F2198">
        <f>ventas_libreria[[#This Row],[precio_eur]]/100</f>
        <v>1.04</v>
      </c>
      <c r="G2198">
        <v>104</v>
      </c>
      <c r="H2198">
        <v>1</v>
      </c>
      <c r="I2198">
        <f>ventas_libreria[[#This Row],[precio]]*ventas_libreria[[#This Row],[cantidad]]</f>
        <v>1.04</v>
      </c>
      <c r="J2198">
        <v>72</v>
      </c>
      <c r="K2198" t="s">
        <v>62</v>
      </c>
      <c r="L2198" s="1">
        <v>45194</v>
      </c>
      <c r="M2198" t="s">
        <v>43</v>
      </c>
      <c r="N2198" t="s">
        <v>32</v>
      </c>
      <c r="O2198" t="s">
        <v>33</v>
      </c>
      <c r="P2198" t="s">
        <v>50</v>
      </c>
      <c r="Q2198">
        <v>4</v>
      </c>
      <c r="R2198">
        <f>IF(ventas_libreria[[#This Row],[valoracion_cliente]]="","Sin valoración",ventas_libreria[[#This Row],[valoracion_cliente]])</f>
        <v>4</v>
      </c>
    </row>
    <row r="2199" spans="1:18" x14ac:dyDescent="0.25">
      <c r="A2199" t="s">
        <v>2475</v>
      </c>
      <c r="B2199" t="s">
        <v>64</v>
      </c>
      <c r="C2199" t="s">
        <v>65</v>
      </c>
      <c r="D2199" t="s">
        <v>66</v>
      </c>
      <c r="E2199" t="s">
        <v>29</v>
      </c>
      <c r="F2199">
        <f>ventas_libreria[[#This Row],[precio_eur]]/100</f>
        <v>17.32</v>
      </c>
      <c r="G2199">
        <v>1732</v>
      </c>
      <c r="H2199">
        <v>1</v>
      </c>
      <c r="I2199">
        <f>ventas_libreria[[#This Row],[precio]]*ventas_libreria[[#This Row],[cantidad]]</f>
        <v>17.32</v>
      </c>
      <c r="J2199">
        <v>36</v>
      </c>
      <c r="K2199" t="s">
        <v>20</v>
      </c>
      <c r="L2199" s="1">
        <v>45220</v>
      </c>
      <c r="M2199" t="s">
        <v>21</v>
      </c>
      <c r="N2199" t="s">
        <v>22</v>
      </c>
      <c r="O2199" t="s">
        <v>49</v>
      </c>
      <c r="P2199" t="s">
        <v>50</v>
      </c>
      <c r="Q2199">
        <v>5</v>
      </c>
      <c r="R2199">
        <f>IF(ventas_libreria[[#This Row],[valoracion_cliente]]="","Sin valoración",ventas_libreria[[#This Row],[valoracion_cliente]])</f>
        <v>5</v>
      </c>
    </row>
    <row r="2200" spans="1:18" x14ac:dyDescent="0.25">
      <c r="A2200" t="s">
        <v>2476</v>
      </c>
      <c r="B2200" t="s">
        <v>362</v>
      </c>
      <c r="C2200" t="s">
        <v>363</v>
      </c>
      <c r="D2200" t="s">
        <v>249</v>
      </c>
      <c r="E2200" t="s">
        <v>172</v>
      </c>
      <c r="F2200">
        <f>ventas_libreria[[#This Row],[precio_eur]]/100</f>
        <v>15.96</v>
      </c>
      <c r="G2200">
        <v>1596</v>
      </c>
      <c r="H2200">
        <v>3</v>
      </c>
      <c r="I2200">
        <f>ventas_libreria[[#This Row],[precio]]*ventas_libreria[[#This Row],[cantidad]]</f>
        <v>47.88</v>
      </c>
      <c r="J2200">
        <v>69</v>
      </c>
      <c r="K2200" t="s">
        <v>38</v>
      </c>
      <c r="L2200" s="1">
        <v>45656</v>
      </c>
      <c r="M2200" t="s">
        <v>21</v>
      </c>
      <c r="N2200" t="s">
        <v>22</v>
      </c>
      <c r="O2200" t="s">
        <v>98</v>
      </c>
      <c r="P2200" t="s">
        <v>84</v>
      </c>
      <c r="Q2200">
        <v>5</v>
      </c>
      <c r="R2200">
        <f>IF(ventas_libreria[[#This Row],[valoracion_cliente]]="","Sin valoración",ventas_libreria[[#This Row],[valoracion_cliente]])</f>
        <v>5</v>
      </c>
    </row>
    <row r="2201" spans="1:18" x14ac:dyDescent="0.25">
      <c r="A2201" t="s">
        <v>2477</v>
      </c>
      <c r="B2201" t="s">
        <v>220</v>
      </c>
      <c r="C2201" t="s">
        <v>221</v>
      </c>
      <c r="D2201" t="s">
        <v>222</v>
      </c>
      <c r="E2201" t="s">
        <v>116</v>
      </c>
      <c r="F2201">
        <f>ventas_libreria[[#This Row],[precio_eur]]/100</f>
        <v>14.19</v>
      </c>
      <c r="G2201">
        <v>1419</v>
      </c>
      <c r="H2201">
        <v>2</v>
      </c>
      <c r="I2201">
        <f>ventas_libreria[[#This Row],[precio]]*ventas_libreria[[#This Row],[cantidad]]</f>
        <v>28.38</v>
      </c>
      <c r="J2201">
        <v>32</v>
      </c>
      <c r="K2201" t="s">
        <v>30</v>
      </c>
      <c r="L2201" s="1">
        <v>45866</v>
      </c>
      <c r="M2201" t="s">
        <v>21</v>
      </c>
      <c r="N2201" t="s">
        <v>32</v>
      </c>
      <c r="O2201" t="s">
        <v>33</v>
      </c>
      <c r="P2201" t="s">
        <v>34</v>
      </c>
      <c r="Q2201">
        <v>5</v>
      </c>
      <c r="R2201">
        <f>IF(ventas_libreria[[#This Row],[valoracion_cliente]]="","Sin valoración",ventas_libreria[[#This Row],[valoracion_cliente]])</f>
        <v>5</v>
      </c>
    </row>
  </sheetData>
  <conditionalFormatting sqref="A1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10C8-ACE8-479A-8D9F-8B059266AF7C}">
  <dimension ref="A1"/>
  <sheetViews>
    <sheetView tabSelected="1" zoomScale="59" zoomScaleNormal="59" workbookViewId="0">
      <selection activeCell="AG38" sqref="AG38"/>
    </sheetView>
  </sheetViews>
  <sheetFormatPr baseColWidth="10" defaultRowHeight="15" x14ac:dyDescent="0.25"/>
  <cols>
    <col min="16" max="16" width="21.140625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7797-292A-47A2-A1FB-0068ECEF5608}">
  <dimension ref="B2:O68"/>
  <sheetViews>
    <sheetView workbookViewId="0">
      <selection activeCell="L5" sqref="L5"/>
    </sheetView>
  </sheetViews>
  <sheetFormatPr baseColWidth="10" defaultRowHeight="15" x14ac:dyDescent="0.25"/>
  <cols>
    <col min="2" max="2" width="17.5703125" bestFit="1" customWidth="1"/>
    <col min="3" max="3" width="16.7109375" bestFit="1" customWidth="1"/>
    <col min="4" max="4" width="22.140625" bestFit="1" customWidth="1"/>
    <col min="11" max="11" width="17.5703125" bestFit="1" customWidth="1"/>
    <col min="12" max="12" width="16.7109375" bestFit="1" customWidth="1"/>
    <col min="14" max="14" width="17.5703125" bestFit="1" customWidth="1"/>
    <col min="15" max="15" width="22.140625" bestFit="1" customWidth="1"/>
  </cols>
  <sheetData>
    <row r="2" spans="2:15" x14ac:dyDescent="0.25">
      <c r="B2" t="s">
        <v>2479</v>
      </c>
      <c r="K2" s="3" t="s">
        <v>2483</v>
      </c>
      <c r="L2" t="s">
        <v>2479</v>
      </c>
      <c r="N2" s="3" t="s">
        <v>2483</v>
      </c>
      <c r="O2" t="s">
        <v>2482</v>
      </c>
    </row>
    <row r="3" spans="2:15" x14ac:dyDescent="0.25">
      <c r="B3" s="7">
        <v>3150</v>
      </c>
      <c r="D3" t="s">
        <v>2482</v>
      </c>
      <c r="K3" s="4" t="s">
        <v>2485</v>
      </c>
      <c r="L3" s="7">
        <v>1102</v>
      </c>
      <c r="N3" s="4" t="s">
        <v>2485</v>
      </c>
      <c r="O3" s="6">
        <v>10334.48</v>
      </c>
    </row>
    <row r="4" spans="2:15" x14ac:dyDescent="0.25">
      <c r="D4" s="7">
        <v>30721.000000000007</v>
      </c>
      <c r="K4" s="5" t="s">
        <v>2488</v>
      </c>
      <c r="L4" s="7">
        <v>75</v>
      </c>
      <c r="N4" s="5" t="s">
        <v>2488</v>
      </c>
      <c r="O4" s="6">
        <v>634.88999999999987</v>
      </c>
    </row>
    <row r="5" spans="2:15" x14ac:dyDescent="0.25">
      <c r="B5">
        <f>GETPIVOTDATA("cantidad",$B$2)</f>
        <v>3150</v>
      </c>
      <c r="D5" s="2">
        <f>GETPIVOTDATA("precio_pedido",$D$3)</f>
        <v>30721.000000000007</v>
      </c>
      <c r="K5" s="5" t="s">
        <v>2489</v>
      </c>
      <c r="L5" s="7">
        <v>67</v>
      </c>
      <c r="N5" s="5" t="s">
        <v>2489</v>
      </c>
      <c r="O5" s="6">
        <v>692.40000000000009</v>
      </c>
    </row>
    <row r="6" spans="2:15" x14ac:dyDescent="0.25">
      <c r="K6" s="5" t="s">
        <v>2490</v>
      </c>
      <c r="L6" s="7">
        <v>110</v>
      </c>
      <c r="N6" s="5" t="s">
        <v>2490</v>
      </c>
      <c r="O6" s="6">
        <v>831.6</v>
      </c>
    </row>
    <row r="7" spans="2:15" x14ac:dyDescent="0.25">
      <c r="K7" s="5" t="s">
        <v>2491</v>
      </c>
      <c r="L7" s="7">
        <v>86</v>
      </c>
      <c r="N7" s="5" t="s">
        <v>2491</v>
      </c>
      <c r="O7" s="6">
        <v>835.71999999999991</v>
      </c>
    </row>
    <row r="8" spans="2:15" x14ac:dyDescent="0.25">
      <c r="B8" s="3" t="s">
        <v>2483</v>
      </c>
      <c r="C8" t="s">
        <v>2479</v>
      </c>
      <c r="K8" s="5" t="s">
        <v>2492</v>
      </c>
      <c r="L8" s="7">
        <v>84</v>
      </c>
      <c r="N8" s="5" t="s">
        <v>2492</v>
      </c>
      <c r="O8" s="6">
        <v>909.96999999999991</v>
      </c>
    </row>
    <row r="9" spans="2:15" x14ac:dyDescent="0.25">
      <c r="B9" s="4" t="s">
        <v>19</v>
      </c>
      <c r="C9" s="7">
        <v>126</v>
      </c>
      <c r="K9" s="5" t="s">
        <v>2493</v>
      </c>
      <c r="L9" s="7">
        <v>89</v>
      </c>
      <c r="N9" s="5" t="s">
        <v>2493</v>
      </c>
      <c r="O9" s="6">
        <v>753.57000000000016</v>
      </c>
    </row>
    <row r="10" spans="2:15" x14ac:dyDescent="0.25">
      <c r="B10" s="4" t="s">
        <v>179</v>
      </c>
      <c r="C10" s="7">
        <v>21</v>
      </c>
      <c r="K10" s="5" t="s">
        <v>2494</v>
      </c>
      <c r="L10" s="7">
        <v>119</v>
      </c>
      <c r="N10" s="5" t="s">
        <v>2494</v>
      </c>
      <c r="O10" s="6">
        <v>1251.19</v>
      </c>
    </row>
    <row r="11" spans="2:15" x14ac:dyDescent="0.25">
      <c r="B11" s="4" t="s">
        <v>154</v>
      </c>
      <c r="C11" s="7">
        <v>113</v>
      </c>
      <c r="K11" s="5" t="s">
        <v>2495</v>
      </c>
      <c r="L11" s="7">
        <v>98</v>
      </c>
      <c r="N11" s="5" t="s">
        <v>2495</v>
      </c>
      <c r="O11" s="6">
        <v>875.08000000000015</v>
      </c>
    </row>
    <row r="12" spans="2:15" x14ac:dyDescent="0.25">
      <c r="B12" s="4" t="s">
        <v>172</v>
      </c>
      <c r="C12" s="7">
        <v>141</v>
      </c>
      <c r="K12" s="5" t="s">
        <v>2496</v>
      </c>
      <c r="L12" s="7">
        <v>80</v>
      </c>
      <c r="N12" s="5" t="s">
        <v>2496</v>
      </c>
      <c r="O12" s="6">
        <v>812.81999999999994</v>
      </c>
    </row>
    <row r="13" spans="2:15" x14ac:dyDescent="0.25">
      <c r="B13" s="4" t="s">
        <v>116</v>
      </c>
      <c r="C13" s="7">
        <v>533</v>
      </c>
      <c r="K13" s="5" t="s">
        <v>2497</v>
      </c>
      <c r="L13" s="7">
        <v>113</v>
      </c>
      <c r="N13" s="5" t="s">
        <v>2497</v>
      </c>
      <c r="O13" s="6">
        <v>933.65999999999985</v>
      </c>
    </row>
    <row r="14" spans="2:15" x14ac:dyDescent="0.25">
      <c r="B14" s="4" t="s">
        <v>189</v>
      </c>
      <c r="C14" s="7">
        <v>81</v>
      </c>
      <c r="K14" s="5" t="s">
        <v>2498</v>
      </c>
      <c r="L14" s="7">
        <v>93</v>
      </c>
      <c r="N14" s="5" t="s">
        <v>2498</v>
      </c>
      <c r="O14" s="6">
        <v>952.9200000000003</v>
      </c>
    </row>
    <row r="15" spans="2:15" x14ac:dyDescent="0.25">
      <c r="B15" s="4" t="s">
        <v>149</v>
      </c>
      <c r="C15" s="7">
        <v>152</v>
      </c>
      <c r="K15" s="5" t="s">
        <v>2499</v>
      </c>
      <c r="L15" s="7">
        <v>88</v>
      </c>
      <c r="N15" s="5" t="s">
        <v>2499</v>
      </c>
      <c r="O15" s="6">
        <v>850.66000000000008</v>
      </c>
    </row>
    <row r="16" spans="2:15" x14ac:dyDescent="0.25">
      <c r="B16" s="4" t="s">
        <v>263</v>
      </c>
      <c r="C16" s="7">
        <v>106</v>
      </c>
      <c r="K16" s="4" t="s">
        <v>2486</v>
      </c>
      <c r="L16" s="7">
        <v>1064</v>
      </c>
      <c r="N16" s="4" t="s">
        <v>2486</v>
      </c>
      <c r="O16" s="6">
        <v>10895.780000000002</v>
      </c>
    </row>
    <row r="17" spans="2:15" x14ac:dyDescent="0.25">
      <c r="B17" s="4" t="s">
        <v>48</v>
      </c>
      <c r="C17" s="7">
        <v>298</v>
      </c>
      <c r="K17" s="5" t="s">
        <v>2488</v>
      </c>
      <c r="L17" s="7">
        <v>86</v>
      </c>
      <c r="N17" s="5" t="s">
        <v>2488</v>
      </c>
      <c r="O17" s="6">
        <v>709.37000000000023</v>
      </c>
    </row>
    <row r="18" spans="2:15" x14ac:dyDescent="0.25">
      <c r="B18" s="4" t="s">
        <v>107</v>
      </c>
      <c r="C18" s="7">
        <v>268</v>
      </c>
      <c r="K18" s="5" t="s">
        <v>2489</v>
      </c>
      <c r="L18" s="7">
        <v>107</v>
      </c>
      <c r="N18" s="5" t="s">
        <v>2489</v>
      </c>
      <c r="O18" s="6">
        <v>1169.6700000000003</v>
      </c>
    </row>
    <row r="19" spans="2:15" x14ac:dyDescent="0.25">
      <c r="B19" s="4" t="s">
        <v>55</v>
      </c>
      <c r="C19" s="7">
        <v>282</v>
      </c>
      <c r="K19" s="5" t="s">
        <v>2490</v>
      </c>
      <c r="L19" s="7">
        <v>95</v>
      </c>
      <c r="N19" s="5" t="s">
        <v>2490</v>
      </c>
      <c r="O19" s="6">
        <v>920.77000000000055</v>
      </c>
    </row>
    <row r="20" spans="2:15" x14ac:dyDescent="0.25">
      <c r="B20" s="4" t="s">
        <v>72</v>
      </c>
      <c r="C20" s="7">
        <v>82</v>
      </c>
      <c r="K20" s="5" t="s">
        <v>2491</v>
      </c>
      <c r="L20" s="7">
        <v>73</v>
      </c>
      <c r="N20" s="5" t="s">
        <v>2491</v>
      </c>
      <c r="O20" s="6">
        <v>797.7</v>
      </c>
    </row>
    <row r="21" spans="2:15" x14ac:dyDescent="0.25">
      <c r="B21" s="4" t="s">
        <v>289</v>
      </c>
      <c r="C21" s="7">
        <v>73</v>
      </c>
      <c r="K21" s="5" t="s">
        <v>2492</v>
      </c>
      <c r="L21" s="7">
        <v>83</v>
      </c>
      <c r="N21" s="5" t="s">
        <v>2492</v>
      </c>
      <c r="O21" s="6">
        <v>915.82</v>
      </c>
    </row>
    <row r="22" spans="2:15" x14ac:dyDescent="0.25">
      <c r="B22" s="4" t="s">
        <v>77</v>
      </c>
      <c r="C22" s="7">
        <v>222</v>
      </c>
      <c r="K22" s="5" t="s">
        <v>2493</v>
      </c>
      <c r="L22" s="7">
        <v>86</v>
      </c>
      <c r="N22" s="5" t="s">
        <v>2493</v>
      </c>
      <c r="O22" s="6">
        <v>854.69</v>
      </c>
    </row>
    <row r="23" spans="2:15" x14ac:dyDescent="0.25">
      <c r="B23" s="4" t="s">
        <v>83</v>
      </c>
      <c r="C23" s="7">
        <v>67</v>
      </c>
      <c r="K23" s="5" t="s">
        <v>2494</v>
      </c>
      <c r="L23" s="7">
        <v>82</v>
      </c>
      <c r="N23" s="5" t="s">
        <v>2494</v>
      </c>
      <c r="O23" s="6">
        <v>761.0200000000001</v>
      </c>
    </row>
    <row r="24" spans="2:15" x14ac:dyDescent="0.25">
      <c r="B24" s="4" t="s">
        <v>415</v>
      </c>
      <c r="C24" s="7">
        <v>33</v>
      </c>
      <c r="K24" s="5" t="s">
        <v>2495</v>
      </c>
      <c r="L24" s="7">
        <v>102</v>
      </c>
      <c r="N24" s="5" t="s">
        <v>2495</v>
      </c>
      <c r="O24" s="6">
        <v>1093.8</v>
      </c>
    </row>
    <row r="25" spans="2:15" x14ac:dyDescent="0.25">
      <c r="B25" s="4" t="s">
        <v>61</v>
      </c>
      <c r="C25" s="7">
        <v>185</v>
      </c>
      <c r="K25" s="5" t="s">
        <v>2496</v>
      </c>
      <c r="L25" s="7">
        <v>82</v>
      </c>
      <c r="N25" s="5" t="s">
        <v>2496</v>
      </c>
      <c r="O25" s="6">
        <v>769.59</v>
      </c>
    </row>
    <row r="26" spans="2:15" x14ac:dyDescent="0.25">
      <c r="B26" s="4" t="s">
        <v>29</v>
      </c>
      <c r="C26" s="7">
        <v>367</v>
      </c>
      <c r="K26" s="5" t="s">
        <v>2497</v>
      </c>
      <c r="L26" s="7">
        <v>94</v>
      </c>
      <c r="N26" s="5" t="s">
        <v>2497</v>
      </c>
      <c r="O26" s="6">
        <v>900.99000000000046</v>
      </c>
    </row>
    <row r="27" spans="2:15" x14ac:dyDescent="0.25">
      <c r="B27" s="4" t="s">
        <v>2484</v>
      </c>
      <c r="C27" s="7">
        <v>3150</v>
      </c>
      <c r="K27" s="5" t="s">
        <v>2498</v>
      </c>
      <c r="L27" s="7">
        <v>97</v>
      </c>
      <c r="N27" s="5" t="s">
        <v>2498</v>
      </c>
      <c r="O27" s="6">
        <v>1063.04</v>
      </c>
    </row>
    <row r="28" spans="2:15" x14ac:dyDescent="0.25">
      <c r="K28" s="5" t="s">
        <v>2499</v>
      </c>
      <c r="L28" s="7">
        <v>77</v>
      </c>
      <c r="N28" s="5" t="s">
        <v>2499</v>
      </c>
      <c r="O28" s="6">
        <v>939.31999999999994</v>
      </c>
    </row>
    <row r="29" spans="2:15" x14ac:dyDescent="0.25">
      <c r="K29" s="4" t="s">
        <v>2487</v>
      </c>
      <c r="L29" s="7">
        <v>984</v>
      </c>
      <c r="N29" s="4" t="s">
        <v>2487</v>
      </c>
      <c r="O29" s="6">
        <v>9490.74</v>
      </c>
    </row>
    <row r="30" spans="2:15" x14ac:dyDescent="0.25">
      <c r="B30" s="3" t="s">
        <v>2483</v>
      </c>
      <c r="C30" t="s">
        <v>2479</v>
      </c>
      <c r="K30" s="5" t="s">
        <v>2488</v>
      </c>
      <c r="L30" s="7">
        <v>78</v>
      </c>
      <c r="N30" s="5" t="s">
        <v>2488</v>
      </c>
      <c r="O30" s="6">
        <v>782.74999999999977</v>
      </c>
    </row>
    <row r="31" spans="2:15" x14ac:dyDescent="0.25">
      <c r="B31" s="4" t="s">
        <v>2500</v>
      </c>
      <c r="C31" s="7">
        <v>150</v>
      </c>
      <c r="K31" s="5" t="s">
        <v>2489</v>
      </c>
      <c r="L31" s="7">
        <v>90</v>
      </c>
      <c r="N31" s="5" t="s">
        <v>2489</v>
      </c>
      <c r="O31" s="6">
        <v>969.25</v>
      </c>
    </row>
    <row r="32" spans="2:15" x14ac:dyDescent="0.25">
      <c r="B32" s="4" t="s">
        <v>2501</v>
      </c>
      <c r="C32" s="7">
        <v>442</v>
      </c>
      <c r="K32" s="5" t="s">
        <v>2490</v>
      </c>
      <c r="L32" s="7">
        <v>87</v>
      </c>
      <c r="N32" s="5" t="s">
        <v>2490</v>
      </c>
      <c r="O32" s="6">
        <v>757.87</v>
      </c>
    </row>
    <row r="33" spans="2:15" x14ac:dyDescent="0.25">
      <c r="B33" s="4" t="s">
        <v>2502</v>
      </c>
      <c r="C33" s="7">
        <v>532</v>
      </c>
      <c r="K33" s="5" t="s">
        <v>2491</v>
      </c>
      <c r="L33" s="7">
        <v>80</v>
      </c>
      <c r="N33" s="5" t="s">
        <v>2491</v>
      </c>
      <c r="O33" s="6">
        <v>795.21000000000026</v>
      </c>
    </row>
    <row r="34" spans="2:15" x14ac:dyDescent="0.25">
      <c r="B34" s="4" t="s">
        <v>2503</v>
      </c>
      <c r="C34" s="7">
        <v>415</v>
      </c>
      <c r="K34" s="5" t="s">
        <v>2492</v>
      </c>
      <c r="L34" s="7">
        <v>86</v>
      </c>
      <c r="N34" s="5" t="s">
        <v>2492</v>
      </c>
      <c r="O34" s="6">
        <v>841.8900000000001</v>
      </c>
    </row>
    <row r="35" spans="2:15" x14ac:dyDescent="0.25">
      <c r="B35" s="4" t="s">
        <v>2504</v>
      </c>
      <c r="C35" s="7">
        <v>470</v>
      </c>
      <c r="K35" s="5" t="s">
        <v>2493</v>
      </c>
      <c r="L35" s="7">
        <v>78</v>
      </c>
      <c r="N35" s="5" t="s">
        <v>2493</v>
      </c>
      <c r="O35" s="6">
        <v>627.94000000000017</v>
      </c>
    </row>
    <row r="36" spans="2:15" x14ac:dyDescent="0.25">
      <c r="B36" s="4" t="s">
        <v>2505</v>
      </c>
      <c r="C36" s="7">
        <v>461</v>
      </c>
      <c r="K36" s="5" t="s">
        <v>2494</v>
      </c>
      <c r="L36" s="7">
        <v>85</v>
      </c>
      <c r="N36" s="5" t="s">
        <v>2494</v>
      </c>
      <c r="O36" s="6">
        <v>718.97</v>
      </c>
    </row>
    <row r="37" spans="2:15" x14ac:dyDescent="0.25">
      <c r="B37" s="4" t="s">
        <v>2506</v>
      </c>
      <c r="C37" s="7">
        <v>434</v>
      </c>
      <c r="K37" s="5" t="s">
        <v>2495</v>
      </c>
      <c r="L37" s="7">
        <v>77</v>
      </c>
      <c r="N37" s="5" t="s">
        <v>2495</v>
      </c>
      <c r="O37" s="6">
        <v>752.41</v>
      </c>
    </row>
    <row r="38" spans="2:15" x14ac:dyDescent="0.25">
      <c r="B38" s="4" t="s">
        <v>2507</v>
      </c>
      <c r="C38" s="7">
        <v>246</v>
      </c>
      <c r="K38" s="5" t="s">
        <v>2496</v>
      </c>
      <c r="L38" s="7">
        <v>44</v>
      </c>
      <c r="N38" s="5" t="s">
        <v>2496</v>
      </c>
      <c r="O38" s="6">
        <v>451.0499999999999</v>
      </c>
    </row>
    <row r="39" spans="2:15" x14ac:dyDescent="0.25">
      <c r="B39" s="4" t="s">
        <v>2484</v>
      </c>
      <c r="C39" s="7">
        <v>3150</v>
      </c>
      <c r="K39" s="5" t="s">
        <v>2497</v>
      </c>
      <c r="L39" s="7">
        <v>101</v>
      </c>
      <c r="N39" s="5" t="s">
        <v>2497</v>
      </c>
      <c r="O39" s="6">
        <v>1021.94</v>
      </c>
    </row>
    <row r="40" spans="2:15" x14ac:dyDescent="0.25">
      <c r="K40" s="5" t="s">
        <v>2498</v>
      </c>
      <c r="L40" s="7">
        <v>96</v>
      </c>
      <c r="N40" s="5" t="s">
        <v>2498</v>
      </c>
      <c r="O40" s="6">
        <v>962.37999999999988</v>
      </c>
    </row>
    <row r="41" spans="2:15" x14ac:dyDescent="0.25">
      <c r="B41" s="3" t="s">
        <v>2483</v>
      </c>
      <c r="C41" t="s">
        <v>2479</v>
      </c>
      <c r="K41" s="5" t="s">
        <v>2499</v>
      </c>
      <c r="L41" s="7">
        <v>82</v>
      </c>
      <c r="N41" s="5" t="s">
        <v>2499</v>
      </c>
      <c r="O41" s="6">
        <v>809.07999999999993</v>
      </c>
    </row>
    <row r="42" spans="2:15" x14ac:dyDescent="0.25">
      <c r="B42" s="4" t="s">
        <v>31</v>
      </c>
      <c r="C42" s="7">
        <v>1089</v>
      </c>
      <c r="K42" s="4" t="s">
        <v>2484</v>
      </c>
      <c r="L42" s="7">
        <v>3150</v>
      </c>
      <c r="N42" s="4" t="s">
        <v>2484</v>
      </c>
      <c r="O42" s="6">
        <v>30721</v>
      </c>
    </row>
    <row r="43" spans="2:15" x14ac:dyDescent="0.25">
      <c r="B43" s="4" t="s">
        <v>43</v>
      </c>
      <c r="C43" s="7">
        <v>1094</v>
      </c>
    </row>
    <row r="44" spans="2:15" x14ac:dyDescent="0.25">
      <c r="B44" s="4" t="s">
        <v>21</v>
      </c>
      <c r="C44" s="7">
        <v>967</v>
      </c>
    </row>
    <row r="45" spans="2:15" x14ac:dyDescent="0.25">
      <c r="B45" s="4" t="s">
        <v>2484</v>
      </c>
      <c r="C45" s="7">
        <v>3150</v>
      </c>
    </row>
    <row r="48" spans="2:15" x14ac:dyDescent="0.25">
      <c r="B48" s="3" t="s">
        <v>2483</v>
      </c>
      <c r="C48" t="s">
        <v>2479</v>
      </c>
    </row>
    <row r="49" spans="2:3" x14ac:dyDescent="0.25">
      <c r="B49" s="4" t="s">
        <v>22</v>
      </c>
      <c r="C49" s="7">
        <v>983</v>
      </c>
    </row>
    <row r="50" spans="2:3" x14ac:dyDescent="0.25">
      <c r="B50" s="4" t="s">
        <v>32</v>
      </c>
      <c r="C50" s="7">
        <v>2167</v>
      </c>
    </row>
    <row r="51" spans="2:3" x14ac:dyDescent="0.25">
      <c r="B51" s="4" t="s">
        <v>2484</v>
      </c>
      <c r="C51" s="7">
        <v>3150</v>
      </c>
    </row>
    <row r="54" spans="2:3" x14ac:dyDescent="0.25">
      <c r="B54" s="3" t="s">
        <v>2483</v>
      </c>
      <c r="C54" t="s">
        <v>2479</v>
      </c>
    </row>
    <row r="55" spans="2:3" x14ac:dyDescent="0.25">
      <c r="B55" s="4" t="s">
        <v>50</v>
      </c>
      <c r="C55" s="7">
        <v>636</v>
      </c>
    </row>
    <row r="56" spans="2:3" x14ac:dyDescent="0.25">
      <c r="B56" s="4" t="s">
        <v>56</v>
      </c>
      <c r="C56" s="7">
        <v>572</v>
      </c>
    </row>
    <row r="57" spans="2:3" x14ac:dyDescent="0.25">
      <c r="B57" s="4" t="s">
        <v>34</v>
      </c>
      <c r="C57" s="7">
        <v>668</v>
      </c>
    </row>
    <row r="58" spans="2:3" x14ac:dyDescent="0.25">
      <c r="B58" s="4" t="s">
        <v>24</v>
      </c>
      <c r="C58" s="7">
        <v>637</v>
      </c>
    </row>
    <row r="59" spans="2:3" x14ac:dyDescent="0.25">
      <c r="B59" s="4" t="s">
        <v>84</v>
      </c>
      <c r="C59" s="7">
        <v>637</v>
      </c>
    </row>
    <row r="60" spans="2:3" x14ac:dyDescent="0.25">
      <c r="B60" s="4" t="s">
        <v>2484</v>
      </c>
      <c r="C60" s="7">
        <v>3150</v>
      </c>
    </row>
    <row r="63" spans="2:3" x14ac:dyDescent="0.25">
      <c r="B63" s="3" t="s">
        <v>2483</v>
      </c>
      <c r="C63" t="s">
        <v>2479</v>
      </c>
    </row>
    <row r="64" spans="2:3" x14ac:dyDescent="0.25">
      <c r="B64" s="4" t="s">
        <v>38</v>
      </c>
      <c r="C64" s="7">
        <v>748</v>
      </c>
    </row>
    <row r="65" spans="2:3" x14ac:dyDescent="0.25">
      <c r="B65" s="4" t="s">
        <v>20</v>
      </c>
      <c r="C65" s="7">
        <v>824</v>
      </c>
    </row>
    <row r="66" spans="2:3" x14ac:dyDescent="0.25">
      <c r="B66" s="4" t="s">
        <v>30</v>
      </c>
      <c r="C66" s="7">
        <v>771</v>
      </c>
    </row>
    <row r="67" spans="2:3" x14ac:dyDescent="0.25">
      <c r="B67" s="4" t="s">
        <v>62</v>
      </c>
      <c r="C67" s="7">
        <v>807</v>
      </c>
    </row>
    <row r="68" spans="2:3" x14ac:dyDescent="0.25">
      <c r="B68" s="4" t="s">
        <v>2484</v>
      </c>
      <c r="C68" s="7">
        <v>3150</v>
      </c>
    </row>
  </sheetData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13BB08-B721-4872-800A-4EDD55AFC0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ventas_libreria</vt:lpstr>
      <vt:lpstr>DB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Brea Emperador</dc:creator>
  <cp:lastModifiedBy>Barbara Brea Emperador</cp:lastModifiedBy>
  <dcterms:created xsi:type="dcterms:W3CDTF">2026-07-23T11:04:13Z</dcterms:created>
  <dcterms:modified xsi:type="dcterms:W3CDTF">2026-07-23T17:31:16Z</dcterms:modified>
</cp:coreProperties>
</file>